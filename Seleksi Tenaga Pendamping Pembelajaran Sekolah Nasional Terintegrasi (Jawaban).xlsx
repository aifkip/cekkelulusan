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ivot Table 5" sheetId="1" r:id="rId5"/>
    <sheet state="visible" name="Form Responses 1" sheetId="2" r:id="rId6"/>
    <sheet state="visible" name="Admin Tahap 2" sheetId="3" r:id="rId7"/>
    <sheet state="visible" name="Rekap Tahap 2" sheetId="4" r:id="rId8"/>
    <sheet state="visible" name="Unggah Sistem" sheetId="5" r:id="rId9"/>
    <sheet state="visible" name="Olah Arip" sheetId="6" r:id="rId10"/>
    <sheet state="visible" name="Pivot Table 6" sheetId="7" r:id="rId11"/>
    <sheet state="visible" name="Olah Data Administrasi" sheetId="8" r:id="rId12"/>
    <sheet state="visible" name="Copy of Olah Data Administrasi" sheetId="9" r:id="rId13"/>
    <sheet state="visible" name="olah akbar" sheetId="10" r:id="rId14"/>
    <sheet state="hidden" name="Jadwal Wawancara" sheetId="11" r:id="rId15"/>
    <sheet state="visible" name="Olah Wawancara" sheetId="12" r:id="rId16"/>
    <sheet state="visible" name="Lolos" sheetId="13" r:id="rId17"/>
    <sheet state="visible" name="Data Akhir" sheetId="14" r:id="rId18"/>
    <sheet state="hidden" name="Pivot Table 1" sheetId="15" r:id="rId19"/>
  </sheets>
  <definedNames>
    <definedName hidden="1" localSheetId="0" name="_xlnm._FilterDatabase">'Pivot Table 5'!$N$1:$N$93</definedName>
    <definedName hidden="1" localSheetId="1" name="_xlnm._FilterDatabase">'Form Responses 1'!$A$1:$AF$217</definedName>
    <definedName hidden="1" localSheetId="4" name="_xlnm._FilterDatabase">'Unggah Sistem'!$A$1:$F$764</definedName>
    <definedName hidden="1" localSheetId="5" name="_xlnm._FilterDatabase">'Olah Arip'!$A$1:$K$109</definedName>
    <definedName hidden="1" localSheetId="7" name="_xlnm._FilterDatabase">'Olah Data Administrasi'!$A$1:$M$1</definedName>
    <definedName hidden="1" localSheetId="8" name="_xlnm._FilterDatabase">'Copy of Olah Data Administrasi'!$A$1:$M$1</definedName>
    <definedName hidden="1" localSheetId="10" name="_xlnm._FilterDatabase">'Jadwal Wawancara'!$A$1:$E$88</definedName>
    <definedName hidden="1" localSheetId="11" name="_xlnm._FilterDatabase">'Olah Wawancara'!$A$1:$G$96</definedName>
    <definedName hidden="1" localSheetId="13" name="_xlnm._FilterDatabase">'Data Akhir'!$A$1:$I$107</definedName>
  </definedNames>
  <calcPr/>
  <pivotCaches>
    <pivotCache cacheId="0" r:id="rId20"/>
    <pivotCache cacheId="1" r:id="rId21"/>
    <pivotCache cacheId="2" r:id="rId22"/>
    <pivotCache cacheId="3" r:id="rId23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Y24">
      <text>
        <t xml:space="preserve">Responder updated this value.</t>
      </text>
    </comment>
    <comment authorId="0" ref="S17">
      <text>
        <t xml:space="preserve">Responder updated this value.</t>
      </text>
    </comment>
    <comment authorId="0" ref="U50">
      <text>
        <t xml:space="preserve">Responder updated this value.</t>
      </text>
    </comment>
    <comment authorId="0" ref="V50">
      <text>
        <t xml:space="preserve">Responder updated this value.</t>
      </text>
    </comment>
    <comment authorId="0" ref="S45">
      <text>
        <t xml:space="preserve">Responder updated this value.</t>
      </text>
    </comment>
    <comment authorId="0" ref="Y50">
      <text>
        <t xml:space="preserve">Responder updated this value.</t>
      </text>
    </comment>
    <comment authorId="0" ref="R10">
      <text>
        <t xml:space="preserve">Responder updated this value.</t>
      </text>
    </comment>
    <comment authorId="0" ref="Q5">
      <text>
        <t xml:space="preserve">Responder updated this value.</t>
      </text>
    </comment>
    <comment authorId="0" ref="Q4">
      <text>
        <t xml:space="preserve">Responder updated this value.</t>
      </text>
    </comment>
    <comment authorId="0" ref="S70">
      <text>
        <t xml:space="preserve">Responder updated this value.</t>
      </text>
    </comment>
    <comment authorId="0" ref="Q3">
      <text>
        <t xml:space="preserve">Responder updated this value.</t>
      </text>
    </comment>
    <comment authorId="0" ref="Q2">
      <text>
        <t xml:space="preserve">Responder updated this value.</t>
      </text>
    </comment>
    <comment authorId="0" ref="R2">
      <text>
        <t xml:space="preserve">Responder updated this value.</t>
      </text>
    </comment>
    <comment authorId="0" ref="S2">
      <text>
        <t xml:space="preserve">Responder updated this value.</t>
      </text>
    </comment>
    <comment authorId="0" ref="X5">
      <text>
        <t xml:space="preserve">Responder updated this value.</t>
      </text>
    </comment>
    <comment authorId="0" ref="D76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<sst xmlns="http://schemas.openxmlformats.org/spreadsheetml/2006/main" count="16466" uniqueCount="3304">
  <si>
    <t>Hasil Seleksi</t>
  </si>
  <si>
    <t>Keterangan</t>
  </si>
  <si>
    <t>Timestamp</t>
  </si>
  <si>
    <t>Email Address</t>
  </si>
  <si>
    <t>Nama Lengkap (disertai gelar)</t>
  </si>
  <si>
    <t>PTK ID / SIMPKB ID</t>
  </si>
  <si>
    <t>Nomor WA</t>
  </si>
  <si>
    <t>Tanggal Lahir</t>
  </si>
  <si>
    <t>Program Studi S-1/D-IV</t>
  </si>
  <si>
    <t>Asal Universitas S-1/D-IV</t>
  </si>
  <si>
    <t>Bidang Studi PPG (sesuai yg tertulis di Serdik)</t>
  </si>
  <si>
    <t>Angkatan PPG</t>
  </si>
  <si>
    <t>Pilihan Lokasi Sekolah Nasional Terintegrasi</t>
  </si>
  <si>
    <t>Tahun Lulus PPG
(sesuai dengan tahun penerbitan Sertifikat Pendidik)</t>
  </si>
  <si>
    <t>Jabatan dan Lokasi TPP yang dilamar</t>
  </si>
  <si>
    <t>IPK saat S1</t>
  </si>
  <si>
    <t>IPK saat PPG</t>
  </si>
  <si>
    <t>Domisili Anda saat ini? (Contoh : Kota Surakarta, Jawa Tengah)</t>
  </si>
  <si>
    <t>Video Microteaching</t>
  </si>
  <si>
    <t>Berkedudukan sebagai calon PNS, PNS, PPPK, PPPK Paruh Waktu, prajurit Tentara Nasional Indonesia, atau anggota Kepolisian Negara Republik Indonesia;</t>
  </si>
  <si>
    <t>Hasil</t>
  </si>
  <si>
    <t>Kabupaten Buton Tengah, Sulawesi Tenggara</t>
  </si>
  <si>
    <t>Tenaga pendampingan pembelajaran mata Pelajaran Bahasa Indonesia</t>
  </si>
  <si>
    <t>Sertifikat Pelatihan Peningkatan Komptenesi (5 tahun terakhir)</t>
  </si>
  <si>
    <t>Farida Sapo, S.Pd.,Gr.</t>
  </si>
  <si>
    <t>Pendidikan Bahasa Indonesia</t>
  </si>
  <si>
    <t>3.66</t>
  </si>
  <si>
    <t>Kategori Pendaftar</t>
  </si>
  <si>
    <t>Bahasa Indonesia</t>
  </si>
  <si>
    <t>4.0</t>
  </si>
  <si>
    <t>https://drive.google.com/file/d/1wXg4JCK74uFkX830RohLlRR_dRCpabfJ/view?usp=sharing</t>
  </si>
  <si>
    <t>NIM PPG
(dapat dilihat pada web: https://valid.fkip.uns.ac.id)</t>
  </si>
  <si>
    <t>NIM S1</t>
  </si>
  <si>
    <t>Program Studi S1</t>
  </si>
  <si>
    <t>LPTK PPG</t>
  </si>
  <si>
    <t>NIM PPG</t>
  </si>
  <si>
    <t>Upload Scan Sertifikat Pendidik (serdik)</t>
  </si>
  <si>
    <t>Column 27</t>
  </si>
  <si>
    <t>Column 28</t>
  </si>
  <si>
    <t>085289003714</t>
  </si>
  <si>
    <t>Column 29</t>
  </si>
  <si>
    <t>Column 30</t>
  </si>
  <si>
    <t>Column 31</t>
  </si>
  <si>
    <t>Column 32</t>
  </si>
  <si>
    <t>Lolos Administrasi</t>
  </si>
  <si>
    <t>rrizkhyadhi21@gmail.com</t>
  </si>
  <si>
    <t>Fita Wardani, S.Pd., Gr.</t>
  </si>
  <si>
    <t>Pendidikan Bahasa dan Sastra Indonesia</t>
  </si>
  <si>
    <t>COUNTA of Email Address</t>
  </si>
  <si>
    <t>3.46</t>
  </si>
  <si>
    <t>Rizky Adi Nugroho S.Pd.,Gr.</t>
  </si>
  <si>
    <t>4.00</t>
  </si>
  <si>
    <t>https://drive.google.com/drive/folders/1SNu-qFtK02OmLkQZ1AWo5DDVTH46tRqo</t>
  </si>
  <si>
    <t>085713086642</t>
  </si>
  <si>
    <t>Tidak Lolos Administrasi</t>
  </si>
  <si>
    <t>Grand Total</t>
  </si>
  <si>
    <t>Kabupaten Buton Tengah - Tenaga pendampingan pembelajaran mata pelajaran Ekonomi</t>
  </si>
  <si>
    <t>Kabupaten Buton Tengah - Tenaga pendampingan pembelajaran mata pelajaran FISIKA</t>
  </si>
  <si>
    <t>Pendidikan Jasmani</t>
  </si>
  <si>
    <t>Kabupaten Buton Tengah - Tenaga pendampingan pembelajaran mata pelajaran Pendidikan Agama Katolik</t>
  </si>
  <si>
    <t xml:space="preserve">UNIVERSITAS TUNAS PEMBANGUNAN SURAKARTA </t>
  </si>
  <si>
    <t>Kabupaten Jepara - Tenaga pendampingan pembelajaran mata pelajaran Pendidikan Agama Islam</t>
  </si>
  <si>
    <t>081938900154</t>
  </si>
  <si>
    <t>Kabupaten Jepara - Tenaga pendampingan pembelajaran mata pelajaran Pendidikan Ilmu Pengetahuan Alam (IPA)</t>
  </si>
  <si>
    <t>Pendidikan Jasmani, Olahraga, dan Kesehatan (PJOK)</t>
  </si>
  <si>
    <t>PPG Calon Guru Gelombang 2 Tahun 2024</t>
  </si>
  <si>
    <t>3.57</t>
  </si>
  <si>
    <t>Mita Ayu Wulandari. S.Pd.</t>
  </si>
  <si>
    <t>3.88</t>
  </si>
  <si>
    <t xml:space="preserve">Pendidikan Bahasa dan Sastra Indonesia </t>
  </si>
  <si>
    <t>3.38</t>
  </si>
  <si>
    <t>https://drive.google.com/file/d/16I25Hub_4HCCCCFxaPj0dOUzgE7zysB3/view?usp=sharing</t>
  </si>
  <si>
    <t>Sukoharjo, Jawa Tengah</t>
  </si>
  <si>
    <t>Tidak</t>
  </si>
  <si>
    <t>Tenaga pendampingan pembelajaran mata Pelajaran Penjasorkes</t>
  </si>
  <si>
    <t>Kabupaten Jepara, Jawa Tengah</t>
  </si>
  <si>
    <t xml:space="preserve">https://drive.google.com/drive/folders/1dsYqEqelctlZxB4Hys2aTvWw_xo7AZBD?usp=drive_link </t>
  </si>
  <si>
    <t>085238383337</t>
  </si>
  <si>
    <t>Nursia. M, S.Pd., Gr</t>
  </si>
  <si>
    <t>3.30</t>
  </si>
  <si>
    <t>https://drive.google.com/drive/folders/1QCz4bH3wjl2517dnFzL0-0FyB0_Hr0eA?usp=sharing</t>
  </si>
  <si>
    <t>082264140874</t>
  </si>
  <si>
    <t xml:space="preserve">https://drive.google.com/file/d/1iCxSV9hd262CkcTCjL23f6n7t7EoV6ur/view?usp=sharing </t>
  </si>
  <si>
    <t>Sartika,S.Pd., Gr.</t>
  </si>
  <si>
    <t>3.58</t>
  </si>
  <si>
    <t>https://drive.google.com/file/d/11wzIy8pLPUhf9NFE6RP2ma53wXYu3e4C/view?usp=drivesdk</t>
  </si>
  <si>
    <t>Alumni PPG Calon Guru / Prajabatan FKIP UNS</t>
  </si>
  <si>
    <t>X942408406</t>
  </si>
  <si>
    <t>D0418008</t>
  </si>
  <si>
    <t>085395374324</t>
  </si>
  <si>
    <t>PENDIDIKAN JASMANI</t>
  </si>
  <si>
    <t>UNIVERSITAS SEBELAS MARET SURAKARTA</t>
  </si>
  <si>
    <t>Tenaga pendampingan pembelajaran mata Pelajaran Bahasa Inggris</t>
  </si>
  <si>
    <t>ALFIATY SAID</t>
  </si>
  <si>
    <t>PENDIDIKAN BAHASA INGGRIS</t>
  </si>
  <si>
    <t>3.17</t>
  </si>
  <si>
    <t>Bahasa Inggris</t>
  </si>
  <si>
    <t>3.25</t>
  </si>
  <si>
    <t>https://drive.google.com/file/d/1peyjAV00fNYAk1KhW_TI0Z-Tyzfr-pjB/view?usp=drive_link</t>
  </si>
  <si>
    <t>085216569995</t>
  </si>
  <si>
    <t>puspitadianaarumawati@gmail.com</t>
  </si>
  <si>
    <t>Puspita Diana Arumawati, M.Pd., Gr.</t>
  </si>
  <si>
    <t>082313256124</t>
  </si>
  <si>
    <t>belum diumumkan</t>
  </si>
  <si>
    <t>Tenaga pendampingan pembelajaran mata Pelajaran Bimbingan dan Konseling</t>
  </si>
  <si>
    <t>Ach. Isbat Fauzi, S.Pd., Kons., Gr.</t>
  </si>
  <si>
    <t>Pendidikan Biologi</t>
  </si>
  <si>
    <t>S1 Bimbingan dan Konseling</t>
  </si>
  <si>
    <t>3.75</t>
  </si>
  <si>
    <t>Universitas Negeri Semarang</t>
  </si>
  <si>
    <t>Bimbingan dan Konseling</t>
  </si>
  <si>
    <t>3.89</t>
  </si>
  <si>
    <t>https://drive.google.com/file/d/14w0SrHcah5KVYYJRxX4GoYuo6Arj4xmT/view?usp=drivesdk</t>
  </si>
  <si>
    <t>Biologi</t>
  </si>
  <si>
    <t>PPG Prajabatan Gelombang 2 Tahun 2022</t>
  </si>
  <si>
    <t>3.49</t>
  </si>
  <si>
    <t>3.94</t>
  </si>
  <si>
    <t>Kabupaten Boyolali, Jawa Tengah</t>
  </si>
  <si>
    <t>081330307316</t>
  </si>
  <si>
    <t>Tenaga pendampingan pembelajaran mata Pelajaran Ilmu Pengetahuan Alam (IPA) untuk mengajar mata pelajaran Biologi, Kimia, Fisika</t>
  </si>
  <si>
    <t>SARNI SIYAUTA</t>
  </si>
  <si>
    <t>BIMBINGAN KONSELING ISLAM</t>
  </si>
  <si>
    <t>3.85</t>
  </si>
  <si>
    <t>https://drive.google.com/file/d/10gR1poUJUv4Bp7RvR9-QMDkoqIoCFID6/view?usp=drivesdk</t>
  </si>
  <si>
    <t>https://drive.google.com/drive/folders/16x0nmGx6I5WGw8jgQGGJwL-c62fCaeiM?usp=drive_link</t>
  </si>
  <si>
    <t>082197933296</t>
  </si>
  <si>
    <t xml:space="preserve">Puspa Indah Sulistyaningrum </t>
  </si>
  <si>
    <t>3.67</t>
  </si>
  <si>
    <t>Ilmu Pengetahuan Alam (IPA)</t>
  </si>
  <si>
    <t>https://drive.google.com/drive/folders/1-40u8UNH_SNeIkwr8FZ6hdjDyNuH11WZ</t>
  </si>
  <si>
    <t>Email</t>
  </si>
  <si>
    <t>https://drive.google.com/drive/folders/1LUwVcKfRJZTw2XbLLprTSDJ04eWDmd0c?usp=sharing</t>
  </si>
  <si>
    <t>Nama Lengkap</t>
  </si>
  <si>
    <t>Jabatan yang dilamar</t>
  </si>
  <si>
    <t>Kelulusan</t>
  </si>
  <si>
    <t>085648823789</t>
  </si>
  <si>
    <t>Jadwal Wawancara</t>
  </si>
  <si>
    <t>Link Zoom</t>
  </si>
  <si>
    <t>azizahfajriatul@student.uns.ac.id</t>
  </si>
  <si>
    <t>Samsifar, S. Pd</t>
  </si>
  <si>
    <t xml:space="preserve">Pendidikan Biologi </t>
  </si>
  <si>
    <t xml:space="preserve">Tidak ada Transkrip PPG, Hanya Sertifikat Pendidik </t>
  </si>
  <si>
    <t>Fajriatul 'Azizah, S.Ak, Gr</t>
  </si>
  <si>
    <t>https://drive.google.com/file/d/125S5BykyAsUYhePZcozF54aMpBkwCf9m/view?usp=drivesdk</t>
  </si>
  <si>
    <t>jumyafisika18@gmail.com</t>
  </si>
  <si>
    <t>JUMYANY SYNTHA MAOLA KADANG, S.Pd.,Gr</t>
  </si>
  <si>
    <t>085396857305</t>
  </si>
  <si>
    <t>hikaru.qreina@gmail.com</t>
  </si>
  <si>
    <t>Nur Laili Afrida, S.Pd</t>
  </si>
  <si>
    <t>-</t>
  </si>
  <si>
    <t>Shabrina, S.Pd., M.Pd., Gr.</t>
  </si>
  <si>
    <t>nurfazria.m@gmail.com</t>
  </si>
  <si>
    <t>Pendidikan Fisika</t>
  </si>
  <si>
    <t>X9022084121</t>
  </si>
  <si>
    <t>3.40</t>
  </si>
  <si>
    <t>Fisika</t>
  </si>
  <si>
    <t>Nur Fazria Masfufah, S.Pd., M.Pd</t>
  </si>
  <si>
    <t xml:space="preserve"> 86.66</t>
  </si>
  <si>
    <t xml:space="preserve"> https://www.youtube.com/watch?v=jM1e_5OwKnw</t>
  </si>
  <si>
    <t>rahmawatiputri593@gmail.com</t>
  </si>
  <si>
    <t>Putri Rahmawati, S.Pd., Gr.</t>
  </si>
  <si>
    <t>roufjepara23@gmail.com</t>
  </si>
  <si>
    <t>Muhammad Abdur Rouf, M.Pd., Gr</t>
  </si>
  <si>
    <t>nadiyya.husna26@gmail.com</t>
  </si>
  <si>
    <t>Nadiyyatul Husna, S.PD., Gr.</t>
  </si>
  <si>
    <t>renildaariyani@gmail.com</t>
  </si>
  <si>
    <t>Renilda Ariyani Saragih</t>
  </si>
  <si>
    <t>082333952223</t>
  </si>
  <si>
    <t>samsulbahrinangalili@gmail.com</t>
  </si>
  <si>
    <t>samsul bahri S.Pd, Gr</t>
  </si>
  <si>
    <t>awmega12@gmail.com</t>
  </si>
  <si>
    <t>Mega Asyha Widiyarti, S.Pd</t>
  </si>
  <si>
    <t>afdalandhy22@gmail.com</t>
  </si>
  <si>
    <t>Muh. Andy Afdal, S.Pd., M.Pd., Gr.</t>
  </si>
  <si>
    <t>arisetya20@gmail.com</t>
  </si>
  <si>
    <t>Wa Ode SaputryNingrat, S.Pd., Gr</t>
  </si>
  <si>
    <t>Ari Setya Kusuma Ningrum,S.Pd.,Gr.</t>
  </si>
  <si>
    <t>Pendidikan Kimia</t>
  </si>
  <si>
    <t>3.36</t>
  </si>
  <si>
    <t>Kimia</t>
  </si>
  <si>
    <t>alimdad573@gmail.com</t>
  </si>
  <si>
    <t xml:space="preserve">Al Imdad Kholid Mawardi </t>
  </si>
  <si>
    <t>https://drive.google.com/file/d/12O1DB7FIoqIZRTC1SggA8lB7Wtp7A1WW/view?usp=drivesdk</t>
  </si>
  <si>
    <t>badruntamam22@gmail.com</t>
  </si>
  <si>
    <t>M Badrun Tamam,S.M.,M.Pd.,Gr.</t>
  </si>
  <si>
    <t>setyatya885@gmail.com</t>
  </si>
  <si>
    <t>Tri Wahyu Setyaningrum, S.Pd. Gr.</t>
  </si>
  <si>
    <t>nurulazila117@gmail.com</t>
  </si>
  <si>
    <t>NURUL AZILA ROMDANI</t>
  </si>
  <si>
    <t>aguspurwanto9898@gmail.com</t>
  </si>
  <si>
    <t>Agus Purwanto, S.Pd,. Gr</t>
  </si>
  <si>
    <t>ppg.rizqiramayanti03@program.belajar.id</t>
  </si>
  <si>
    <t xml:space="preserve">Rizqi Ramayanti, S.Pd., Gr. </t>
  </si>
  <si>
    <t>081342973823</t>
  </si>
  <si>
    <t>ajengnurulwalidaenii@gmail.com</t>
  </si>
  <si>
    <t>Ajeng Nurul Walidaeni, S.Pd., Gr.</t>
  </si>
  <si>
    <t>ratratih123@gmail.com</t>
  </si>
  <si>
    <t xml:space="preserve">Ratih Perwita Sari, S. Pd., Gr. </t>
  </si>
  <si>
    <t>WH. HANAT THAHIRAH A., S.Pd, Gr.</t>
  </si>
  <si>
    <t>3.42</t>
  </si>
  <si>
    <t>Pendidikan Guru Sekolah Dasar (PGSD)</t>
  </si>
  <si>
    <t>hanafifuad33@gmail.com</t>
  </si>
  <si>
    <t>https://drive.google.com/folderview?id=1-GJrqYOfO4bnWQzG1X4FXH_EjpFWvBSi</t>
  </si>
  <si>
    <t>ppg.abdulrovii83@program.belajar.id</t>
  </si>
  <si>
    <t>Abdul Rovi'i, S.Pd., Gr., M.Pd.</t>
  </si>
  <si>
    <t xml:space="preserve">Fuad Hanafi, S.Pd., Gr. </t>
  </si>
  <si>
    <t>adheliaedusena@gmail.com</t>
  </si>
  <si>
    <t>Adhelia Rahma Sari, S.Pd., Gr., M.Sc</t>
  </si>
  <si>
    <t>fikriahmadkamalmahbub@gmail.com</t>
  </si>
  <si>
    <t>Fikri Ahmad Kamal, S.Pd., M.Pd., Gr.</t>
  </si>
  <si>
    <t>thomas443@guru.sd.belajar.id</t>
  </si>
  <si>
    <t>Thomas Faisal, S.Pd, Gr.</t>
  </si>
  <si>
    <t>annamargiana3255@gmail.com</t>
  </si>
  <si>
    <t>MARGIANA, S.E., Gr</t>
  </si>
  <si>
    <t>087836197102</t>
  </si>
  <si>
    <t>noorfanika2@gmail.com</t>
  </si>
  <si>
    <t>Noor Fanika, S.Pd., Gr</t>
  </si>
  <si>
    <t>082355139889</t>
  </si>
  <si>
    <t>noorfanikatugas@gmail.com</t>
  </si>
  <si>
    <t>Noor Fanika, S.Pd., Gr.</t>
  </si>
  <si>
    <t>syeh.aindalloh11@guru.smp.belajar.id</t>
  </si>
  <si>
    <t>SYEH 'AINDALLOH, S.Pd., M.Pd.</t>
  </si>
  <si>
    <t>imamsayuti8670@gmail.com</t>
  </si>
  <si>
    <t>Tenaga pendampingan pembelajaran mata Pelajaran Ilmu Pengetahuan Sosial (IPS) untuk mengajar mata pelajaran Sosiologi, Ekonomi, Geografi, dan Sejarah</t>
  </si>
  <si>
    <t>IMAM SAYUTI, S.Pd</t>
  </si>
  <si>
    <t>Parif, S.Pd., Gr.</t>
  </si>
  <si>
    <t>Pendidikan Akuntansi</t>
  </si>
  <si>
    <t>kumoro.pr06@gmail.com</t>
  </si>
  <si>
    <t xml:space="preserve">Kumoro Prahastini </t>
  </si>
  <si>
    <t>3.63</t>
  </si>
  <si>
    <t>Akuntansi dan Keuangan</t>
  </si>
  <si>
    <t>Universitas Muhammadiyah Surakarta</t>
  </si>
  <si>
    <t>3.95</t>
  </si>
  <si>
    <t>https://drive.google.com/drive/folders/1GuUofoo8Ml4RxgfNRLC35L22Cqhy-kvo?usp=drive_link</t>
  </si>
  <si>
    <t>anggasenju1234@gmail.com</t>
  </si>
  <si>
    <t>Angga Saputra, S.Pd</t>
  </si>
  <si>
    <t>syeh.aindalloh.2301218@students.um.ac.id</t>
  </si>
  <si>
    <t>SYEH 'AINDALLOH,S.Pd., M.Pd.</t>
  </si>
  <si>
    <t>elsygusmayanti038@gmail.com</t>
  </si>
  <si>
    <t>Elsy Gusmayanti,M.Pd</t>
  </si>
  <si>
    <t>PPG Prajabatan Gelombang 1 Tahun 2024</t>
  </si>
  <si>
    <t>novinurivanir@gmail.com</t>
  </si>
  <si>
    <t>NOVI NUR IVANI RAHMAH, S.Pd, Gr</t>
  </si>
  <si>
    <t>hidayatiruyatul22@gmail.com</t>
  </si>
  <si>
    <t>Ru'yatul Hidayati, S. Pd., Gr</t>
  </si>
  <si>
    <t>rifkihermawan19@gmail.com</t>
  </si>
  <si>
    <t>Muhamad Rifki Hermawan</t>
  </si>
  <si>
    <t>leny.wijayaanggraini@gmail.com</t>
  </si>
  <si>
    <t>LENY ANGGRAINI WIJAYA, S.Pd.,Gr.</t>
  </si>
  <si>
    <t>3.79</t>
  </si>
  <si>
    <t>085340567074</t>
  </si>
  <si>
    <t>qotrunnadafitriadisvaadisva@gmail.com</t>
  </si>
  <si>
    <t>QOTRUN NADA FITRI ADISVA,S.Pd,Gr</t>
  </si>
  <si>
    <t>silmikurnias@gmail.com</t>
  </si>
  <si>
    <t>3.86</t>
  </si>
  <si>
    <t>SILMI KURNIA SA'ADAH, S.Pd.</t>
  </si>
  <si>
    <t>tahirfitridwiningtiasri80@gmail.com</t>
  </si>
  <si>
    <t>Wahyu Nugroho, S.Pd., Gr</t>
  </si>
  <si>
    <t>Fitri Dwi Ningtias, S.Pd., Gr.</t>
  </si>
  <si>
    <t>Sragen, Jawa Tengah</t>
  </si>
  <si>
    <t>S1-Pendidikan Sejarah</t>
  </si>
  <si>
    <t>3.41</t>
  </si>
  <si>
    <t>aulia87571@gmail.com</t>
  </si>
  <si>
    <t>Sejarah</t>
  </si>
  <si>
    <t>Aulia Isnaini Nurul Fadilah, S.Pd., Gr.</t>
  </si>
  <si>
    <t>https://drive.google.com/drive/folders/1jt4YLBNVmmQlbLqan48uzpTgjZJgPJtc</t>
  </si>
  <si>
    <t>remonpatty79@gmail.com</t>
  </si>
  <si>
    <t>Remon Patty ,S.Pd.Gr</t>
  </si>
  <si>
    <t>mfaisalrizqypratama915@gmail.com</t>
  </si>
  <si>
    <t>M. Faisal Rizqy Pratama, S.Si., Gr.</t>
  </si>
  <si>
    <t>jihannafira98@gmail.com</t>
  </si>
  <si>
    <t>Wisnu Ega Pratama, S.Pd., Gr.</t>
  </si>
  <si>
    <t>yusrainidaulay705@gmail.com</t>
  </si>
  <si>
    <t>YUSRAINI DAULAY, S. Pd, Gr</t>
  </si>
  <si>
    <t>085340348364</t>
  </si>
  <si>
    <t>https://drive.google.com/drive/folders/1sbX_gWwophHrTMrZOyC0f5Nbdw36cMSx</t>
  </si>
  <si>
    <t>ramli.ramli13111994@gmail.com</t>
  </si>
  <si>
    <t>Ramli</t>
  </si>
  <si>
    <t>ppg.destydiniardianty82@program.belajar.id</t>
  </si>
  <si>
    <t>Desty Dini Ardianty, S.Pd.,Gr</t>
  </si>
  <si>
    <t>Tenaga pendampingan pembelajaran mata Pelajaran Matematika (umum)</t>
  </si>
  <si>
    <t>Devianti S. Pd., Gr</t>
  </si>
  <si>
    <t>ohyossicahya@gmail.com</t>
  </si>
  <si>
    <t>Matematika</t>
  </si>
  <si>
    <t>Yosi Cahyaningtiyas Fitri, S.Pd., Gr., M.Pd</t>
  </si>
  <si>
    <t>3.16</t>
  </si>
  <si>
    <t>https://drive.google.com/file/d/1xC1-O8NQibAtMRCBDo8VBwZEXn2Edt3L/view?usp=drivesdk</t>
  </si>
  <si>
    <t>rinahardianti2@gmail.com</t>
  </si>
  <si>
    <t>Rina Hardianti, S.Si., Gr.</t>
  </si>
  <si>
    <t>agus01065@gmail.com</t>
  </si>
  <si>
    <t>Agus Susanto, ST, Gr</t>
  </si>
  <si>
    <t>nungky.rantatriana@gmail.com</t>
  </si>
  <si>
    <t>Nungky Ranta Triana S.Pd.,Gr</t>
  </si>
  <si>
    <t>taufikhidayat.03123@gmail.com</t>
  </si>
  <si>
    <t xml:space="preserve">Taufik Hidayat, M.Pd </t>
  </si>
  <si>
    <t>handikasetyadarma@gmail.com</t>
  </si>
  <si>
    <t>Handika Setya Darma, S.Pd., Gr.</t>
  </si>
  <si>
    <t>cinta29rahmalia@gmail.com</t>
  </si>
  <si>
    <t>082271337970</t>
  </si>
  <si>
    <t xml:space="preserve">Cinta Rahmalia Ulfa, S.Pd., M.Pd. </t>
  </si>
  <si>
    <t>kiswari.lusida@gmail.com</t>
  </si>
  <si>
    <t>Lusida Kiswari, S.Pd. Gr.</t>
  </si>
  <si>
    <t>https://drive.google.com/drive/folders/1nSG76BaQdtMG-CDvZEJRGPQJe22CUPnC</t>
  </si>
  <si>
    <t>officialatriahanif@gmail.com</t>
  </si>
  <si>
    <t>Atria Hanif Dwi Rahayu, S.Pd.,Gr.</t>
  </si>
  <si>
    <t>luzyhapsara4@gmail.com</t>
  </si>
  <si>
    <t>Luzy hapsara</t>
  </si>
  <si>
    <t>putrinataliasidabutar9383@gmail.com</t>
  </si>
  <si>
    <t xml:space="preserve">Putri Natalia Sidabutar, S. Pd., Gr. </t>
  </si>
  <si>
    <t>Enny Maharani, S.Pd.,Gr</t>
  </si>
  <si>
    <t>Pendidikan Matematika</t>
  </si>
  <si>
    <t>3.60</t>
  </si>
  <si>
    <t>ppg.sofyanhidayatulloh10@program.belajar.id</t>
  </si>
  <si>
    <t>Sofyan Soleh Nur Hidayatulloh, S.Pd., Gr.</t>
  </si>
  <si>
    <t>https://drive.google.com/file/d/1YlN9LWOGX_duy7lpVzaDTpDDBGlh7HwO/view?usp=drivesdk</t>
  </si>
  <si>
    <t>achmadsabani98@gmail.com</t>
  </si>
  <si>
    <t>Achmad Sa'bani S.Pd, Gr</t>
  </si>
  <si>
    <t>riskadamay280@gmail.com</t>
  </si>
  <si>
    <t>Riska Damayanti, S.Pd.Gr</t>
  </si>
  <si>
    <t>alvian160894@gmail.com</t>
  </si>
  <si>
    <t>Alviansyah, S.Pd., M.Pd.</t>
  </si>
  <si>
    <t>opikrina94@gmail.com</t>
  </si>
  <si>
    <t>Rina Opik, S.Pd., Gr.</t>
  </si>
  <si>
    <t>sutrisno051@guru.sd.belajar.id</t>
  </si>
  <si>
    <t>SUTRISNO, S.Pd.I., M.Pd.</t>
  </si>
  <si>
    <t>putri_1905026033@student.walisongo.ac.id</t>
  </si>
  <si>
    <t>Dyah Putri Purnamasari, S. E., Gr.</t>
  </si>
  <si>
    <t>082291582572</t>
  </si>
  <si>
    <t>zainulngage@gmail.com</t>
  </si>
  <si>
    <t>Zainul Arifin, S.Si., Gr.</t>
  </si>
  <si>
    <t>novrianirahmah99@gmail.com</t>
  </si>
  <si>
    <t>Novriani Rahmah, S.Pd, Gr</t>
  </si>
  <si>
    <t>rdpr95@gmail.com</t>
  </si>
  <si>
    <t>Rizki Dimas Puji Raharjo, S.Pd, Gr., M.M</t>
  </si>
  <si>
    <t>Resky Nur Fatimah, S.Pd.,Gr.</t>
  </si>
  <si>
    <t>Tadris Matematika</t>
  </si>
  <si>
    <t>fanisadwi13@gmail.com</t>
  </si>
  <si>
    <t>X942408195</t>
  </si>
  <si>
    <t>Anisa Dwi Febriyanti, S.Ag</t>
  </si>
  <si>
    <t>irwandidarwin01@gmail.com</t>
  </si>
  <si>
    <t>Irwandi, S.Pd, Gr.</t>
  </si>
  <si>
    <t>https://drive.google.com/file/d/1K8Bi3qh64CvDS9EXYN8fxBMknWkIhU7a/view?usp=drive_link</t>
  </si>
  <si>
    <t>elvitarahmamei@gmail.com</t>
  </si>
  <si>
    <t>Rahma Mei Elvita, S.Pd.Gr</t>
  </si>
  <si>
    <t>lutfikhakim30@gmail.com</t>
  </si>
  <si>
    <t>Lutfi Khakim, M.Pd</t>
  </si>
  <si>
    <t>ramlizzha9@gmail.com</t>
  </si>
  <si>
    <t>daprianti596@gmail.com</t>
  </si>
  <si>
    <t>Desi Aprianti, S.Pd., Gr., M.Pd.</t>
  </si>
  <si>
    <t>fianazulfa11@gmail.com</t>
  </si>
  <si>
    <t>Siti Alfiana Zulfa S.Pd, Gr</t>
  </si>
  <si>
    <t>Universitas Sebelas Maret</t>
  </si>
  <si>
    <t>reyneldaadmar47@gmail.com</t>
  </si>
  <si>
    <t>085299366207</t>
  </si>
  <si>
    <t>Reynelda Admar Bartha, S.Pd., Gr</t>
  </si>
  <si>
    <t>afadholi43@gmail.com</t>
  </si>
  <si>
    <t>Ahmad Fadholi, S.Pd., Gr.</t>
  </si>
  <si>
    <t>nurramadanif@gmail.com</t>
  </si>
  <si>
    <t>Nur Ramadani Fitri, S.Tr.T., Gr.</t>
  </si>
  <si>
    <t>Rosliana,S.Pd</t>
  </si>
  <si>
    <t>zahratul186@gmail.com</t>
  </si>
  <si>
    <t>3.71</t>
  </si>
  <si>
    <t>ZAHRATUL JANNAH, S.Si.</t>
  </si>
  <si>
    <t>https://drive.google.com/drive/folders/1yVRF9S8gmJh2aANEg8KX6ndxm6WfzhOc?usp=sharing</t>
  </si>
  <si>
    <t>hatta.dinata1@gmail.com</t>
  </si>
  <si>
    <t>HATTA DINATA</t>
  </si>
  <si>
    <t>deliepde93@gmail.com</t>
  </si>
  <si>
    <t>Laela Noor Fa'izah, S.Pd, M.Pd. Gr</t>
  </si>
  <si>
    <t>trisuryo55@gmail.com</t>
  </si>
  <si>
    <t>TRI SURYO HADI WIBOWO, S.Pd., M.Pd., Gr.</t>
  </si>
  <si>
    <t>itishomul.hanif@gmail.com</t>
  </si>
  <si>
    <t>I'tishomul Hanif, S.Pi., Gr.</t>
  </si>
  <si>
    <t>turaekhanamin59@gmail.com</t>
  </si>
  <si>
    <t>Turaekhan, S.Pd.,M.Pd.</t>
  </si>
  <si>
    <t>085395341807</t>
  </si>
  <si>
    <t>nralaam2@gmail.com</t>
  </si>
  <si>
    <t>Nur Alam, S.Pd., Gr.</t>
  </si>
  <si>
    <t>ppg.dindawulandari00@program.belajar.id</t>
  </si>
  <si>
    <t xml:space="preserve">Dinda Wulandari </t>
  </si>
  <si>
    <t>Siti Harniani, S. Pd</t>
  </si>
  <si>
    <t>risaulisihite04@gmail.com</t>
  </si>
  <si>
    <t>Risauli J.Sihite S.Pd</t>
  </si>
  <si>
    <t>ermitaalawiyah@gmail.com</t>
  </si>
  <si>
    <t>Ermita Khusniyatul Alawiyah, S.Si., Gr.</t>
  </si>
  <si>
    <t>https://drive.google.com/drive/folders/1w3AotyxcLiwjWuZcnqdtSFTGCadiF0xD?usp=sharing</t>
  </si>
  <si>
    <t>nalapawitri81@gmail.com</t>
  </si>
  <si>
    <t>Nala Pawitri Andanawarih, S.Pd.,Gr</t>
  </si>
  <si>
    <t>089515819690</t>
  </si>
  <si>
    <t>085342840408</t>
  </si>
  <si>
    <t>Pendidikan Seni Tari</t>
  </si>
  <si>
    <t>Seni Budaya</t>
  </si>
  <si>
    <t>Susi Susanti, S.Pd.,Gr</t>
  </si>
  <si>
    <t xml:space="preserve">Tadris matematika </t>
  </si>
  <si>
    <t>3.59</t>
  </si>
  <si>
    <t>PPG Prajabatan Gelombang 1 Tahun 2023</t>
  </si>
  <si>
    <t>https://drive.google.com/file/d/1L2HeacFitfJzYYLnhEHSiZpRNZi6DIfH/view?usp=drivesdk</t>
  </si>
  <si>
    <t>fitriawahyuwulansari330@gmail.com</t>
  </si>
  <si>
    <t>Fitria Wahyu Wulansari, S.Pd., Gr.</t>
  </si>
  <si>
    <t>3.28</t>
  </si>
  <si>
    <t>ppg.alakhnah81@program.belajar.id</t>
  </si>
  <si>
    <t>Al Manunal Akhnah M.Pd</t>
  </si>
  <si>
    <t>sitilistiyowati007@gmail.com</t>
  </si>
  <si>
    <t>SITI LISTIYOWATI</t>
  </si>
  <si>
    <t>Banyumas, Jawa Tengah</t>
  </si>
  <si>
    <t>085256386808</t>
  </si>
  <si>
    <t>suryadwiprabowo@gmail.com</t>
  </si>
  <si>
    <t>Surya Dwi Prabowo, S.Pd., Gr.</t>
  </si>
  <si>
    <t>Tenaga pendampingan pembelajaran mata Pelajaran Seni, Budaya, dan Prakarya</t>
  </si>
  <si>
    <t>amalia.isfina17@gmail.com</t>
  </si>
  <si>
    <t>Isfina Amalia, S.Pd. Gr.</t>
  </si>
  <si>
    <t>FATCHUR RAHMAN S.Pd., Gr.</t>
  </si>
  <si>
    <t>wahyuniabdillah91@gmail.com</t>
  </si>
  <si>
    <t xml:space="preserve">Pendidikan Jasmani Kesehatan dan Rekreasi </t>
  </si>
  <si>
    <t>Wahyuni Abdillah, S.Pd. Gr.</t>
  </si>
  <si>
    <t>3.78</t>
  </si>
  <si>
    <t>https://drive.google.com/file/d/143JHDzse3sObZEzbFHQZvZdWWfCEdKTl/view?usp=drivesdk</t>
  </si>
  <si>
    <t>ppg.aiadawiyah01@program.belajar.id</t>
  </si>
  <si>
    <t>Ai Siti Rabiah Adawiyah, S.Pd.</t>
  </si>
  <si>
    <t>marvelaintan@gmail.com</t>
  </si>
  <si>
    <t>Intan Marvela, S.Pd., Gr.</t>
  </si>
  <si>
    <t xml:space="preserve">https://drive.google.com/drive/folders/1yCvx2arxXyITby30A4zMMaHb1zIP3NMt?hl=ID </t>
  </si>
  <si>
    <t>maulidiauswatun15@gmail.com</t>
  </si>
  <si>
    <t>Maulidia, Uswatun Khasanah, S.Pd</t>
  </si>
  <si>
    <t>salmawati3april@gmail.com</t>
  </si>
  <si>
    <t>Gina Puspita, S.Pd.,Gr</t>
  </si>
  <si>
    <t>082135297868</t>
  </si>
  <si>
    <t>maliyaimama@gmail.com</t>
  </si>
  <si>
    <t>Maliya Nur Imamah, S.Pd.</t>
  </si>
  <si>
    <t>saviraputriwulandari@gmail.com</t>
  </si>
  <si>
    <t>Savira Putri Wulandari S.P. Gr</t>
  </si>
  <si>
    <t>gipuspita6@gmail.com</t>
  </si>
  <si>
    <t>Sitti Zahra Riarana Arqam, S.Pd.Gr</t>
  </si>
  <si>
    <t>X902308613</t>
  </si>
  <si>
    <t>Pendidikan Jasmani, Kesehatan dan Rekreasi</t>
  </si>
  <si>
    <t>3.35</t>
  </si>
  <si>
    <t>https://drive.google.com/drive/folders/1v7ET-0MLyK3nfkDv6QSCOQu7jdaH58zl</t>
  </si>
  <si>
    <t xml:space="preserve">Pendidikan Seni Tari </t>
  </si>
  <si>
    <t>anishusna.ah@gmail.com</t>
  </si>
  <si>
    <t>Anis Risalatul Husna, S.Pd., Gr.</t>
  </si>
  <si>
    <t>septiannisme179@gmail.com</t>
  </si>
  <si>
    <t>SEPTIAN DWI ANTO, M.Pd</t>
  </si>
  <si>
    <t>085399527002</t>
  </si>
  <si>
    <t>citraasmaradewi@gmail.com</t>
  </si>
  <si>
    <t>Citra Asmara Dewi, S.Pd., Gr., M.Pd.</t>
  </si>
  <si>
    <t>nenengegif@gmail.com</t>
  </si>
  <si>
    <t xml:space="preserve">Neneng Egi Febriyani, S.Pd., Gr. </t>
  </si>
  <si>
    <t>Universitas Sebelas Maret (UNS)</t>
  </si>
  <si>
    <t>dindapratiwi14.dp@gmail.com</t>
  </si>
  <si>
    <t>Dinda Pratiwi, S.Pd., Gr</t>
  </si>
  <si>
    <t>Usman Adi Prabowo, S.Pd.</t>
  </si>
  <si>
    <t>S-1 Pendidikan Jasmani Sekolah Dasar</t>
  </si>
  <si>
    <t>syifasdnsidoagung@gmail.com</t>
  </si>
  <si>
    <t>SYIFA' LANA, S.Pd.,Gr.</t>
  </si>
  <si>
    <t>3.80</t>
  </si>
  <si>
    <t>rizkygalih65@gmail.com</t>
  </si>
  <si>
    <t>Rizky Galih Alamsyah, S.Pd.</t>
  </si>
  <si>
    <t>https://drive.google.com/drive/folders/11IqJDpjcTXnE4CSXbzC3pwb5BIKVYs--?usp=drive_link</t>
  </si>
  <si>
    <t>Kabupaten Jepara - Tenaga Administrasi</t>
  </si>
  <si>
    <t>linaamalia670@gmail.com</t>
  </si>
  <si>
    <t>Lina Amalia Nur Fadhilah, S.Pd.</t>
  </si>
  <si>
    <t>ernayuliana1504@gmail.com</t>
  </si>
  <si>
    <t>Erna Yuliana</t>
  </si>
  <si>
    <t>elisanunik@gmail.com</t>
  </si>
  <si>
    <t>Elisa Nurul Nikmah, S.Ak</t>
  </si>
  <si>
    <t>yusri.imza@gmail.com</t>
  </si>
  <si>
    <t>Yusri Imza Mahendra</t>
  </si>
  <si>
    <t>Kabupaten Buton Tengah - Tenaga Administrasi</t>
  </si>
  <si>
    <t>izzaaulia536@gmail.com</t>
  </si>
  <si>
    <t>Firdatul Izza Aulia, S.Pd.</t>
  </si>
  <si>
    <t>idrusmohammad36@gmail.com</t>
  </si>
  <si>
    <t>M IDRUS SHOLACHUDDIN, S.Kom</t>
  </si>
  <si>
    <t>082135909910</t>
  </si>
  <si>
    <t>zaenudinali0502@gmail.com</t>
  </si>
  <si>
    <t>Zaenudin Ali, S.Pd., M.Pd.</t>
  </si>
  <si>
    <t>zahraarqam@gmail.com</t>
  </si>
  <si>
    <t>riznawatimaspa@gmail.com</t>
  </si>
  <si>
    <t>Maspa Riznawati, S.Si</t>
  </si>
  <si>
    <t>abdigunawan747@gmail.com</t>
  </si>
  <si>
    <t>Abdi Gunawan S, S. Pd</t>
  </si>
  <si>
    <t>ratna7089@gmail.com</t>
  </si>
  <si>
    <t>Ratna Rahmawati</t>
  </si>
  <si>
    <t>yudiagung971@gmail.com</t>
  </si>
  <si>
    <t>Yudi Agung Prabowo S.Kom</t>
  </si>
  <si>
    <t>Winggar H, S.Pd., Gr.</t>
  </si>
  <si>
    <t>rstuaji2@gmail.com</t>
  </si>
  <si>
    <t>Restu Aji Prabowo, S.Kom</t>
  </si>
  <si>
    <t xml:space="preserve">PENDIDIKAN JASMANI KESEHATAN DAN REKREASI </t>
  </si>
  <si>
    <t>3.53</t>
  </si>
  <si>
    <t>Universitas Halu Oleo</t>
  </si>
  <si>
    <t>bilaega.xcol@gmail.com</t>
  </si>
  <si>
    <t>https://drive.google.com/file/d/1-BbTbD6dRGBlX3AWGJ92R7ATswHSzRJr/view?usp=drivesdk</t>
  </si>
  <si>
    <t>Nabila Ega Pramono, S.Pd.</t>
  </si>
  <si>
    <t>wanda.almira69@gmail.com</t>
  </si>
  <si>
    <t>Wanda Almira Nuha, S.E.</t>
  </si>
  <si>
    <t>niningerniwati89@gmail.com</t>
  </si>
  <si>
    <t>NINING ERNIWATI, S.AP</t>
  </si>
  <si>
    <t>khusus.ufaridha@gmail.com</t>
  </si>
  <si>
    <t>Puspa Ridha, S.Pd.</t>
  </si>
  <si>
    <t>nilahimatul67@gmail.com</t>
  </si>
  <si>
    <t>Nila Himatul Ulya, S.Pd.</t>
  </si>
  <si>
    <t>Kota kendari, Sulawesi Tenggara</t>
  </si>
  <si>
    <t>renanda3695@gmail.com</t>
  </si>
  <si>
    <t>Renanda Pratama Herdianto, S.Psi, Gr.</t>
  </si>
  <si>
    <t>naasrul.17@gmail.com</t>
  </si>
  <si>
    <t>Muhammad Nasrullah, S.Pd.</t>
  </si>
  <si>
    <t>senegalmaulid79@gmail.com</t>
  </si>
  <si>
    <t>085343887057</t>
  </si>
  <si>
    <t>La maulid, S. pd</t>
  </si>
  <si>
    <t>rijanitamariyana30@gmail.com</t>
  </si>
  <si>
    <t>Rijanita Mariyana</t>
  </si>
  <si>
    <t>work.defath@gmail.com</t>
  </si>
  <si>
    <t>Defathur Rizqi Pratama, S. Psi.</t>
  </si>
  <si>
    <t>musdalipahmz21@gmail.com</t>
  </si>
  <si>
    <t>Musdalipah, S.Pd</t>
  </si>
  <si>
    <t>https://drive.google.com/file/d/1RTVKYZC70VNFZ0Li44B1okppAyidoSP2/view?usp=sharing</t>
  </si>
  <si>
    <t>peserta.03111@ppg.belajar.id</t>
  </si>
  <si>
    <t>Laelatul Rohmah, SP.d., Gr.</t>
  </si>
  <si>
    <t>Allika Fadiyah Hasna, S.Pd., Gr</t>
  </si>
  <si>
    <t>sofia.nazmatul@gmail.com</t>
  </si>
  <si>
    <t>Sofia Nazmatul Alqibtiah, S.Pd</t>
  </si>
  <si>
    <t>rizky20ardi@gmail.com</t>
  </si>
  <si>
    <t>Muhammad Rizky Ardi Nugraha, S.Pd</t>
  </si>
  <si>
    <t>https://drive.google.com/file/d/1Eaqx9EWaqZ9QKFvtgEjSf1OH0v-fotPS/view?usp=drive_link</t>
  </si>
  <si>
    <t>midaryana.1410@gmail.com</t>
  </si>
  <si>
    <t>Srimidariyana, S.Pd</t>
  </si>
  <si>
    <t>hemas.pramesti19@gmail.com</t>
  </si>
  <si>
    <t>Hemas Woro Pramesti, A.Md. Kom</t>
  </si>
  <si>
    <t>nosiramalia15@gmail.com</t>
  </si>
  <si>
    <t>Khoirroh Amalia Nosira S. Hum.</t>
  </si>
  <si>
    <t>harja0908@gmail.com</t>
  </si>
  <si>
    <t>Randy Pratama Harja., S.Pd</t>
  </si>
  <si>
    <t>a31211201@gmail.com</t>
  </si>
  <si>
    <t>Anisa Amelia, S.Pd</t>
  </si>
  <si>
    <t>achmad.tahthawi13@admin.sd.belajar.id</t>
  </si>
  <si>
    <t>Achmad Tahthawi,S.Pd</t>
  </si>
  <si>
    <t>mazayakinanti@gmail.com</t>
  </si>
  <si>
    <t>Mazaya Deaswara Kinanti, S. Pd.</t>
  </si>
  <si>
    <t>Alumni PPG Calon Guru / Prajabatan FKIP UHO</t>
  </si>
  <si>
    <t>puputrmdhni21@gmail.com</t>
  </si>
  <si>
    <t>Putri Ramadhani, A.Md.T.</t>
  </si>
  <si>
    <t>0895422101144</t>
  </si>
  <si>
    <t>ihwalunja123@gmail.com</t>
  </si>
  <si>
    <t>Ihwal Rahagi Pratama, S. Pd</t>
  </si>
  <si>
    <t>fajrinajrin26@gmail.com</t>
  </si>
  <si>
    <t>FAJRIN</t>
  </si>
  <si>
    <t>hanaaprillia990@gmail.com</t>
  </si>
  <si>
    <t>Hana Aprillia, S.Pd.</t>
  </si>
  <si>
    <t>elakadosh1@gmail.com</t>
  </si>
  <si>
    <t>Elen Anjelina S</t>
  </si>
  <si>
    <t xml:space="preserve">Fadlilah Nurul Fajri Handayani., S.Pd., Gr. </t>
  </si>
  <si>
    <t>Rizky Adi Nugroho S.Pd., Gr.</t>
  </si>
  <si>
    <t>A3S224349</t>
  </si>
  <si>
    <t>3.82</t>
  </si>
  <si>
    <t>ppg.silviainsani96@program.belajar.id</t>
  </si>
  <si>
    <t>Silvia Alda Setya Insani, S.Pd., Gr.</t>
  </si>
  <si>
    <t>https://drive.google.com/drive/folders/1DvcSMjkGajB_4DTsRI2BJi9k6R619G3v</t>
  </si>
  <si>
    <t>dickyadis2000@gmail.com</t>
  </si>
  <si>
    <t>DICKY ADI SETIAWAN, S.Pd.</t>
  </si>
  <si>
    <t>mahtadaraahsananadiyya@mail.ugm.ac.id</t>
  </si>
  <si>
    <t>Mahta Dara Ahsana Nadiyya, S.Tr.S.I.</t>
  </si>
  <si>
    <t>fahmilatifahh@gmail.com</t>
  </si>
  <si>
    <t>FAHMI LATIFAH, S.Pd., Gr</t>
  </si>
  <si>
    <t>cayapw132@gmail.com</t>
  </si>
  <si>
    <t>Caya Pramudita Wulandari, S. Pd</t>
  </si>
  <si>
    <t>wachidh629@gmail.com</t>
  </si>
  <si>
    <t>Nur Wachid Hasyim, S.M.</t>
  </si>
  <si>
    <t>muhammad.r.ihza@gmail.com</t>
  </si>
  <si>
    <t>Roby Muhammad Ihza, S.Kom</t>
  </si>
  <si>
    <t>farismaulana2220404@gmail.com</t>
  </si>
  <si>
    <t>Faris Maulana, S. Pd</t>
  </si>
  <si>
    <t>089664783413</t>
  </si>
  <si>
    <t>qurbams97@gmail.com</t>
  </si>
  <si>
    <t>AHMAD MUSHOLI QURBA MAULANA</t>
  </si>
  <si>
    <t>riyanafitri2812@gmail.com</t>
  </si>
  <si>
    <t>Pitriyana, S.Pd</t>
  </si>
  <si>
    <t>fidelarisna24@gmail.com</t>
  </si>
  <si>
    <t>Fidela Risna, S.I.P</t>
  </si>
  <si>
    <t>Firda Aulia Shalihah, S.Pd., Gr.</t>
  </si>
  <si>
    <t>ppg.syahnadinnuridha91@program.belajar.id</t>
  </si>
  <si>
    <t>zahratululya98@gmail.com</t>
  </si>
  <si>
    <t>Siti Zhahratul Ulya, S.Pd.</t>
  </si>
  <si>
    <t>3.96</t>
  </si>
  <si>
    <t>https://drive.google.com/file/d/14HJ3UJHAzqXiOJWas24_Koh5HDncUtR-/view?usp=sharing</t>
  </si>
  <si>
    <t>SYAHNADIN NURIDHA, S. Pd., Gr</t>
  </si>
  <si>
    <t>fadhilasalsabila1001@gmail.com</t>
  </si>
  <si>
    <t>Fadhila Salsabila, S.Si.</t>
  </si>
  <si>
    <t>ditaanin375@gmail.com</t>
  </si>
  <si>
    <t>ANINDITA PRIHANDINI, S.H.</t>
  </si>
  <si>
    <t>mefanialifin@gmail.com</t>
  </si>
  <si>
    <t>082322016171</t>
  </si>
  <si>
    <t>Mefani Alifin</t>
  </si>
  <si>
    <t>naimulloh22@guru.smk.belajar.id</t>
  </si>
  <si>
    <t>Naimulloh.ST</t>
  </si>
  <si>
    <t>S1 PENDIDIKAN IPA</t>
  </si>
  <si>
    <t>0838-9183-0300</t>
  </si>
  <si>
    <t>UNIVERSITAS NEGERI SEMARANG</t>
  </si>
  <si>
    <t>3.45</t>
  </si>
  <si>
    <t>SURAKARTA</t>
  </si>
  <si>
    <t>sittinurhalisa68@gmail.com</t>
  </si>
  <si>
    <t>Sitti Nurhalisa,S.Pd.,M.Pd</t>
  </si>
  <si>
    <t>pangestika861@gmail.com</t>
  </si>
  <si>
    <t>Nuning Wijayanti, S.Pd., Gr.</t>
  </si>
  <si>
    <t>Sitoresmi Warihpangestina, S.Pd</t>
  </si>
  <si>
    <t>https://drive.google.com/drive/folders/1zI1VsvS3r7N2xgGHzHSOeXsPBlYpL9ku?usp=sharing</t>
  </si>
  <si>
    <t>S1 Pendidikan Bahasa dan Sastra Indonesia</t>
  </si>
  <si>
    <t>wardajamaluddin312@gmail.com</t>
  </si>
  <si>
    <t>Warda</t>
  </si>
  <si>
    <t>https://drive.google.com/drive/folders/1cJkn_IoYOOXnOYMya1m1-G4ZZwiFqF5_</t>
  </si>
  <si>
    <t>mochamad.misbakhudin46@guru.smp.belajar.id</t>
  </si>
  <si>
    <t>INSANIA SAIDAH, A.Md.T</t>
  </si>
  <si>
    <t>hadrahdarif02@gmail.com</t>
  </si>
  <si>
    <t>Hadrah, S. Pd</t>
  </si>
  <si>
    <t>roy_iskhaq@iainponorogo.ac.id</t>
  </si>
  <si>
    <t>Roy Maulana Iskhaq, M.Pd.</t>
  </si>
  <si>
    <t>virasholihah24@gmail.com</t>
  </si>
  <si>
    <t>Vira Maratus Sholihah</t>
  </si>
  <si>
    <t>ummukalsum330@gmail.com</t>
  </si>
  <si>
    <t>Ummu Kalsum, S.Pd., M.Pd.</t>
  </si>
  <si>
    <t>082323953038</t>
  </si>
  <si>
    <t>nurulfatimahfatma.08@gmail.com</t>
  </si>
  <si>
    <t>Nurul Fatimah, S.Pd.</t>
  </si>
  <si>
    <t>latifrizka@gmail.com</t>
  </si>
  <si>
    <t>Rizka Latifatuz Zahro, S.Akun</t>
  </si>
  <si>
    <t>Nur Awaliyah, S.Pd</t>
  </si>
  <si>
    <t>X902308868</t>
  </si>
  <si>
    <t>diahwidia589@students.unnes.ac.id</t>
  </si>
  <si>
    <t>Diah Widiawati, S.H</t>
  </si>
  <si>
    <t>S1 Tadris Bahasa Inggris</t>
  </si>
  <si>
    <t>3.74</t>
  </si>
  <si>
    <t>tegarrizki28@gmail.com</t>
  </si>
  <si>
    <t>Tegar Rizki Ananda, S.Ak</t>
  </si>
  <si>
    <t>https://drive.google.com/drive/folders/1hp2AsPIKeEgMhUWbzwgDRHlp34wSTNCN?usp=sharing</t>
  </si>
  <si>
    <t>PENDIDIKAN IPA</t>
  </si>
  <si>
    <t>noor.aisyah.s2.07@gmail.com</t>
  </si>
  <si>
    <t>Noor Aisyah</t>
  </si>
  <si>
    <t>UNIVERSITAS SEBELAS MARET</t>
  </si>
  <si>
    <t>mamongr8@gmail.com</t>
  </si>
  <si>
    <t>Rismayanti, S.I.Kom</t>
  </si>
  <si>
    <t>sitinuraini3154@gmail.com</t>
  </si>
  <si>
    <t>Siti Nur Aini, S.Pd</t>
  </si>
  <si>
    <t>fitriana.an22@gmail.com</t>
  </si>
  <si>
    <t>Fitriana, S.Kom</t>
  </si>
  <si>
    <t>08813904359</t>
  </si>
  <si>
    <t>sansanhamdani7@gmail.com</t>
  </si>
  <si>
    <t>Sansan Hamdani S.Pd</t>
  </si>
  <si>
    <t>hevahevi18@gmail.com</t>
  </si>
  <si>
    <t>Hevi sa’aadah, S.E</t>
  </si>
  <si>
    <t>saripingky@gmail.com</t>
  </si>
  <si>
    <t>Pingki Puspita Sari, S. M.</t>
  </si>
  <si>
    <t xml:space="preserve">Asmilda Nur Rahmawati S. Pd., Gr. </t>
  </si>
  <si>
    <t>Bimbingan dan konseling</t>
  </si>
  <si>
    <t>sheilaferbyan@gmail.com</t>
  </si>
  <si>
    <t>Sheila Indri Ferbyan S.Pd</t>
  </si>
  <si>
    <t>https://drive.google.com/drive/folders/11lA10UXXoYhzvsfhUICgbtGtbGv8eSte</t>
  </si>
  <si>
    <t>fhiyanim470@gmail.com</t>
  </si>
  <si>
    <t>SUFIANI S.Pd</t>
  </si>
  <si>
    <t>intansinagagabrella@gmail.com</t>
  </si>
  <si>
    <t>INTAN GABRELLA SINAGA, S.PD</t>
  </si>
  <si>
    <t>fatinayamardha@gmail.com</t>
  </si>
  <si>
    <t>Salsabila Fatinaya Mardha</t>
  </si>
  <si>
    <t>yulianiamir19@gmail.com</t>
  </si>
  <si>
    <t>Yuliani, S.Kom., MCF., Gr</t>
  </si>
  <si>
    <t>syiadwi13@gmail.com</t>
  </si>
  <si>
    <t>ulivicilia@gmail.com</t>
  </si>
  <si>
    <t>08999882330</t>
  </si>
  <si>
    <t>Uli Vicilia Sitorus, S.Bns</t>
  </si>
  <si>
    <t>sekarcantikadhanyrahmania@gmail.com</t>
  </si>
  <si>
    <t>Sekar Cantika Dhany Rahmania, S.Pd</t>
  </si>
  <si>
    <t>zahrofath24@gmail.com</t>
  </si>
  <si>
    <t>Muhammad Ali Najich., M.Pd</t>
  </si>
  <si>
    <t>FATHIMATUZ ZAHRO</t>
  </si>
  <si>
    <t>Bimbingan dan Konseling Islam</t>
  </si>
  <si>
    <t>ashabilsalahudin@gmail.com</t>
  </si>
  <si>
    <t>Ashabil Salahudin, S.Pd</t>
  </si>
  <si>
    <t>https://drive.google.com/file/d/1nT111QsyrXyp_zYgfzUpVxBvNOXr5vjm/view?usp=drivesdk</t>
  </si>
  <si>
    <t>muhalfi5567@gmail.com</t>
  </si>
  <si>
    <t>Muhammad Alfin Fa'iz, S.Pd</t>
  </si>
  <si>
    <t>teguhepinda46@gmail.com</t>
  </si>
  <si>
    <t>Teguh Epinda, S.Pd</t>
  </si>
  <si>
    <t>Syifa Dwi Novita, S.Pd., Gr.</t>
  </si>
  <si>
    <t>agusprasojo860@gmail.com</t>
  </si>
  <si>
    <t>Agus Prasojo, S.T.</t>
  </si>
  <si>
    <t>aanindyapradesty@gmail.com</t>
  </si>
  <si>
    <t>Anindya Pradesty</t>
  </si>
  <si>
    <t>089608882627</t>
  </si>
  <si>
    <t>taufiqakbar150204@gmail.com</t>
  </si>
  <si>
    <t>085198239824</t>
  </si>
  <si>
    <t>Muhamad Taufiq Akbar, S.Pd.</t>
  </si>
  <si>
    <t>diyahayunidarochmawati@gmail.com</t>
  </si>
  <si>
    <t>DIYAH AYUNIDA ROCHMAWATI, S.M.</t>
  </si>
  <si>
    <t>agustinadianaputri3232@gmail.com</t>
  </si>
  <si>
    <t>Abiana Elfarabi S.Pd., Gr</t>
  </si>
  <si>
    <t>S1 Pendidikan Biologi</t>
  </si>
  <si>
    <t>S-1 Pendidikan Ilmu Pengetahuan Alam</t>
  </si>
  <si>
    <t>Agustina Diana Putro, S.Pd</t>
  </si>
  <si>
    <t>kidulan80@gmail.com</t>
  </si>
  <si>
    <t>Alifudin Mustofan, S.Kom</t>
  </si>
  <si>
    <t>Universitas Muhammadiyah Purwokerto</t>
  </si>
  <si>
    <t xml:space="preserve">https://drive.google.com/drive/folders/1ZMdpKDuNX2Ug5GuQm0IKJcqbtSXsXuoq?usp=sharing </t>
  </si>
  <si>
    <t>vionarahma0@gmail.com</t>
  </si>
  <si>
    <t>Viona Eka Rahmawati, S.A.P</t>
  </si>
  <si>
    <t>monikaayularasati@gmail.com</t>
  </si>
  <si>
    <t>Monika Ayu Larasati, S.E.</t>
  </si>
  <si>
    <t>ninanl1203@gmail.com</t>
  </si>
  <si>
    <t>NINA NUR LITA</t>
  </si>
  <si>
    <t>aqmarina568@gmail.com</t>
  </si>
  <si>
    <t>Nur Aqmarina S.Pd.</t>
  </si>
  <si>
    <t>berlianawafiroh@gmail.com</t>
  </si>
  <si>
    <t>Berliana Wafiroh, S.Psi</t>
  </si>
  <si>
    <t>wahyuningsihsiska94@gmail.com</t>
  </si>
  <si>
    <t>081354992286</t>
  </si>
  <si>
    <t>Siska Wahyu Ningsih, S.Pd</t>
  </si>
  <si>
    <t>3.98</t>
  </si>
  <si>
    <t>Kedungrandu RT 1 RW 3, Kecamatan Patikraja, Kabupaten Banyumas</t>
  </si>
  <si>
    <t>wavickawavv28@gmail.com</t>
  </si>
  <si>
    <t>Wavicka Nourma Kamila., S.Pd</t>
  </si>
  <si>
    <t>Atni Dwi Hasmara Yekti, S.Pd., Gr.</t>
  </si>
  <si>
    <t>ninachairani16@gmail.com</t>
  </si>
  <si>
    <t>Nina Chairani Nasution</t>
  </si>
  <si>
    <t>3.92</t>
  </si>
  <si>
    <t>3.93</t>
  </si>
  <si>
    <t>syarwaniabdan24@gmail.com</t>
  </si>
  <si>
    <t>https://drive.google.com/drive/folders/1mjoMheW0r7Ofaf4cfqv62KvsYys3__xT</t>
  </si>
  <si>
    <t>SYARWANI ABDAN</t>
  </si>
  <si>
    <t>gideonvk08@gmail.com</t>
  </si>
  <si>
    <t>Darel Viko Adiansyah</t>
  </si>
  <si>
    <t>nurlatifahhh13@gmail.com</t>
  </si>
  <si>
    <t>Nurlatifah, S.A.P</t>
  </si>
  <si>
    <t>https://drive.google.com/file/d/1X90srqhGWSBgzBIWf55Q0lMEEvUwXmVt/view?usp=sharing</t>
  </si>
  <si>
    <t>nihaangel567@gmail.com</t>
  </si>
  <si>
    <t>NIHA ANJALIL MUNA</t>
  </si>
  <si>
    <t>andinunulukman@gmail.com</t>
  </si>
  <si>
    <t>Andi Nurul Khaeriah Lukman, S.Pd.</t>
  </si>
  <si>
    <t>ihromzainul@gmail.com</t>
  </si>
  <si>
    <t>088980051908</t>
  </si>
  <si>
    <t>M ZAINUL IHROM S.Pd</t>
  </si>
  <si>
    <t>shofiyahilma591@gmail.com</t>
  </si>
  <si>
    <t>Hilma Shofiya Thoyibatun Nisya' S.Pd</t>
  </si>
  <si>
    <t>unmasmar@gmail.com</t>
  </si>
  <si>
    <t>Asmar S.Pd. M.Pd.</t>
  </si>
  <si>
    <t>Dhiarrafii Bintang Matahari, M.Pd., Gr.</t>
  </si>
  <si>
    <t>akbalmarfianda@gmail.com</t>
  </si>
  <si>
    <t>Pendidikan Ilmu Pengetahuan Alam</t>
  </si>
  <si>
    <t>Akbal Marfianda, S. Pd</t>
  </si>
  <si>
    <t>3.69</t>
  </si>
  <si>
    <t>3.97</t>
  </si>
  <si>
    <t>anandaniko05@gmail.com</t>
  </si>
  <si>
    <t>https://drive.google.com/drive/folders/18yBJOjtpw6PsG4DRETVg2yP5SJnmcY39?usp=sharing</t>
  </si>
  <si>
    <t>ANANDA NIKO SYAHPUTRA, S.M</t>
  </si>
  <si>
    <t>https://drive.google.com/drive/folders/1sDPOjTor3XOExzch1Qzi6KmtuS5XvMav?usp=drive_link</t>
  </si>
  <si>
    <t>alwansa122@gmail.com</t>
  </si>
  <si>
    <t>ALWAN SYARIFUL AZZAM, A.Md.</t>
  </si>
  <si>
    <t>rizkiidias65@gmail.com</t>
  </si>
  <si>
    <t>Dias Rizki, S.Pd</t>
  </si>
  <si>
    <t>anandaamelia45678@gmail.com</t>
  </si>
  <si>
    <t>Amelia Vidora Revita Marta, S.Kom</t>
  </si>
  <si>
    <t>dellaadr27@gmail.com</t>
  </si>
  <si>
    <t>Della Andriani, S.Tr.A.B.</t>
  </si>
  <si>
    <t>nanastasyazhr@gmail.com</t>
  </si>
  <si>
    <t>Anastashya Azzahira, S. Pd</t>
  </si>
  <si>
    <t>lindanur1717@gmail.com</t>
  </si>
  <si>
    <t>Linda Nor Safitri, S.Kom</t>
  </si>
  <si>
    <t>0895341077017</t>
  </si>
  <si>
    <t>hafidzmunir21@gmail.com</t>
  </si>
  <si>
    <t>Hafidz Sirojul Munir, S.Ds</t>
  </si>
  <si>
    <t>X902308871</t>
  </si>
  <si>
    <t>faizzllight412@gmail.com</t>
  </si>
  <si>
    <t>Faizal Nur Akbar, ST</t>
  </si>
  <si>
    <t>safnawassalwa@gmail.com</t>
  </si>
  <si>
    <t>Safna Manna Wassalwa, S.Pd.</t>
  </si>
  <si>
    <t>fathurrochmanfawzi@gmail.com</t>
  </si>
  <si>
    <t>Fathur Rochman Fawzi, S.Pd., M.Pd.</t>
  </si>
  <si>
    <t>rasarasatii@gmail.com</t>
  </si>
  <si>
    <t>Eva Putri Larasati S.Ak</t>
  </si>
  <si>
    <t>nabilahlmaaa@gmail.com</t>
  </si>
  <si>
    <t>Intan Nabila Hilma, S.Kom</t>
  </si>
  <si>
    <t>S1-Tadris IPA &amp; S2-Pendidikan IPA</t>
  </si>
  <si>
    <t>nofrizaldi251180@gmail.com</t>
  </si>
  <si>
    <t>IPK S1 3.89 &amp; IPK S2 3.97</t>
  </si>
  <si>
    <t>MUHAMMAD IRFAN RIZALDI, S.Pd.</t>
  </si>
  <si>
    <t>https://youtu.be/yymDyHaEmW0?si=6tkWnWhAcI23Xxf8</t>
  </si>
  <si>
    <t>mitaameliazf@gmail.com</t>
  </si>
  <si>
    <t>Mita Amelia Amd.Kom</t>
  </si>
  <si>
    <t>ragiladiak2@gmail.com</t>
  </si>
  <si>
    <t>Ragiladi Saputra S.Pd</t>
  </si>
  <si>
    <t>irulsejati27@gmail.com</t>
  </si>
  <si>
    <t>Choirul Absor SE.,</t>
  </si>
  <si>
    <t>febrianianggitrestanti@gmail.com</t>
  </si>
  <si>
    <t>Febriani Anggi Trestanti</t>
  </si>
  <si>
    <t>arsyakazayn02@gmail.com</t>
  </si>
  <si>
    <t>Noor Laili Hidayah, SE.,</t>
  </si>
  <si>
    <t>kholisyotullisna@gmail.com</t>
  </si>
  <si>
    <t>Kholisyotul lisna S.I.P</t>
  </si>
  <si>
    <t>muhammadmustolich3@gmail.com</t>
  </si>
  <si>
    <t>Muhamad Mustolich, S.Sos., M.H.</t>
  </si>
  <si>
    <t>089632991090</t>
  </si>
  <si>
    <t>dhiyaulhaqammar22@gmail.com</t>
  </si>
  <si>
    <t>Muhammad 'Ammar Dhiyaulhaq, S.E</t>
  </si>
  <si>
    <t>paulmaey@gmail.com</t>
  </si>
  <si>
    <t>Paulus Waluyo, S.Pd.</t>
  </si>
  <si>
    <t>diyahrahayu327@gmail.com</t>
  </si>
  <si>
    <t>Diyah Rahayu, S.M.</t>
  </si>
  <si>
    <t>angelasilalahi22@gmail.com</t>
  </si>
  <si>
    <t>Angela Sumiyati Sinabutar,S.kom</t>
  </si>
  <si>
    <t>silviani.indah.wahyuni001@gmail.com</t>
  </si>
  <si>
    <t>Silviani Indah Wahyuni, S.Pd.</t>
  </si>
  <si>
    <t>maulanairham150@gmail.com</t>
  </si>
  <si>
    <t>Irham Maulana Subhi S.Hum</t>
  </si>
  <si>
    <t>Fitri Nurhayani, S.Pd</t>
  </si>
  <si>
    <t>agakhan98deni@gmail.com</t>
  </si>
  <si>
    <t>Muhammad Aga Khan. S.I.P</t>
  </si>
  <si>
    <t>rafaghiyats12@gmail.com</t>
  </si>
  <si>
    <t>Rafa Ghiyats Fitri Setiani S.pd</t>
  </si>
  <si>
    <t>intaniaeka@gmail.com</t>
  </si>
  <si>
    <t>yahyakrisetya@gmail.com</t>
  </si>
  <si>
    <t>https://drive.google.com/drive/folders/15ZPYQ3Clfe0EygnIfgBgzYEpRIik_sBB?usp=sharing</t>
  </si>
  <si>
    <t>Yahya Krisetya, S.Pd., M.Pd</t>
  </si>
  <si>
    <t>wafipratama726@gmail.com</t>
  </si>
  <si>
    <t>Wafi Restu Pratama S.Pd.</t>
  </si>
  <si>
    <t>Intania Eka Yanti, S.Kom., Gr.</t>
  </si>
  <si>
    <t>enifitria9929@gmail.com</t>
  </si>
  <si>
    <t>Eni Fitria, S.Sos</t>
  </si>
  <si>
    <t>uliariffajar2000@gmail.com</t>
  </si>
  <si>
    <t>Uli Arif Fajar</t>
  </si>
  <si>
    <t>nurismiati7@gmail.com</t>
  </si>
  <si>
    <t>089662119850</t>
  </si>
  <si>
    <t>Nur Ismiati, S.Pd</t>
  </si>
  <si>
    <t>virdawirda22@gmail.com</t>
  </si>
  <si>
    <t>Virda Wirdatul Izza</t>
  </si>
  <si>
    <t>yuniarumartameviani7@gmail.com</t>
  </si>
  <si>
    <t>YUNI ARUM ARTAMEVIANI S.M</t>
  </si>
  <si>
    <t xml:space="preserve">S1 Sistem Informasi </t>
  </si>
  <si>
    <t>rifaatalyta@gmail.com</t>
  </si>
  <si>
    <t>Rifa Talyta Maheswari, S.Si</t>
  </si>
  <si>
    <t>087719811922</t>
  </si>
  <si>
    <t>rikaantika25@gmail.com</t>
  </si>
  <si>
    <t>Rika Antika Dewi</t>
  </si>
  <si>
    <t>Universitas Telkom</t>
  </si>
  <si>
    <t>utnurulistiqomah@gmail.com</t>
  </si>
  <si>
    <t>Nurul Istiqomah, S. S. T. Ars</t>
  </si>
  <si>
    <t>illahikurnia08@gmail.com</t>
  </si>
  <si>
    <t>Kurnia Illahi</t>
  </si>
  <si>
    <t>Informatika</t>
  </si>
  <si>
    <t>muhamadfajri05512@gmail.com</t>
  </si>
  <si>
    <t>Muhamad Fajri, S.Tr.Kom</t>
  </si>
  <si>
    <t>zerosugar84@gmail.com</t>
  </si>
  <si>
    <t>AHMAD RIZA</t>
  </si>
  <si>
    <t>3.05</t>
  </si>
  <si>
    <t>Hendra Ramadhan, S.Pd., Gr</t>
  </si>
  <si>
    <t>akhmadarifsyarifudin126@gmail.com</t>
  </si>
  <si>
    <t>AKHMAD ARIF SYARIFUDIN S.H.</t>
  </si>
  <si>
    <t>S-1 Pendidikan IPA</t>
  </si>
  <si>
    <t>Klaten, Jawa Tengah</t>
  </si>
  <si>
    <t>lailaayusn@gmail.com</t>
  </si>
  <si>
    <t>Laila Ayu Sekar Ningrum, S.P</t>
  </si>
  <si>
    <t>https://youtu.be/RtFvDOOgoqM</t>
  </si>
  <si>
    <t>darnilanila308@gmail.com</t>
  </si>
  <si>
    <t>Tenaga pendampingan pembelajaran mata pelajaran TIK</t>
  </si>
  <si>
    <t>Darnilah</t>
  </si>
  <si>
    <t>restycahyanilukman0@gmail.com</t>
  </si>
  <si>
    <t>Resty Cahyani Lukman, S. Ak</t>
  </si>
  <si>
    <t>rizkitahir240203@gmail.com</t>
  </si>
  <si>
    <t>Hidayatul Rizki, S.Pd</t>
  </si>
  <si>
    <t>https://drive.google.com/drive/folders/1M6zYjueC4knG4C45THwrSOKv3fiE93TK?usp=sharing</t>
  </si>
  <si>
    <t>edewi4642@gmail.com</t>
  </si>
  <si>
    <t>Wahyu Eka Dewi Anggraini, S.Pd</t>
  </si>
  <si>
    <t>fakhriazrif@gmail.com</t>
  </si>
  <si>
    <t>Azrifvan Fakhri Ramadhan, S.Pd</t>
  </si>
  <si>
    <t>+6288221283922</t>
  </si>
  <si>
    <t>ade761587@gmail.com</t>
  </si>
  <si>
    <t>Muhammad Ade Wahyudi, S.Pd</t>
  </si>
  <si>
    <t>faturrahman20039@gmail.com</t>
  </si>
  <si>
    <t>FATURRAHMAN S.E.</t>
  </si>
  <si>
    <t>liakhikmatulml@gmail.com</t>
  </si>
  <si>
    <t>Lia Khikmatul Maula, S.Pd</t>
  </si>
  <si>
    <t>Imam Setiawan, S.Pd., Gr., M.Pd.</t>
  </si>
  <si>
    <t>ridhozikri96@gmail.com</t>
  </si>
  <si>
    <t>Rido Zikri Hartana, A.Md.M.</t>
  </si>
  <si>
    <t>ilmaddinhusain@gmail.com</t>
  </si>
  <si>
    <t>ILMADDIN, S.Pd.</t>
  </si>
  <si>
    <t>https://drive.google.com/drive/folders/1ziBRYwAgtkkyPnTwpaQQlUVLoINNFHrH</t>
  </si>
  <si>
    <t>mustafid1996@gmail.com</t>
  </si>
  <si>
    <t>MOCHAMAD MUSTAFID AMMA, S.Pd</t>
  </si>
  <si>
    <t>novitayuniati123@gmail.com</t>
  </si>
  <si>
    <t>NOVITA YUNIATI</t>
  </si>
  <si>
    <t>kuntumsridevi10@gmail.com</t>
  </si>
  <si>
    <t>Kumtum Sri Devi Putri, S.Pd</t>
  </si>
  <si>
    <t>sutrezn9@gmail.com</t>
  </si>
  <si>
    <t>Sutrisno S.E</t>
  </si>
  <si>
    <t>saskiazjr@gmail.com</t>
  </si>
  <si>
    <t>saskia syalsa zabillah jr, s.pd</t>
  </si>
  <si>
    <t>085159559810</t>
  </si>
  <si>
    <t>X942408242</t>
  </si>
  <si>
    <t>achadiyah99@gmail.com</t>
  </si>
  <si>
    <t>Nur Achadiyah S.E</t>
  </si>
  <si>
    <t>khasanahhikmah0@gmail.com</t>
  </si>
  <si>
    <t>S1 Sistem Informasi</t>
  </si>
  <si>
    <t>Hikmatul Khasanah, S.Pd.</t>
  </si>
  <si>
    <t>yemiasriani56@gmail.com</t>
  </si>
  <si>
    <t>Imron Arya Kamaludin, S.Pd., Gr.</t>
  </si>
  <si>
    <t>Yemi Asriani</t>
  </si>
  <si>
    <t>maulidyanm15@gmail.com</t>
  </si>
  <si>
    <t>Maulidya Nur Meidina, S.M</t>
  </si>
  <si>
    <t>https://drive.google.com/drive/folders/18L-lFRallenmFr2eSdMYor8T3gFby5iv?usp=sharing</t>
  </si>
  <si>
    <t>rizalsetyawan57@gmail.com</t>
  </si>
  <si>
    <t>AHMAD RIZAL SETIAWAN, S.M.</t>
  </si>
  <si>
    <t>caesarioyp@gmail.com</t>
  </si>
  <si>
    <t>Caesario Yanuar Pribadi, A.Md.T</t>
  </si>
  <si>
    <t>iik95789@gmail.com</t>
  </si>
  <si>
    <t>Iik Hikmatulloh, S.Hum</t>
  </si>
  <si>
    <t>galuheka881@gmail.com</t>
  </si>
  <si>
    <t>Galuh Eka Paramitha Andy Putri, S.Pd</t>
  </si>
  <si>
    <t>zaragitariantidesi@gmail.com</t>
  </si>
  <si>
    <t>Desi Zaragita Riyanti, S.E.</t>
  </si>
  <si>
    <t>085712992243</t>
  </si>
  <si>
    <t>najmaaranam@gmail.com</t>
  </si>
  <si>
    <t>Najma Arana Muhammad S.E</t>
  </si>
  <si>
    <t>harnianisiti01.sa@gmail.com</t>
  </si>
  <si>
    <t>sumadisarponen@gmail.com</t>
  </si>
  <si>
    <t>Sumadi</t>
  </si>
  <si>
    <t>Marsyanda Alfina Choirunnisa', S.Pd</t>
  </si>
  <si>
    <t>S1 Pendidikan Sains</t>
  </si>
  <si>
    <t>wulanseptiariani@gmail.com</t>
  </si>
  <si>
    <t>Wulan septiariani,S.Pd</t>
  </si>
  <si>
    <t>https://drive.google.com/file/d/1q-2IZ9iExO_p1ito2WG__QJ0JhY5ERou/view?usp=drivesdk</t>
  </si>
  <si>
    <t>sekartanjungsari125@gmail.com</t>
  </si>
  <si>
    <t>Sekar Tanjung Sari, A.Md.A.B</t>
  </si>
  <si>
    <t>firaulya92@gmail.com</t>
  </si>
  <si>
    <t>Safiratul Ulya S.E</t>
  </si>
  <si>
    <t>harno0706@gmail.com</t>
  </si>
  <si>
    <t>Universitas Dayanu Ikhsanuddin</t>
  </si>
  <si>
    <t>Suharno, S.T.</t>
  </si>
  <si>
    <t>urfavhuman23@gmail.com</t>
  </si>
  <si>
    <t>082333047987</t>
  </si>
  <si>
    <t>IZZAH KHAIRUNNISAA S.Pd</t>
  </si>
  <si>
    <t>arrindaa19@gmail.com</t>
  </si>
  <si>
    <t>Rinda Ayu Rahmawati</t>
  </si>
  <si>
    <t>saifulhari01@gmail.com</t>
  </si>
  <si>
    <t>Saiful Hari Fitrianto A.Md.T</t>
  </si>
  <si>
    <t>Kota Baubau, Sulawesi Tenggara</t>
  </si>
  <si>
    <t>more.angelli15@gmail.com</t>
  </si>
  <si>
    <t>Angelli Sania Yasmine, S.E.</t>
  </si>
  <si>
    <t>fedriferdianayanuar23@gmail.com</t>
  </si>
  <si>
    <t>Fedri Ferdiana Yanuar</t>
  </si>
  <si>
    <t>thoriqhaikal13091999@gmail.com</t>
  </si>
  <si>
    <t>Thoriq Haikal, S. Pd</t>
  </si>
  <si>
    <t>galih.trisna1@gmail.com</t>
  </si>
  <si>
    <t>https://drive.google.com/drive/folders/1W1SJkFGvffoQIz8_dEpLvZ7DVpQoENcq?usp=sharing</t>
  </si>
  <si>
    <t>Nila Vinca Risma Trisna S.Tr.S.I</t>
  </si>
  <si>
    <t>sitirobiatuladdewiyah2203@gmail.com</t>
  </si>
  <si>
    <t>Siti Robiatul Addewiyah</t>
  </si>
  <si>
    <t>suryaadin50@gmail.com</t>
  </si>
  <si>
    <t>Suryadi, S.Farm</t>
  </si>
  <si>
    <t xml:space="preserve">Rizqi Nur Fitriani </t>
  </si>
  <si>
    <t>reckiayuningtyas@gmail.com</t>
  </si>
  <si>
    <t xml:space="preserve">Pendidikan Fisika </t>
  </si>
  <si>
    <t>Recki Ayuningtyas S.Pd.</t>
  </si>
  <si>
    <t>3.62</t>
  </si>
  <si>
    <t>https://drive.google.com/drive/folders/1lbHZOdolmlsxx6yX2iLAARnS1OT7OdSP</t>
  </si>
  <si>
    <t>mursalin.lamranto@gmail.com</t>
  </si>
  <si>
    <t>HUSNUL MURSALIN</t>
  </si>
  <si>
    <t>faridarrasid@gmail.com</t>
  </si>
  <si>
    <t>Farid Arrasid, S.Pd</t>
  </si>
  <si>
    <t>faridarshal@gmail.com</t>
  </si>
  <si>
    <t>Muhammad Farid Arshal Afandi S.Kom</t>
  </si>
  <si>
    <t>anandaptri10@gmail.com</t>
  </si>
  <si>
    <t>Ananda Putri Rahmawati, S.E</t>
  </si>
  <si>
    <t>082329681100</t>
  </si>
  <si>
    <t>mananconcept@gmail.com</t>
  </si>
  <si>
    <t>Muhammad Abdul Manan, S.Pd.</t>
  </si>
  <si>
    <t>annisajuli83@gmail.com</t>
  </si>
  <si>
    <t>Juli Annisa Nasution</t>
  </si>
  <si>
    <t>rahmansty97@gmail.com</t>
  </si>
  <si>
    <t>Rahman Setiyono, S.Pd.</t>
  </si>
  <si>
    <t>A3S224039</t>
  </si>
  <si>
    <t>https://drive.google.com/drive/folders/1ow4-6NaDSh-0U4S7plIc-icO8HYC61WV?usp=sharing</t>
  </si>
  <si>
    <t>ayuestetica@gmail.com</t>
  </si>
  <si>
    <t>Ayu Estetica A.Md</t>
  </si>
  <si>
    <t>atsilaatsila80@gmail.com</t>
  </si>
  <si>
    <t>Atsila Ainur Rahma, S.Si</t>
  </si>
  <si>
    <t>deramaharani22@gmail.com</t>
  </si>
  <si>
    <t>DERA MAHARANI SADIKIN, S.I.Kom.</t>
  </si>
  <si>
    <t>087880657411</t>
  </si>
  <si>
    <t>franciscofebripamungkas@gmail.com</t>
  </si>
  <si>
    <t>Francisco Febri Pamungkas S.Pd</t>
  </si>
  <si>
    <t>aana73206@gmail.com</t>
  </si>
  <si>
    <t>Ana Nurmalia, S.E</t>
  </si>
  <si>
    <t>Sisna Marvilia Ayuningrum, S.Pd., Gr.</t>
  </si>
  <si>
    <t>suratfaustananda17@gmail.com</t>
  </si>
  <si>
    <t>Fausta Nanda Sava Arkananta, A.Md.</t>
  </si>
  <si>
    <t>S-1 Pendidikan Biologi</t>
  </si>
  <si>
    <t>adibirhamali@gmail.com</t>
  </si>
  <si>
    <t>mrwrabitha29@gmail.com</t>
  </si>
  <si>
    <t>Marwa Rabitha Rahmaniyah, S.Pd.</t>
  </si>
  <si>
    <t>https://drive.google.com/drive/folders/137kIPlKQmFYB8LTfhzVwbj1J2Vc6niis?usp=sharing</t>
  </si>
  <si>
    <t>Moch. Adib Irham Ali</t>
  </si>
  <si>
    <t>nursenoindriardhi@gmail.com</t>
  </si>
  <si>
    <t>Nurseno Indri Ardhi</t>
  </si>
  <si>
    <t>081328698419</t>
  </si>
  <si>
    <t>ronepatamba1@gmail.com</t>
  </si>
  <si>
    <t>RONEPA TAMBA S.M</t>
  </si>
  <si>
    <t>srilestari110403@gmail.com</t>
  </si>
  <si>
    <t>Sri Lestari, S.Pd.</t>
  </si>
  <si>
    <t>Pendidikan Sejarah</t>
  </si>
  <si>
    <t>hadiwijoyo203@gmail.com</t>
  </si>
  <si>
    <t>Hadi Wijoyo, S.Pd.</t>
  </si>
  <si>
    <t xml:space="preserve">Universitas Sebelas Maret </t>
  </si>
  <si>
    <t>saifulandikass@gmail.com</t>
  </si>
  <si>
    <t>Saiful Andika S. Sahidong, S.Si.</t>
  </si>
  <si>
    <t>089604214025</t>
  </si>
  <si>
    <t>sitinuraisyah0426@gmail.com</t>
  </si>
  <si>
    <t>Siti Nur Aisyah S.Pd,</t>
  </si>
  <si>
    <t>muhammadainurrizha289@gmail.com</t>
  </si>
  <si>
    <t>Muhammad Ainur Rizha, S.E</t>
  </si>
  <si>
    <t>PPG Prajabatan Gelombang 2 Tahun 2023</t>
  </si>
  <si>
    <t>adesitepu63@gmail.com</t>
  </si>
  <si>
    <t>Ade Anastasya Br Sitepu, S.E</t>
  </si>
  <si>
    <t>3.72</t>
  </si>
  <si>
    <t>praktektap@gmail.com</t>
  </si>
  <si>
    <t>Nurjanah, S.M Gr.</t>
  </si>
  <si>
    <t>rifkarodeanibrsirait@gmail.com</t>
  </si>
  <si>
    <t>Rifka Rodeani Br Sirait, S.Pd</t>
  </si>
  <si>
    <t xml:space="preserve">Surakarta, Jawa Tengah </t>
  </si>
  <si>
    <t>berlianakr04@gmail.com</t>
  </si>
  <si>
    <t>Berliana Khofifah Rahmawati, A.Md.Bns.</t>
  </si>
  <si>
    <t>nafisarrahma@gmail.com</t>
  </si>
  <si>
    <t>Nafisa Rahmahayati, S.A.P.</t>
  </si>
  <si>
    <t>sartikabessesukma@gmail.com</t>
  </si>
  <si>
    <t>BESSE SUKMA SARTIKA</t>
  </si>
  <si>
    <t>anisaditiya0527@gmail.com</t>
  </si>
  <si>
    <t>Anis Aditiya Safitri, S.Pd</t>
  </si>
  <si>
    <t>windishasmita@gmail.com</t>
  </si>
  <si>
    <t>WINDI SHASMITA</t>
  </si>
  <si>
    <t>destiantinabila@gmail.com</t>
  </si>
  <si>
    <t>Erva Destianti Nabila, S.Pd</t>
  </si>
  <si>
    <t>https://drive.google.com/drive/folders/14p8zvTWQB0cfS1KGcdo-A9IR61ZpUngs</t>
  </si>
  <si>
    <t>ilhamreza0601@gmail.com</t>
  </si>
  <si>
    <t>Ilham Reza Perdana</t>
  </si>
  <si>
    <t>chenzwei810@gmail.com</t>
  </si>
  <si>
    <t>Chen Chen Zwei Rizkianne Edray, A.Md.A.B.</t>
  </si>
  <si>
    <t>sitihusna.salsabila@gmail.com</t>
  </si>
  <si>
    <t>Siti Husna Salsabila, S.Pd</t>
  </si>
  <si>
    <t>akil.wali2@gmail.com</t>
  </si>
  <si>
    <t>Andi Akil Wali</t>
  </si>
  <si>
    <t>nandaputrirahayu42@gmail.com</t>
  </si>
  <si>
    <t>Muspita Rani,A.Md.AK</t>
  </si>
  <si>
    <t>ny056463@gmail.com</t>
  </si>
  <si>
    <t>Noviyana Rustam, M.Pd</t>
  </si>
  <si>
    <t>https://drive.google.com/drive/folders/14tm61sfbexmy9YMN6u3Mp_YaYsqT-5st</t>
  </si>
  <si>
    <t>Wisma Puteri Mustika, S.Pd., Gr.</t>
  </si>
  <si>
    <t>dumpkiky@gmail.com</t>
  </si>
  <si>
    <t>Rizki Setyorini, S.Pd</t>
  </si>
  <si>
    <t>Pendidikan IPA</t>
  </si>
  <si>
    <t>https://drive.google.com/drive/folders/18vJaaPkf_N1kQFEIOq34K1CHZlOV1Yxr</t>
  </si>
  <si>
    <t>nurendamulvita@gmail.com</t>
  </si>
  <si>
    <t>Nur Enda Mulvita, S.E.</t>
  </si>
  <si>
    <t>aimanalfarizki02@gmail.com</t>
  </si>
  <si>
    <t>KUSLIN, S.E</t>
  </si>
  <si>
    <t>X9023083636</t>
  </si>
  <si>
    <t>shafiraumay@gmail.com</t>
  </si>
  <si>
    <t>Umay Shafira. S.E., AWPS</t>
  </si>
  <si>
    <t>winafebrianti0@gmail.com</t>
  </si>
  <si>
    <t>K4416037</t>
  </si>
  <si>
    <t>Wina Febrianti, S.I.K</t>
  </si>
  <si>
    <t>085702647132</t>
  </si>
  <si>
    <t xml:space="preserve">Pendidikan Sejarah </t>
  </si>
  <si>
    <t>fauzydziky@gmail.com</t>
  </si>
  <si>
    <t>DZIKY FAUZY, S.Pd.</t>
  </si>
  <si>
    <t>riawatirima114@gmail.com</t>
  </si>
  <si>
    <t>Riawati Marfu'ah, S.Pd.</t>
  </si>
  <si>
    <t>shafninur24@gmail.com</t>
  </si>
  <si>
    <t>Fajriatul 'Azizah</t>
  </si>
  <si>
    <t>Shafni Nur Hikma Rosalia, S.Kom.</t>
  </si>
  <si>
    <t>Akuntansi</t>
  </si>
  <si>
    <t>ristandahh@gmail.com</t>
  </si>
  <si>
    <t>Ariesta Indah Puji Astuti, S.Pd.</t>
  </si>
  <si>
    <t>https://drive.google.com/file/d/1ZM2qaVqkQD-_tnv9zBhxAM7nrL9WyS0c/view?usp=drive_link</t>
  </si>
  <si>
    <t>munawirmuh53@gmail.com</t>
  </si>
  <si>
    <t>Muh. Munawir</t>
  </si>
  <si>
    <t>febryanti0123@gmail.com</t>
  </si>
  <si>
    <t>Febryanti</t>
  </si>
  <si>
    <t>rizki.rr401@gmail.com</t>
  </si>
  <si>
    <t>Rizki Ramadan, S.Pd.,M.Pd.</t>
  </si>
  <si>
    <t>mpraswo1176@gmail.com</t>
  </si>
  <si>
    <t>M Prasono Sadewo, S.M</t>
  </si>
  <si>
    <t>azaleabaladraf31@gmail.com</t>
  </si>
  <si>
    <t>Azalia Salsabilla Baladraf, S.Pd</t>
  </si>
  <si>
    <t>fitrinurhayani23@gmail.com</t>
  </si>
  <si>
    <t>085743571470</t>
  </si>
  <si>
    <t>wanharyogs@gmail.com</t>
  </si>
  <si>
    <t>Wanhar Azhary Hasibuan, S.T.</t>
  </si>
  <si>
    <t>boelan.soedjono@gmail.com</t>
  </si>
  <si>
    <t>Mohammad Hadi Sujono</t>
  </si>
  <si>
    <t>wakakurikulumsmkmk@gmail.com</t>
  </si>
  <si>
    <t>NURHASAN</t>
  </si>
  <si>
    <t>Laila Magfirul Muniroh, S.Pd,. Gr</t>
  </si>
  <si>
    <t>mapriliana2904@gmail.com</t>
  </si>
  <si>
    <t>Monica Apriliana, S.Pd., Gr</t>
  </si>
  <si>
    <t>alfianmunis59@gmail.com</t>
  </si>
  <si>
    <t>Alfian Mu'nis, S. Sos</t>
  </si>
  <si>
    <t>https://drive.google.com/drive/folders/19wdv2SGiikjLmsRGeg6Us3PtGVYARdEH?usp=sharing</t>
  </si>
  <si>
    <t>candrapratama591@gmail.com</t>
  </si>
  <si>
    <t>Candra Pratama, S.Pd, Gr</t>
  </si>
  <si>
    <t>shafiraramadhani2681@gmail.com</t>
  </si>
  <si>
    <t>Nur Shafira Ramadhani Amsyir, S.Pd</t>
  </si>
  <si>
    <t>putra.mahesa16012004@gmail.com</t>
  </si>
  <si>
    <t>Anggoro Mustika Putra</t>
  </si>
  <si>
    <t>rahmansetiawan225@gmail.com</t>
  </si>
  <si>
    <t>Nanda Rahman Setiawan, S.Hum</t>
  </si>
  <si>
    <t>prabu.bima34@gmail.com</t>
  </si>
  <si>
    <t>Prabu Bimo Aji S.Hum</t>
  </si>
  <si>
    <t>082138175793</t>
  </si>
  <si>
    <t>samiunlutfi2@gmail.com</t>
  </si>
  <si>
    <t>Ahmad Sam'un, M.Pd.</t>
  </si>
  <si>
    <t>asanubari11@gmail.com</t>
  </si>
  <si>
    <t>Ahmad Sanubari Pandu Sejati</t>
  </si>
  <si>
    <t>heruindrayudha18@gmail.com</t>
  </si>
  <si>
    <t>Heru Indrayudha, A.md.p.</t>
  </si>
  <si>
    <t>hanaauliaksr@gmail.com</t>
  </si>
  <si>
    <t>Hana Aulia Kumalasari, S.Ak.</t>
  </si>
  <si>
    <t>Wonogiri, Jawa Tengah</t>
  </si>
  <si>
    <t>kresekdoreng@gmail.com</t>
  </si>
  <si>
    <t>Ainun Najib.,S.E</t>
  </si>
  <si>
    <t>lazimanlaseng@gmail.com</t>
  </si>
  <si>
    <t>Laziman,S.E.M.Pd</t>
  </si>
  <si>
    <t>jundulloh133@gmail.com</t>
  </si>
  <si>
    <t>Syahid Jundulloh, S.Pd.</t>
  </si>
  <si>
    <t>yazidabdulqohar47@gmail.com</t>
  </si>
  <si>
    <t>Yazid Abdul Qohar, S.Pd.</t>
  </si>
  <si>
    <t>edubestindonesia@gmail.com</t>
  </si>
  <si>
    <t>zainatulnaim425@gmail.com</t>
  </si>
  <si>
    <t>Zainatul Naim, S. Pd</t>
  </si>
  <si>
    <t>ppg.mochamadmisbakhudin58@program.belajar.id</t>
  </si>
  <si>
    <t>Mochamad Misbakhudin, S.Pd.</t>
  </si>
  <si>
    <t>https://drive.google.com/drive/folders/1e8cKyNE3L_Zkdzx_WNKYqXprhRNVOZaq?usp=sharing</t>
  </si>
  <si>
    <t>khoiriyatulistifa@gmail.com</t>
  </si>
  <si>
    <t>Khoiriyatul Istifaizah</t>
  </si>
  <si>
    <t>mufidfaruq.a@gmail.com</t>
  </si>
  <si>
    <t>Mufid Faruq Aziz, S.Kom.,M.Pd.,Gr</t>
  </si>
  <si>
    <t>Moch. Adib Irham Ali, S.Pd</t>
  </si>
  <si>
    <t>beellaputrinabilaaa@gmail.com</t>
  </si>
  <si>
    <t>Putri Nabila S.Pd</t>
  </si>
  <si>
    <t>taufikha.office@gmail.com</t>
  </si>
  <si>
    <t>https://drive.google.com/drive/folders/14tm61sfbexmy9YMN6u3Mp_YaYsqT-5st?usp=sharing</t>
  </si>
  <si>
    <t>Taufik Hidayat, S.Pd., M.Pd.</t>
  </si>
  <si>
    <t>smpn1krsambung@gmail.com</t>
  </si>
  <si>
    <t>Eka Saputra</t>
  </si>
  <si>
    <t>mmuzmuzdalifah@gmail.com</t>
  </si>
  <si>
    <t>Muzdalifah, S.Pd</t>
  </si>
  <si>
    <t>sitikholifah611@gmail.com</t>
  </si>
  <si>
    <t>SITI KHOLIFAH</t>
  </si>
  <si>
    <t>santriadiputri@gmail.com</t>
  </si>
  <si>
    <t>Santri Adi Putri, S.Pd</t>
  </si>
  <si>
    <t>sriselvi515@gmail.com</t>
  </si>
  <si>
    <t>SRI SELVI, S.M</t>
  </si>
  <si>
    <t>imamkhoirul.011@gmail.com</t>
  </si>
  <si>
    <t>Ahmad Imam Khoirul Anam S.Ak</t>
  </si>
  <si>
    <t>amandaarifia20@gmail.com</t>
  </si>
  <si>
    <t>Amanda Arifia</t>
  </si>
  <si>
    <t>nisriinaputrikinasih3@gmail.com</t>
  </si>
  <si>
    <t>Nisriina Putri Kinasih, S.Pd.</t>
  </si>
  <si>
    <t>stgniaty@gmail.com</t>
  </si>
  <si>
    <t>Berniati sitanggang S.M</t>
  </si>
  <si>
    <t>ameliabima9@gmail.com</t>
  </si>
  <si>
    <t>Amelia Putri S.pd</t>
  </si>
  <si>
    <t>agustrisandi2308@gmail.com</t>
  </si>
  <si>
    <t>Agus Trisandi, S.H.</t>
  </si>
  <si>
    <t>Muhammad Ath Thaariq Aziizi, S.Pd, Gr.</t>
  </si>
  <si>
    <t>elfiraw712@gmail.com</t>
  </si>
  <si>
    <t>Elfirawati A.T.S S.Pd</t>
  </si>
  <si>
    <t>S-1 Pendidikan Sejarah</t>
  </si>
  <si>
    <t>3.84</t>
  </si>
  <si>
    <t>nuryanisugi@gmail.com</t>
  </si>
  <si>
    <t>Nuriyani Sugi</t>
  </si>
  <si>
    <t>nadillayniarshjmrin@gmail.com</t>
  </si>
  <si>
    <t>Nadilla Yuniarsih Jamarin, S.Pd</t>
  </si>
  <si>
    <t>X902308362</t>
  </si>
  <si>
    <t>anjugoodmaria46@gmail.com</t>
  </si>
  <si>
    <t>Anju Good Maria, S.Pd</t>
  </si>
  <si>
    <t>https://uns.id/veditukinthaariq</t>
  </si>
  <si>
    <t>sarnilanila40@gmail.com</t>
  </si>
  <si>
    <t>Sarnila, S.Pd</t>
  </si>
  <si>
    <t>multilaela4@gmail.com</t>
  </si>
  <si>
    <t>Multi Laela</t>
  </si>
  <si>
    <t>andikadwicipta@gmail.com</t>
  </si>
  <si>
    <t>Andika Dwi Cipta Susanto, S.Pd.</t>
  </si>
  <si>
    <t>Universias Sebelas Maret (UNS)</t>
  </si>
  <si>
    <t>prastiaangga6@gmail.com</t>
  </si>
  <si>
    <t>ANGGA PRASTIA</t>
  </si>
  <si>
    <t>Nur Pratiwi Yuga Hapsari, S.Pd,.Gr</t>
  </si>
  <si>
    <t>Pendidikan Ekonomi</t>
  </si>
  <si>
    <t>Ekonomi</t>
  </si>
  <si>
    <t>https://drive.google.com/drive/folders/1ZemobWCxQpWbWK-4F6mIDlYPJB6PQgHU</t>
  </si>
  <si>
    <t>veronicamarpaung50@gmail.com</t>
  </si>
  <si>
    <t>Veronica Febriyanti Theresia Marpaung, S.P</t>
  </si>
  <si>
    <t>ilmafitriyah0308@gmail.com</t>
  </si>
  <si>
    <t>Ilma Fitriyah, S.E</t>
  </si>
  <si>
    <t>lanisuherlan625@gmail.com</t>
  </si>
  <si>
    <t>Suherlan</t>
  </si>
  <si>
    <t>riskaoktapianti15@gmail.com</t>
  </si>
  <si>
    <t>Riska Oktapianti</t>
  </si>
  <si>
    <t>zakkynurr123@gmail.com</t>
  </si>
  <si>
    <t>081393894231</t>
  </si>
  <si>
    <t>Muhammad Zakky Nurrachman, S.Pd</t>
  </si>
  <si>
    <t>asmildanurrahmawati@gmail.com</t>
  </si>
  <si>
    <t>pak.diyaur@gmail.com</t>
  </si>
  <si>
    <t>Diyaurrrahman, S.E.Sy., M.H.</t>
  </si>
  <si>
    <t>widiawanalexius@gmail.com</t>
  </si>
  <si>
    <t>Alexius Widiawan, S.Pd</t>
  </si>
  <si>
    <t>Nurchabibah, S.Pd.</t>
  </si>
  <si>
    <t>niluhayumasrianggrini@gmail.com</t>
  </si>
  <si>
    <t>Pendidikan Geografi</t>
  </si>
  <si>
    <t>NI LUH AYU MASRI ANGGRINI, S.Kom</t>
  </si>
  <si>
    <t>Geografi</t>
  </si>
  <si>
    <t>zarralifia@gmail.com</t>
  </si>
  <si>
    <t>https://drive.google.com/drive/folders/1YHV5XDphM0hO8XmD0XXIw26hn__uS09N</t>
  </si>
  <si>
    <t>Alifia Zarrazir, S.Pd</t>
  </si>
  <si>
    <t>maulidalalwiyana06@gmail.com</t>
  </si>
  <si>
    <t>Maulida Lizza Alwiyana S.Pd</t>
  </si>
  <si>
    <t>UNS</t>
  </si>
  <si>
    <t>abdurrahmanaminmakruf@gmail.com</t>
  </si>
  <si>
    <t>Abdurrahman Amin Ma'ruf, S.Tr.Kes</t>
  </si>
  <si>
    <t>mriyandi29@gmail.com</t>
  </si>
  <si>
    <t>Muhammad Riyandi. S.Pd</t>
  </si>
  <si>
    <t>yulierawati797@gmail.com</t>
  </si>
  <si>
    <t>Yuli Erawati S.Ak</t>
  </si>
  <si>
    <t>085710424577</t>
  </si>
  <si>
    <t>novaarput048@gmail.com</t>
  </si>
  <si>
    <t>Nova Ariyani Putri, S.Si</t>
  </si>
  <si>
    <t>syahdinaadiliaresanda@gmail.com</t>
  </si>
  <si>
    <t>Syahdina Adilia Resanda, S.M.</t>
  </si>
  <si>
    <t>mw0247129@gmail.com</t>
  </si>
  <si>
    <t>NURIL MUSTOFA, S.E., Gr.</t>
  </si>
  <si>
    <t>M WAHYU JULIANTO LADO, S.Pd</t>
  </si>
  <si>
    <t>3.77</t>
  </si>
  <si>
    <t>dedehsyarif6@gmail.com</t>
  </si>
  <si>
    <t>Dedeh Ayu Aden Prastika Songohano</t>
  </si>
  <si>
    <t>https://drive.google.com/drive/folders/18O0MONVMBSmYlQuiTTTxKi2Ty4RuE13V?usp=sharing</t>
  </si>
  <si>
    <t>Kota Surakarta, Jawa Tengah</t>
  </si>
  <si>
    <t>nafia.zakiya321@gmail.com</t>
  </si>
  <si>
    <t>Nafia Zakiya Nasri, S.Pd.</t>
  </si>
  <si>
    <t>nrwhyuni26@gmail.com</t>
  </si>
  <si>
    <t>NUR WAHYUNI, S.KM</t>
  </si>
  <si>
    <t>nm776681@gmail.com</t>
  </si>
  <si>
    <t>NURMAYA S.Pd</t>
  </si>
  <si>
    <t>jokoadi762@gmail.com</t>
  </si>
  <si>
    <t>Joko Adi Pradana, S.Pd.</t>
  </si>
  <si>
    <t>mrezanugrahaputra@gmail.com</t>
  </si>
  <si>
    <t>Muhammad Reza Nugraha Putra, S.H.</t>
  </si>
  <si>
    <t>ranizahrani03@gmail.com</t>
  </si>
  <si>
    <t>Anisa Zahrani Putri</t>
  </si>
  <si>
    <t>pinastieloks@gmail.com</t>
  </si>
  <si>
    <t>Pinasti Elok Safitri, S. Pd</t>
  </si>
  <si>
    <t>yuslannpunyakk@gmail.com</t>
  </si>
  <si>
    <t>YUSLAN</t>
  </si>
  <si>
    <t>adityameiko11@gmail.com</t>
  </si>
  <si>
    <t>Aditya Meiko Prasetyo, S.E.</t>
  </si>
  <si>
    <t>almafitri296@gmail.com</t>
  </si>
  <si>
    <t>Almaratul Fitriyana, S.Pd</t>
  </si>
  <si>
    <t>mthkhoiruni6@gmail.com</t>
  </si>
  <si>
    <t>KHOIRUNI MUTHMAINNAH, S.Pd.</t>
  </si>
  <si>
    <t>selvina.faradita02@gmail.com</t>
  </si>
  <si>
    <t>Selvina Faradita, S.Pd</t>
  </si>
  <si>
    <t>sevaalladeta@gmail.com</t>
  </si>
  <si>
    <t>Revvaldi Seva Alladeta S.Ak</t>
  </si>
  <si>
    <t>marceliarossa28@gmail.com</t>
  </si>
  <si>
    <t>Rossa Marcelia, S. Ak.</t>
  </si>
  <si>
    <t>muhammadhasby428@gmail.com</t>
  </si>
  <si>
    <t>Muhammad Hasby S.E.</t>
  </si>
  <si>
    <t>nmilkhana@gmail.com</t>
  </si>
  <si>
    <t>Norriya Milkhana, Amd.M.</t>
  </si>
  <si>
    <t>irma66434@gmail.com</t>
  </si>
  <si>
    <t>Irma Suryani, S.Pd</t>
  </si>
  <si>
    <t>mutiafitriana47080@gmail.com</t>
  </si>
  <si>
    <t>Mutia Fitri Yana, S.Pd.</t>
  </si>
  <si>
    <t>yuslan15agustus@gmail.com</t>
  </si>
  <si>
    <t>YUSLAN, S.Pd.</t>
  </si>
  <si>
    <t>inggahpratiwih@gmail.com</t>
  </si>
  <si>
    <t>08996579665</t>
  </si>
  <si>
    <t>Ingga Pratiwi, S.Pd</t>
  </si>
  <si>
    <t>pr290820@gmail.com</t>
  </si>
  <si>
    <t>Putri Rahayu</t>
  </si>
  <si>
    <t>hestywahyuni1112@gmail.com</t>
  </si>
  <si>
    <t>Hesti Adi Wahyuni</t>
  </si>
  <si>
    <t>X902308141</t>
  </si>
  <si>
    <t>anismirani02@gmail.com</t>
  </si>
  <si>
    <t>Anis Mirani</t>
  </si>
  <si>
    <t>K3118009</t>
  </si>
  <si>
    <t>pipit5fitriani@gmail.com</t>
  </si>
  <si>
    <t>Fitriani, S.Pi</t>
  </si>
  <si>
    <t>ikaputrimayasari00@gmail.com</t>
  </si>
  <si>
    <t>Ika Putri Mayasari, S.Pd.</t>
  </si>
  <si>
    <t>viavalenta86@gmail.com</t>
  </si>
  <si>
    <t>Via Valenta Kafita Ardian, S.Pd.</t>
  </si>
  <si>
    <t>Uns</t>
  </si>
  <si>
    <t>deaserlia2@gmail.com</t>
  </si>
  <si>
    <t>DEA SERLIA, S. H.</t>
  </si>
  <si>
    <t>tridepii34@gmail.com</t>
  </si>
  <si>
    <t>Tria Devy Amir, S.A.P</t>
  </si>
  <si>
    <t>icansaputra1@gmail.com</t>
  </si>
  <si>
    <t>IRSAN SAPUTRA</t>
  </si>
  <si>
    <t>ifahilla960@gmail.com</t>
  </si>
  <si>
    <t>M. IQBAL FAHILLA BUKIT, S.KOM</t>
  </si>
  <si>
    <t>twins.amrina@gmail.com</t>
  </si>
  <si>
    <t>AMRINA ROSYADA, S.Pd.</t>
  </si>
  <si>
    <t>mellialyn73@gmail.com</t>
  </si>
  <si>
    <t>Melli Alyana, S.Pd</t>
  </si>
  <si>
    <t>triaayufadilla334@gmail.com</t>
  </si>
  <si>
    <t>Tria Ayu Fadilla S.Pd.</t>
  </si>
  <si>
    <t>rifkiegasaputra3@gmail.com</t>
  </si>
  <si>
    <t>Rifki Ega Saputra</t>
  </si>
  <si>
    <t>afifahayunadiya135@gmail.com</t>
  </si>
  <si>
    <t>Afifah Ayu Nadiya S.Sos</t>
  </si>
  <si>
    <t>fitriernawati91@gmail.com</t>
  </si>
  <si>
    <t>Fitria Ernawati, S.E.</t>
  </si>
  <si>
    <t>sayiditaa@gmail.com</t>
  </si>
  <si>
    <t>Sayidita Anis Nasfuroh, S.H</t>
  </si>
  <si>
    <t>respyd@gmail.com</t>
  </si>
  <si>
    <t>Respy Desmaryani S.Pd</t>
  </si>
  <si>
    <t>thaariqholland@student.uns.ac.id</t>
  </si>
  <si>
    <t>nurjannahsaja43@gmail.com</t>
  </si>
  <si>
    <t>Gr. Nurjannah. DS, S.Pd</t>
  </si>
  <si>
    <t>bagusekamartha@gmail.com</t>
  </si>
  <si>
    <t>RAKA KUMARA JATI</t>
  </si>
  <si>
    <t>Bagus Eka Martha</t>
  </si>
  <si>
    <t>PENDIDIKAN SEJARAH</t>
  </si>
  <si>
    <t>alifia.berlianti@gmail.com</t>
  </si>
  <si>
    <t>Alifia Berlianti, S.Pd.</t>
  </si>
  <si>
    <t>firawahyuni228@gmail.com</t>
  </si>
  <si>
    <t>Fira Wahyuni Putri</t>
  </si>
  <si>
    <t>https://drive.google.com/file/d/1XqoJbX6jTFwvy6oafg-KztlO_gpV_jlC/view?usp=sharing</t>
  </si>
  <si>
    <t>adins352@gmail.com</t>
  </si>
  <si>
    <t>SUPRIADIN, S.Pd.</t>
  </si>
  <si>
    <t>witaanjani123@gmail.com</t>
  </si>
  <si>
    <t>Wita Anjani</t>
  </si>
  <si>
    <t>syamsiahwahau122@gmail.com</t>
  </si>
  <si>
    <t>Nursyamsiah S. Ap</t>
  </si>
  <si>
    <t>umuhafizaizzah14@gmail.com</t>
  </si>
  <si>
    <t>Umu Hafiza Izzah, S.Pd</t>
  </si>
  <si>
    <t>vivinsalsabila140@gmail.com</t>
  </si>
  <si>
    <t>Vivien Salsabillah Berliana</t>
  </si>
  <si>
    <t>nurrezkyasman22@gmail.com</t>
  </si>
  <si>
    <t>NUR REZKY ASMAN S.Pd., M.Pd</t>
  </si>
  <si>
    <t>082113293786</t>
  </si>
  <si>
    <t>rahmakhasna13@gmail.com</t>
  </si>
  <si>
    <t>Aulia Rahma Khasna, S.IP</t>
  </si>
  <si>
    <t>gilangr15amadhan@gmail.com</t>
  </si>
  <si>
    <t>GILANG RAMADHAN</t>
  </si>
  <si>
    <t>helisyanuranissa@gmail.com</t>
  </si>
  <si>
    <t>Helisya Nur Anissa, S.A.B</t>
  </si>
  <si>
    <t>Kabupaten Karanganyar, Jawa Tengah</t>
  </si>
  <si>
    <t>rusnaofficial17@gmail.com</t>
  </si>
  <si>
    <t>Rusna, S.Kom. Gr</t>
  </si>
  <si>
    <t>Sri Wulandari, S.Hum., Gr.</t>
  </si>
  <si>
    <t>yanuarprimasyukrialhamda@gmail.com</t>
  </si>
  <si>
    <t xml:space="preserve">Sejarah Peradaban Islam </t>
  </si>
  <si>
    <t>Yanuar Prima Syukri Alhamda</t>
  </si>
  <si>
    <t>https://uns.id/sertifpendidikanthaariq</t>
  </si>
  <si>
    <t>https://youtu.be/ggULze_hHGY?si=3LHoSa1RXTS34FsR</t>
  </si>
  <si>
    <t>fajaraknankurniawan@gmail.com</t>
  </si>
  <si>
    <t>Fajar Aknan Kurniawan, A.Md.</t>
  </si>
  <si>
    <t>darasaripuspita93@gmail.com</t>
  </si>
  <si>
    <t>Dara Puspita Sari</t>
  </si>
  <si>
    <t>ahendyeka@gmail.com</t>
  </si>
  <si>
    <t>Hendyeka Angga Putra, S.Pd.</t>
  </si>
  <si>
    <t>087823687709</t>
  </si>
  <si>
    <t>silvanidebinauris@gmail.com</t>
  </si>
  <si>
    <t>Debi Nauris Silvani, S.H</t>
  </si>
  <si>
    <t>aldibo013@gmail.com</t>
  </si>
  <si>
    <t>Aldi hidayat, S.M</t>
  </si>
  <si>
    <t>ikhzan21@gmail.com</t>
  </si>
  <si>
    <t>Muh Ikhzan S</t>
  </si>
  <si>
    <t xml:space="preserve">Triantini, S. Pd., Gr. </t>
  </si>
  <si>
    <t>X942408310</t>
  </si>
  <si>
    <t xml:space="preserve">Pendidikan Ekonomi (Akuntansi) </t>
  </si>
  <si>
    <t>andinurfatmawati1@gmail.com</t>
  </si>
  <si>
    <t>A. Nurfatmawati Syam S.Sos</t>
  </si>
  <si>
    <t>K4419061</t>
  </si>
  <si>
    <t>https://drive.google.com/file/d/11F5pPmxQ30JyYcnGJHbV6ofW54-DPLlK/view?usp=drivesdk</t>
  </si>
  <si>
    <t>halimatusadiyah620@gmail.com</t>
  </si>
  <si>
    <t>Halimatusa’diyah, S.Pd.</t>
  </si>
  <si>
    <t>winda0608sr@gmail.com</t>
  </si>
  <si>
    <t>WINDA, S.E</t>
  </si>
  <si>
    <t>Fakultas Ilmu Pendidikan dan Keguruan Universitas Sebelas Maret</t>
  </si>
  <si>
    <t>erwinmb29@gmail.com</t>
  </si>
  <si>
    <t>Erwin, S.Pd</t>
  </si>
  <si>
    <t>diwai477@gmail.com</t>
  </si>
  <si>
    <t>Magfirah, S.M</t>
  </si>
  <si>
    <t>fatmalanuwiah03@gmail.com</t>
  </si>
  <si>
    <t>Siti Fatmala Nuwiah, S.Pd</t>
  </si>
  <si>
    <t>082220434981</t>
  </si>
  <si>
    <t>husnulinul38@gmail.com</t>
  </si>
  <si>
    <t>Husnul Hatimah, S.Pd.</t>
  </si>
  <si>
    <t>maretaahadiya23@gmail.com</t>
  </si>
  <si>
    <t>Mareta Noor Ahadiya, S.Pd</t>
  </si>
  <si>
    <t>septiaseptia.1599@gmail.com</t>
  </si>
  <si>
    <t>Septia, S.Pd.</t>
  </si>
  <si>
    <t>fitriyunina99@gmail.com</t>
  </si>
  <si>
    <t xml:space="preserve">UTARA SETIA NUGRAHA, S. Pd., Gr. </t>
  </si>
  <si>
    <t>FITRI YUNINA, S.Pd Gr</t>
  </si>
  <si>
    <t>sitiasrihuath14@gmail.com</t>
  </si>
  <si>
    <t>SITI ASRI HUATH</t>
  </si>
  <si>
    <t>https://drive.google.com/file/d/1XKpWEV3EZ7UQ8B2bUYrKN3HfbjZtr2ZC/view?usp=drivesdk</t>
  </si>
  <si>
    <t>parifunm@gmail.com</t>
  </si>
  <si>
    <t>helniiaaisyam@gmail.com</t>
  </si>
  <si>
    <t>HELNIA S.Pd</t>
  </si>
  <si>
    <t>amirsultra88@gmail.com</t>
  </si>
  <si>
    <t>AMIR, S.T</t>
  </si>
  <si>
    <t>andiinka21@gmail.com</t>
  </si>
  <si>
    <t>Andi Nurul Inka Zelika S.pd</t>
  </si>
  <si>
    <t>ijayanti32@gmail.com</t>
  </si>
  <si>
    <t>Andi Indah Jayanti, S.Pd., Gr.</t>
  </si>
  <si>
    <t>rizdayanti98@gmail.com</t>
  </si>
  <si>
    <t>Universitas Negeri Makassar</t>
  </si>
  <si>
    <t>RISDAYANTI</t>
  </si>
  <si>
    <t>083178920910</t>
  </si>
  <si>
    <t>sakbanuddins@gmail.com</t>
  </si>
  <si>
    <t>SAKBANUDDIN, S.E</t>
  </si>
  <si>
    <t>mohrizky.real78@gmail.com</t>
  </si>
  <si>
    <t>MOHAMMAD RIZKY, S.Kom</t>
  </si>
  <si>
    <t>Yoneka Noorca Erlangga, S. Pd., Gr.</t>
  </si>
  <si>
    <t>nitakristinawardani@gmail.com</t>
  </si>
  <si>
    <t>Nita Kristina Wardani S.M</t>
  </si>
  <si>
    <t>3.70</t>
  </si>
  <si>
    <t>arisfroh@gmail.com</t>
  </si>
  <si>
    <t>https://drive.google.com/file/d/1hhvZIEChyA9oW7HYA2tM058Q0lahrG6T/view?usp=sharing</t>
  </si>
  <si>
    <t>Aris Fathur Rohman</t>
  </si>
  <si>
    <t>Kabupaten Maros</t>
  </si>
  <si>
    <t>nurulazizasafiras@gmail.com</t>
  </si>
  <si>
    <t>Nurul Aziza Safira Santoso, S.S.</t>
  </si>
  <si>
    <t>yunusoppo2502@gmail.com</t>
  </si>
  <si>
    <t>Yunu Febrianto, S.Pd.</t>
  </si>
  <si>
    <t>alfazilmukarram162@gmail.com</t>
  </si>
  <si>
    <t>Alfazil Mukarram, S.Kom</t>
  </si>
  <si>
    <t>emilrifqy@gmail.com</t>
  </si>
  <si>
    <t>Emil Rifqy A.Md. M.</t>
  </si>
  <si>
    <t>yuyunsukawati664@gmail.com</t>
  </si>
  <si>
    <t>YUYUN SUKA WATI, S.Pd</t>
  </si>
  <si>
    <t>madesyahputra97@gmail.com</t>
  </si>
  <si>
    <t>085817348167</t>
  </si>
  <si>
    <t>M ADE SYAHPUTRA, S.Kom., Gr.</t>
  </si>
  <si>
    <t>arianirande@gmail.com</t>
  </si>
  <si>
    <t>Ariani Rande Nippa, S.Pd</t>
  </si>
  <si>
    <t>iimilmiah83@gmail.com</t>
  </si>
  <si>
    <t>Siti iim ilmiah, S.Pd</t>
  </si>
  <si>
    <t>andishafira177@gmail.com</t>
  </si>
  <si>
    <t>Devy Rizki Agustina, S.Pd.Gr.</t>
  </si>
  <si>
    <t>Andi Shafira Mappeati S.Pd</t>
  </si>
  <si>
    <t>3.87</t>
  </si>
  <si>
    <t>rysetiawan231@gmail.com</t>
  </si>
  <si>
    <t>Riky Setiawan, M.Pd.</t>
  </si>
  <si>
    <t>https://drive.google.com/drive/folders/1Ox-0TUCz6hG9Myk2xhpFEEvKdlv8dm0C?usp=sharing</t>
  </si>
  <si>
    <t>ruslanlina098@gmail.com</t>
  </si>
  <si>
    <t>LINA RUSLAN,S.Pd</t>
  </si>
  <si>
    <t>X942408364</t>
  </si>
  <si>
    <t>raymetss@gmail.com</t>
  </si>
  <si>
    <t>Ray Leonardy Metusala, S.E</t>
  </si>
  <si>
    <t>widhiavf.11@gmail.com</t>
  </si>
  <si>
    <t>Widhi Widhasmoro, S.IP.,</t>
  </si>
  <si>
    <t>ainunnurrahmah027@gmail.com</t>
  </si>
  <si>
    <t>Ainun Nur Rahmah, S.Pd.</t>
  </si>
  <si>
    <t>indriyantipanjaitan90@gmail.com</t>
  </si>
  <si>
    <t>Indri Yanti Panjaitan, S. IP</t>
  </si>
  <si>
    <t>ishlahmuntaha12@gmail.com</t>
  </si>
  <si>
    <t>085156511988</t>
  </si>
  <si>
    <t>Ishlah Muntaha, S.Q.U</t>
  </si>
  <si>
    <t>fitriantimarhum08@gmail.com</t>
  </si>
  <si>
    <t>Fitrianti S. Marhum, S.Pd.</t>
  </si>
  <si>
    <t>setiyawanmuktiwijaya123@gmail.com</t>
  </si>
  <si>
    <t>SETIYAWAN MUKTI WIJAYA S.Kom</t>
  </si>
  <si>
    <t>Khoiruddin Adi Nugroho, S.Pd.</t>
  </si>
  <si>
    <t>enongnur10@gmail.com</t>
  </si>
  <si>
    <t>IROCHMANTO NUR AZANI S.I.Kom</t>
  </si>
  <si>
    <t>3.34</t>
  </si>
  <si>
    <t>mrizkyhidayatfaqih@gmail.com</t>
  </si>
  <si>
    <t>M. Rizky Hidayat Faqih</t>
  </si>
  <si>
    <t>https://drive.google.com/drive/folders/1BunhS9ZC30KIV72NDCiDcLA3-Ud7Jkt9</t>
  </si>
  <si>
    <t>nuningwijayanti248@gmail.com</t>
  </si>
  <si>
    <t>srimutaharah59@gmail.com</t>
  </si>
  <si>
    <t>Sri Muttaharah, S.Pd</t>
  </si>
  <si>
    <t>ricayunisha@gmail.com</t>
  </si>
  <si>
    <t>Rica Yunisha Sianipar,S.M.</t>
  </si>
  <si>
    <t>fselkianingrum@gmail.com</t>
  </si>
  <si>
    <t>Fatma Selkia Ningrum, S. Hum.</t>
  </si>
  <si>
    <t>indah.willy.24@gmail.com</t>
  </si>
  <si>
    <t>Indah Kirey Paluang, S.M</t>
  </si>
  <si>
    <t>083838487111</t>
  </si>
  <si>
    <t>novisuharr0@gmail.com</t>
  </si>
  <si>
    <t>Novi Suhartatik, A.Md.M</t>
  </si>
  <si>
    <t>Universitas Tidar</t>
  </si>
  <si>
    <t>wansesi31@gmail.com</t>
  </si>
  <si>
    <t>IR WAN BUNDA THERESIA., ST</t>
  </si>
  <si>
    <t>srinabilasafnas@gmail.com</t>
  </si>
  <si>
    <t>Sri Nabila Safnas, S.I.Kom</t>
  </si>
  <si>
    <t>Muhammad Ponco Prasetyo, S.Pd., Gr</t>
  </si>
  <si>
    <t xml:space="preserve">Pendidikan Matematika </t>
  </si>
  <si>
    <t>sintiamamuaya69@guru.sd.belajar.id</t>
  </si>
  <si>
    <t>Sintia Mamuaya,S.Pd</t>
  </si>
  <si>
    <t>https://drive.google.com/drive/folders/1GaI6YVgutsBMNIGY3HaluvXIH5nka1r3</t>
  </si>
  <si>
    <t>sayidalwanhadzami@gmail.com</t>
  </si>
  <si>
    <t>Sayid Alwan Hadzami, S.Pd. CPS</t>
  </si>
  <si>
    <t>Boyolali, Jawa Tengah</t>
  </si>
  <si>
    <t>puputlasinta@gmail.com</t>
  </si>
  <si>
    <t>Sri Putri I. Lasinta S.Pd</t>
  </si>
  <si>
    <t>nolafajar03@gmail.com</t>
  </si>
  <si>
    <t>Nola Fajar Arum, S.Ak.</t>
  </si>
  <si>
    <t>https://drive.google.com/drive/folders/1PUlPUxJ9ULoWvGmLXEt0GU-YNtECwhXO</t>
  </si>
  <si>
    <t>fikrizul946@gmail.com</t>
  </si>
  <si>
    <t>MUHAMAD ZULFIKRI</t>
  </si>
  <si>
    <t>nailis229e@gmail.com</t>
  </si>
  <si>
    <t>Nailis Salamah</t>
  </si>
  <si>
    <t>kamilahasna695@gmail.com</t>
  </si>
  <si>
    <t>Kamila Hasna R</t>
  </si>
  <si>
    <t>085785333059</t>
  </si>
  <si>
    <t>wildanlutfia040200@gmail.com</t>
  </si>
  <si>
    <t>Wildan Lutfia Hamansah</t>
  </si>
  <si>
    <t>rakasembada07@gmail.com</t>
  </si>
  <si>
    <t>Raka joko sembada S. H.</t>
  </si>
  <si>
    <t>syahrulandika2301@gmail.com</t>
  </si>
  <si>
    <t>SYAHRUL ANDIKA PRATAMA, S.Pd</t>
  </si>
  <si>
    <t>Mukhlis Siska Nur Anggraini, S. Pd</t>
  </si>
  <si>
    <t>S1 PGSD</t>
  </si>
  <si>
    <t>regitacahyag@gmail.com</t>
  </si>
  <si>
    <t>REGITA CAHYA GRACIA RERUNG S.Sos</t>
  </si>
  <si>
    <t>syifaalmeraa07@gmail.com</t>
  </si>
  <si>
    <t>085642225680</t>
  </si>
  <si>
    <t>RISKA KOINGO</t>
  </si>
  <si>
    <t>edoraditya521@gmail.com</t>
  </si>
  <si>
    <t>Edo Raditya Aulana Azmi S.M</t>
  </si>
  <si>
    <t>hendrasakun4@gmail.com</t>
  </si>
  <si>
    <t>HENDRA, S. Akun</t>
  </si>
  <si>
    <t>virawatisyafia01@gmail.com</t>
  </si>
  <si>
    <t>Virawati Syafia Putri, S.KM</t>
  </si>
  <si>
    <t>Seno setiyawan</t>
  </si>
  <si>
    <t>handirizki52@gmail.com</t>
  </si>
  <si>
    <t>3.11</t>
  </si>
  <si>
    <t>Handi Rizki Setya Aji</t>
  </si>
  <si>
    <t>fitrinurlailah12ps2@gmail.com</t>
  </si>
  <si>
    <t>Fitri Nur Lailah, S.M.</t>
  </si>
  <si>
    <t>fachrulislam48@gmail.com</t>
  </si>
  <si>
    <t>Muhamad Fachrul Islam, S.H</t>
  </si>
  <si>
    <t>shellastri3010@gmail.com</t>
  </si>
  <si>
    <t>X9023083681</t>
  </si>
  <si>
    <t>Indar Shellastri Anggriati, S.T.</t>
  </si>
  <si>
    <t>anidasofiatun7@gmail.com</t>
  </si>
  <si>
    <t>Anida Sofiatun Nangimah, S.Pd</t>
  </si>
  <si>
    <t>3.90</t>
  </si>
  <si>
    <t>rrdochy@gmail.com</t>
  </si>
  <si>
    <t>ROSSY R.D.,S.Kom</t>
  </si>
  <si>
    <t>https://drive.google.com/drive/folders/17MT469v6DaHmpoLFdWBe241N_dObmepV?usp=drive_link</t>
  </si>
  <si>
    <t>arumintias@gmail.com</t>
  </si>
  <si>
    <t>Arum Ridho Intiaswilujeng, S.A.P</t>
  </si>
  <si>
    <t>andhinimalang@gmail.com</t>
  </si>
  <si>
    <t>Andhini Rismawati, S.AB</t>
  </si>
  <si>
    <t>almahlutfi36@gmail.com</t>
  </si>
  <si>
    <t>ALMAH LUTFI S.S</t>
  </si>
  <si>
    <t>kotaksurataufarul@gmail.com</t>
  </si>
  <si>
    <t>Moh Aufarul Mawahib, A.Md</t>
  </si>
  <si>
    <t>maillutfi123@gmail.com</t>
  </si>
  <si>
    <t>Muhammad Ismail Lutfi, S. Sos. M. M</t>
  </si>
  <si>
    <t>ahmadrozzaq560@gmail.com</t>
  </si>
  <si>
    <t>Ahmad Rozzaq, A.Md. Ak</t>
  </si>
  <si>
    <t>fathura855@gmail.com</t>
  </si>
  <si>
    <t>ALIF FATHUR RIZKI, S.P.W.K</t>
  </si>
  <si>
    <t>benny.arifin48@gmail.com</t>
  </si>
  <si>
    <t>085799588894</t>
  </si>
  <si>
    <t>BENNI ARIFIN</t>
  </si>
  <si>
    <t>shafinaaedaputri@gmail.com</t>
  </si>
  <si>
    <t>Shafina Aeda Putri</t>
  </si>
  <si>
    <t>cut.buleun0206@gmail.com</t>
  </si>
  <si>
    <t>Cut Buleun, S.Pd</t>
  </si>
  <si>
    <t>noviawulansuci02@gmail.com</t>
  </si>
  <si>
    <t>Novia Wulan Suci, S.Pd</t>
  </si>
  <si>
    <t>ayum9003@gmail.com</t>
  </si>
  <si>
    <t>ismidewisintaa@gmail.com</t>
  </si>
  <si>
    <t>Ismi Dewi Sinta, S.Ak</t>
  </si>
  <si>
    <t>marwahmayana569@gmail.com</t>
  </si>
  <si>
    <t>Marwah, S.Pd.</t>
  </si>
  <si>
    <t>Tenaga pendampingan pembelajaran mata Pelajaran Pendidikan Pancasila</t>
  </si>
  <si>
    <t>nadilaaulia830@gmail.com</t>
  </si>
  <si>
    <t>Nadila Aulia' Partiwi, S.Ak</t>
  </si>
  <si>
    <t>Aditya Maulana Hasan, S.Pd., Gr.</t>
  </si>
  <si>
    <t>alifputri246@gmail.com</t>
  </si>
  <si>
    <t>Aliffillahi Raudhotul Adawiyah Assulton, S.Pd</t>
  </si>
  <si>
    <t>S-1 Pendidikan Pancasila dan Kewarganegaraan (PPKn)</t>
  </si>
  <si>
    <t>ardianbarca20@gmail.com</t>
  </si>
  <si>
    <t>Ardi Mulia, S.Or</t>
  </si>
  <si>
    <t>Pendidikan Pancasila dan Kewarganegaraan (PKn)</t>
  </si>
  <si>
    <t>3.91</t>
  </si>
  <si>
    <t>https://drive.google.com/file/d/1zV2figavABF53g88ty1zBwjNJ4TwwTWj/view?usp=drivesdk</t>
  </si>
  <si>
    <t>eckylaelasari@gmail.com</t>
  </si>
  <si>
    <t>Ecky Laela Sari, S. Sos.</t>
  </si>
  <si>
    <t>miftaawaliyahsarino.kerja@gmail.com</t>
  </si>
  <si>
    <t>Mifta Awaliyah Sarino</t>
  </si>
  <si>
    <t>dickyhendrawan2246@gmail.com</t>
  </si>
  <si>
    <t>Dicky Hendrawan S.Pd</t>
  </si>
  <si>
    <t>zuniadewi99@gmail.com</t>
  </si>
  <si>
    <t>Zunia Dewi Utami, S.P.</t>
  </si>
  <si>
    <t>nria75450@gmail.com</t>
  </si>
  <si>
    <t>Ria Ratna Dewi, S.Pd.</t>
  </si>
  <si>
    <t>vidyaashari5@gmail.com</t>
  </si>
  <si>
    <t>Vidya Ashari</t>
  </si>
  <si>
    <t>Kota Kendari, Sulawesi Tenggara</t>
  </si>
  <si>
    <t>amanda21.a2@gmail.com</t>
  </si>
  <si>
    <t>088809402034</t>
  </si>
  <si>
    <t>Amanda Al-Yaasiin, S.I.P</t>
  </si>
  <si>
    <t>rendyinzaghi.2003@gmail.com</t>
  </si>
  <si>
    <t>Rendy Inzaghi S.Kom</t>
  </si>
  <si>
    <t>fajriah2015@gmail.com</t>
  </si>
  <si>
    <t>Fajriah, S.Pd</t>
  </si>
  <si>
    <t>mulyanieka908@gmail.com</t>
  </si>
  <si>
    <t>Eka Mulyani</t>
  </si>
  <si>
    <t>afnandhilwa12@gmail.com</t>
  </si>
  <si>
    <t>Afnand Hielwa Syahputra S.Pd.</t>
  </si>
  <si>
    <t>https://drive.google.com/drive/folders/12b_894tcCUKoJy5WHk7I7pof-VbaAG9v?usp=sharing</t>
  </si>
  <si>
    <t>bagusrachmad47@gmail.com</t>
  </si>
  <si>
    <t>Bagus Rachmad Saputra, S.Pd, M.Pd</t>
  </si>
  <si>
    <t>Alief Mustaghfiroh Suciyani Arifin, S.Pd., Gr.</t>
  </si>
  <si>
    <t>qinz8421@gmail.com</t>
  </si>
  <si>
    <t>Nurul Muttaqin, S. Pd</t>
  </si>
  <si>
    <t>Pendidikan Pancasila dan Kewarganegaraan</t>
  </si>
  <si>
    <t>3.56</t>
  </si>
  <si>
    <t>sipahutaramlisamutiandini@gmail.com</t>
  </si>
  <si>
    <t>AMLISA MUTIANDINI SIPAHUTAR, S.Pd., Gr.</t>
  </si>
  <si>
    <t>rowinaauliaputri@gmail.com</t>
  </si>
  <si>
    <t>Rowina Aulia Putri, S.Pd</t>
  </si>
  <si>
    <t>https://drive.google.com/file/d/1EYnoMc565zoK0J826IOUtHJ9sB9Z2CQo/view?usp=drivesdk</t>
  </si>
  <si>
    <t>febriyaniika03@gmail.com</t>
  </si>
  <si>
    <t>IKA FEBRIYANI, S.AP</t>
  </si>
  <si>
    <t>yuniartintirsa@gmail.com</t>
  </si>
  <si>
    <t>YUNIARTIN TIRSA S.Pd</t>
  </si>
  <si>
    <t>hanna.nessa25@gmail.com</t>
  </si>
  <si>
    <t>Hanna Nessa Rosalia S.Sos</t>
  </si>
  <si>
    <t>lilianyarum05@gmail.com</t>
  </si>
  <si>
    <t>Liliany Arum Permata, S.Pd</t>
  </si>
  <si>
    <t>ikawahyuningsih463@gmail.com</t>
  </si>
  <si>
    <t>Ika Wahyuningsih, S.E</t>
  </si>
  <si>
    <t>oliverraharusun@gmail.com</t>
  </si>
  <si>
    <t>Oliver Simon Hardiyanto Raharusun, S.Kom</t>
  </si>
  <si>
    <t>nabilanm1906@gmail.com</t>
  </si>
  <si>
    <t>Nabila Nur'Aini, S.A.P.</t>
  </si>
  <si>
    <t>mhdreynalldi02@gmail.com</t>
  </si>
  <si>
    <t>085788337823</t>
  </si>
  <si>
    <t>Muhammad Reynaldi Ikhsan., S.M.</t>
  </si>
  <si>
    <t>tiamilasari22@gmail.com</t>
  </si>
  <si>
    <t>Tia Milasari A.Md.Ak.</t>
  </si>
  <si>
    <t>fahanaulyas@gmail.com</t>
  </si>
  <si>
    <t>Fahana Uliya Sari S.Ak</t>
  </si>
  <si>
    <t>muhammadedy282@gmail.com</t>
  </si>
  <si>
    <t>Edy Sutrimo,A.Md.Tra</t>
  </si>
  <si>
    <t>Bastian Wijayanto, S.Pd., Gr.</t>
  </si>
  <si>
    <t>zulfatinnafisaaa@gmail.com</t>
  </si>
  <si>
    <t>PPKn</t>
  </si>
  <si>
    <t>Zulfatin Nafisah, S.Si</t>
  </si>
  <si>
    <t>3.64</t>
  </si>
  <si>
    <t>A3S223077</t>
  </si>
  <si>
    <t>https://drive.google.com/drive/folders/1LzuVejBMa0nJuaBNUC6Wmo059tSnk3PX?usp=drive_link</t>
  </si>
  <si>
    <t>vhadillakp@gmail.com</t>
  </si>
  <si>
    <t>Vhadilla Kurnia Putri, S.Pd</t>
  </si>
  <si>
    <t>syariamaliyah@gmail.com</t>
  </si>
  <si>
    <t>Syarifatul Amaliyah</t>
  </si>
  <si>
    <t>nurhidayahyusuf8@gmail.com</t>
  </si>
  <si>
    <t>Nurhidayah Yusuf S.I.Kom</t>
  </si>
  <si>
    <t>intanagustiyani03@gmail.com</t>
  </si>
  <si>
    <t>Intan Agustiyani</t>
  </si>
  <si>
    <t>ervikadevi25@gmail.com</t>
  </si>
  <si>
    <t>Devi Ervika S. Pd. Gr.</t>
  </si>
  <si>
    <t>antokeraton@gmail.com</t>
  </si>
  <si>
    <t>La Ode Muhammad Arianto</t>
  </si>
  <si>
    <t>diahisti270@gmail.com</t>
  </si>
  <si>
    <t>Diah Istiqomah AMd. ARS</t>
  </si>
  <si>
    <t>arifha.askhafi@gmail.com</t>
  </si>
  <si>
    <t>Arifa Ashafi, S.Psi</t>
  </si>
  <si>
    <t>anisyanour14@gmail.com</t>
  </si>
  <si>
    <t>Anisya Nour Rahmadani S.Pd</t>
  </si>
  <si>
    <t>085647472150</t>
  </si>
  <si>
    <t>wulanra02@gmail.com</t>
  </si>
  <si>
    <t>Wulan Rahmawati, S.T.P</t>
  </si>
  <si>
    <t>whhanatthahiraha8@gmail.com</t>
  </si>
  <si>
    <t>nurririnngudiasih@gmail.com</t>
  </si>
  <si>
    <t>NUR RIRIN NGUDIASIH, S.Pi</t>
  </si>
  <si>
    <t>muktiyasihismadwi@gmail.com</t>
  </si>
  <si>
    <t>Mudawamatul Khasanah, S. Pd. G.r.</t>
  </si>
  <si>
    <t>Isma Dwi Muktiyasih, S.Pd.</t>
  </si>
  <si>
    <t xml:space="preserve">Pendidikan Pancasila dan Kewarganegaraan </t>
  </si>
  <si>
    <t>3.50</t>
  </si>
  <si>
    <t>wnitatri7@gmail.com</t>
  </si>
  <si>
    <t>https://drive.google.com/drive/folders/1eQb9Ydk0eATBDcczvp7yz_FB4O4O3AS3</t>
  </si>
  <si>
    <t>Nitatri Wahyuni, S.Pd., M.Pd.</t>
  </si>
  <si>
    <t>edriyanto001@gmail.com</t>
  </si>
  <si>
    <t>Edriyanto,S.T</t>
  </si>
  <si>
    <t>noviaariantilestari22@gmail.com</t>
  </si>
  <si>
    <t>NOVIA ARIANTI LESTARI A.Md</t>
  </si>
  <si>
    <t>komarudinpurnama@gmail.com</t>
  </si>
  <si>
    <t>Komarudin Purnama, S.Kom.</t>
  </si>
  <si>
    <t>ahmadafif040201@gmail.com</t>
  </si>
  <si>
    <t>AHMAD NURUL AFIF, S.E.</t>
  </si>
  <si>
    <t>085729580804</t>
  </si>
  <si>
    <t>martinimar0810@gmail.com</t>
  </si>
  <si>
    <t>Martini, S.Geo</t>
  </si>
  <si>
    <t>cherinovelia@gmail.com</t>
  </si>
  <si>
    <t xml:space="preserve">Muhid Bayyan, S.Pd. </t>
  </si>
  <si>
    <t>Cheri C.N Lengkong, S.P.W.K</t>
  </si>
  <si>
    <t>2.65</t>
  </si>
  <si>
    <t>sandhiatmandha@gmail.com</t>
  </si>
  <si>
    <t>Anwar Sandhi Atmandha Aji S.Pd.</t>
  </si>
  <si>
    <t>https://drive.google.com/drive/folders/1DUcWJvg3MRjkBfV1Wb2SOf09W0KOXuia</t>
  </si>
  <si>
    <t>fendiyogi18@gmail.com</t>
  </si>
  <si>
    <t>Fendi Yogi Purwadi, S.S.</t>
  </si>
  <si>
    <t>https://drive.google.com/folderview?id=1-H0dgyCTkBx1Sx2sbwB_7BZN52kyclaR</t>
  </si>
  <si>
    <t>d.wahyuristi@gmail.com</t>
  </si>
  <si>
    <t>D WAHYU RISTI HANDAYANI</t>
  </si>
  <si>
    <t>devmartianta@gmail.com</t>
  </si>
  <si>
    <t>Devanda Martianta Sabeliana, S.Pd</t>
  </si>
  <si>
    <t>emarosilia3@gmail.com</t>
  </si>
  <si>
    <t>Ema Rosilia, S.Pd</t>
  </si>
  <si>
    <t>helmiliaqilla@gmail.com</t>
  </si>
  <si>
    <t>Helmilia Qilla Fatur Rosyida, S.Pd.</t>
  </si>
  <si>
    <t>septanovita027@gmail.com</t>
  </si>
  <si>
    <t>SEPTA NOVITA SARI</t>
  </si>
  <si>
    <t>mohammadrifqizaenulmuttaqin@gmail.com</t>
  </si>
  <si>
    <t>087775710810</t>
  </si>
  <si>
    <t>Mohammad Rifqi Zaenul Muttaqin, S.E.</t>
  </si>
  <si>
    <t>rahmatiyahusain123@gmail.com</t>
  </si>
  <si>
    <t>Rahmatiya Husain, S.Pd, M.Pd</t>
  </si>
  <si>
    <t>entinhw@gmail.com</t>
  </si>
  <si>
    <t>Entin Hardini Waluyo, M.Pd.</t>
  </si>
  <si>
    <t>lieftha.gusphia@gmail.com</t>
  </si>
  <si>
    <t>Lieftha Gusphia Hasaz, S.Pd.</t>
  </si>
  <si>
    <t>Adam Baharddudin, S.Or</t>
  </si>
  <si>
    <t>S1- ILMU KEOLAHRAGAAN</t>
  </si>
  <si>
    <t>https://drive.google.com/drive/folders/1Rs9HB-oZ3H5yNrDt9DFHXgAhgSOFkiIK?usp=sharing</t>
  </si>
  <si>
    <t>zulfikar.barce@gmail.com</t>
  </si>
  <si>
    <t>Ahmad Zulfikar. S.Pd</t>
  </si>
  <si>
    <t>aliyaasy229@gmail.com</t>
  </si>
  <si>
    <t>Aliya Asy'arie, S.Pd</t>
  </si>
  <si>
    <t>arinlarosa@gmail.com</t>
  </si>
  <si>
    <t>Aryati Larosa,S.E</t>
  </si>
  <si>
    <t>wiraberkatuny@gmail.com</t>
  </si>
  <si>
    <t>Wira Berkat Anugerah Halawa, M.Pd</t>
  </si>
  <si>
    <t>shierlyanggraeni03@gmail.com</t>
  </si>
  <si>
    <t>A3S224310</t>
  </si>
  <si>
    <t>Shierly Anggraeni, S.E</t>
  </si>
  <si>
    <t>izzatullatifa24@gmail.com</t>
  </si>
  <si>
    <t>Izzatul lathifah</t>
  </si>
  <si>
    <t>nazura097@gmail.com</t>
  </si>
  <si>
    <t>Nafisa Rafi Azumah S.M</t>
  </si>
  <si>
    <t>082326731860</t>
  </si>
  <si>
    <t>yustikaamanda@gmail.com</t>
  </si>
  <si>
    <t>Yustika Amanda, S.K.M</t>
  </si>
  <si>
    <t>faaiqalwaafiy@gmail.com</t>
  </si>
  <si>
    <t>Ahmad Faaiq Al Waafiy, S. Pd.</t>
  </si>
  <si>
    <t>Ade Rahmad Hardani S.Pd.,G.r</t>
  </si>
  <si>
    <t xml:space="preserve">Pendidikan Jasmani Dan Kesehatan </t>
  </si>
  <si>
    <t>firdanurilulya@gmail.com</t>
  </si>
  <si>
    <t>Firda Nuril Ulya, S.M</t>
  </si>
  <si>
    <t xml:space="preserve">https://drive.google.com/file/d/1TmBNpVmZwK0wgwjA5wKHVM0mU3d3fWmw/view?usp=drivesdk </t>
  </si>
  <si>
    <t>amaliameianaalwin01@gmail.com</t>
  </si>
  <si>
    <t>AMALIA MEIANA ALWIN, S.M</t>
  </si>
  <si>
    <t>percetakanasyifa@idu.my.id</t>
  </si>
  <si>
    <t>MUHAMMAD KHAFRY</t>
  </si>
  <si>
    <t>azizahfajriatul@gmail.com</t>
  </si>
  <si>
    <t>arinamunthe02@gmail.com</t>
  </si>
  <si>
    <t>Arina Denggan Munthe</t>
  </si>
  <si>
    <t>lilis28indri@gmail.com</t>
  </si>
  <si>
    <t>Lilis Indriyani S.Pd</t>
  </si>
  <si>
    <t>helonawan@gmail.com</t>
  </si>
  <si>
    <t>Nawan S.pd</t>
  </si>
  <si>
    <t>088269026860</t>
  </si>
  <si>
    <t>noranovitasms@gmail.com</t>
  </si>
  <si>
    <t>Nora Novita Simangunsong</t>
  </si>
  <si>
    <t>hayupurnama5@gmail.com</t>
  </si>
  <si>
    <t>Hayu Purnama Sari, S.Pd</t>
  </si>
  <si>
    <t>Universitas Muhammadiyah Magelang</t>
  </si>
  <si>
    <t>kurmanmathilda@gmail.com</t>
  </si>
  <si>
    <t>Afri Lianto, S.Pd., Gr.</t>
  </si>
  <si>
    <t>Mathilda Yoseline Kurman. S.Tr.Pi.,M.Tr.Pi</t>
  </si>
  <si>
    <t>S-1</t>
  </si>
  <si>
    <t>3.55</t>
  </si>
  <si>
    <t>syamsulm123@gmail.com</t>
  </si>
  <si>
    <t>SYAMSUL MAARIEF S.E.</t>
  </si>
  <si>
    <t>https://drive.google.com/drive/folders/1PzS9P01UHo8ahunVVv6jD4ARfGViRjOG</t>
  </si>
  <si>
    <t>ferihidayah87@gmail.com</t>
  </si>
  <si>
    <t>FERI HIDAYAH</t>
  </si>
  <si>
    <t>fatmaellafm@gmail.com</t>
  </si>
  <si>
    <t>Fatmawati Fadzilatul Mabruroh S.Pd.</t>
  </si>
  <si>
    <t>yuviannurbalisya@gmail.com</t>
  </si>
  <si>
    <t>YUVIAN NURBALISYA S.I.KOM</t>
  </si>
  <si>
    <t>nidakhaerunnisa.9a@gmail.com</t>
  </si>
  <si>
    <t>Nida Khaerunnisa, S.Sos</t>
  </si>
  <si>
    <t>dyahsinta181@gmail.com</t>
  </si>
  <si>
    <t>Dyah Sinta Ayu Ardana S.Pd</t>
  </si>
  <si>
    <t>mavada30@gmail.com</t>
  </si>
  <si>
    <t>Mavada Pramudyani, S.Pd</t>
  </si>
  <si>
    <t>085740702984</t>
  </si>
  <si>
    <t>israyanawati@gmail.com</t>
  </si>
  <si>
    <t>Isra Yana Wati, S. Pt</t>
  </si>
  <si>
    <t>Kabupaten Magelang</t>
  </si>
  <si>
    <t>debializa.301097@gmail.com</t>
  </si>
  <si>
    <t>Debi Aliza, S. Sos</t>
  </si>
  <si>
    <t>rizkynauval19@gmail.com</t>
  </si>
  <si>
    <t>MOHAMMAD RIZKI NAUVAL S.Pd</t>
  </si>
  <si>
    <t>Bekti Aji Wibowo S.Pd., Gr.</t>
  </si>
  <si>
    <t>PENDIDIKAN OLAHRAGA</t>
  </si>
  <si>
    <t>dewisartika179@gmail.com</t>
  </si>
  <si>
    <t>Dewi Sartika, S. Pd</t>
  </si>
  <si>
    <t xml:space="preserve">https://drive.google.com/file/d/1UUanyQLNkOSugUWXDQLx6cbMy9rhomU-/view?usp=sharing </t>
  </si>
  <si>
    <t>syaif.noor87@gmail.com</t>
  </si>
  <si>
    <t>NOOR  SYAIFUDDIN</t>
  </si>
  <si>
    <t>https://drive.google.com/drive/folders/1m91u-ixafYRtV4PP1DwSgpzZITA4pMTK?usp=sharing</t>
  </si>
  <si>
    <t>yuniyanti1906@gmail.com</t>
  </si>
  <si>
    <t>Yuni Yanti, S.Pd</t>
  </si>
  <si>
    <t>triwahyuningtias575@gmail.com</t>
  </si>
  <si>
    <t>Tri Wahyuningtias, S.Pd.</t>
  </si>
  <si>
    <t>risnawatib55@gmail.com</t>
  </si>
  <si>
    <t>Risnawati, S. Mat.</t>
  </si>
  <si>
    <t>nurullauliad@gmail.com</t>
  </si>
  <si>
    <t>Nurul Aulia Dewi. S.Pd.</t>
  </si>
  <si>
    <t>shintanovita715@gmail.com</t>
  </si>
  <si>
    <t>Sinta Novita Ramandani</t>
  </si>
  <si>
    <t>0895422032099</t>
  </si>
  <si>
    <t>ummifarika.smanema2016@gmail.com</t>
  </si>
  <si>
    <t>Ummi Farika, S. Pd</t>
  </si>
  <si>
    <t>milhatuluyun1312@gmail.com</t>
  </si>
  <si>
    <t>Milhatul Uyun Ramadhani</t>
  </si>
  <si>
    <t>meliaptr09@gmail.com</t>
  </si>
  <si>
    <t>Diyana Ratna Sari, S.Pd, Gr.</t>
  </si>
  <si>
    <t>Melia Putri Hapsari., S.Ak.</t>
  </si>
  <si>
    <t>Pendidikan jasmani kesahatan dan Rekreasi</t>
  </si>
  <si>
    <t>elissayyidaa@gmail.com</t>
  </si>
  <si>
    <t>Sayyidah Alissatin Nur, S.Pd.</t>
  </si>
  <si>
    <t>ganangwicaksonopratama@gmail.com</t>
  </si>
  <si>
    <t>https://drive.google.com/file/d/1fI_gpiFidC35PhUgS4AL5664hKzkHvrn/view?usp=drivesdk</t>
  </si>
  <si>
    <t>GANANG WICAKSONO PRATAMA, A.Md</t>
  </si>
  <si>
    <t>patrisiasumual@gmail.com</t>
  </si>
  <si>
    <t>Patrisia Nikita Sumual S.H</t>
  </si>
  <si>
    <t>naufalulum33@gmail.com</t>
  </si>
  <si>
    <t>Mohammad Naufal Ulum, S.Kom.</t>
  </si>
  <si>
    <t>zainuriahmad12@gmail.com</t>
  </si>
  <si>
    <t>Ahmad Zainuri</t>
  </si>
  <si>
    <t>X942408172</t>
  </si>
  <si>
    <t>ardilamike077@gmail.com</t>
  </si>
  <si>
    <t>Mike, S.Pd., M.Pd</t>
  </si>
  <si>
    <t>syahidah.nur2002@gmail.com</t>
  </si>
  <si>
    <t>Nur Syahidah Qurotu Aini, S.E.</t>
  </si>
  <si>
    <t>imhairmaw95@gmail.com</t>
  </si>
  <si>
    <t>Irmawati, S. Pd</t>
  </si>
  <si>
    <t>adityanur789@gmail.com</t>
  </si>
  <si>
    <t>Aditya Nurrahmah Rangkuti, S.E</t>
  </si>
  <si>
    <t>081326793556</t>
  </si>
  <si>
    <t>yuliantievha2@gmail.com</t>
  </si>
  <si>
    <t>Eva Yulianti, S.E.</t>
  </si>
  <si>
    <t>itsapns9@gmail.com</t>
  </si>
  <si>
    <t>Adelia Putri Nur Silviana</t>
  </si>
  <si>
    <t>sriindrawatigayateri@gmail.com</t>
  </si>
  <si>
    <t>sri Indrawati gayateri</t>
  </si>
  <si>
    <t>khutwatulfitriyah@gmail.com</t>
  </si>
  <si>
    <t>Khutwatul Fitriyah, S.Pd.</t>
  </si>
  <si>
    <t>ekabintangnurcahya@gmail.com</t>
  </si>
  <si>
    <t>Eka Bintang Nur Cahya, S.Pd.</t>
  </si>
  <si>
    <t>zulfamubina50@gmail.com</t>
  </si>
  <si>
    <t>Zulfa Mubina Pawitrasari, S. Pd</t>
  </si>
  <si>
    <t>alfuhikmah56@gmail.com</t>
  </si>
  <si>
    <t>Putri Alfu Hikmah, S.Ak</t>
  </si>
  <si>
    <t>srimulput864@gmail.com</t>
  </si>
  <si>
    <t>Sri Muliani Putri, S.Pd</t>
  </si>
  <si>
    <t>melianawijaya43@gmail.com</t>
  </si>
  <si>
    <t>MELIANA EKA WIJAYA, SE</t>
  </si>
  <si>
    <t>alfinurhikmah10@gmail.com</t>
  </si>
  <si>
    <t>Alfi Nurhikmah, S.Pd.</t>
  </si>
  <si>
    <t>noorsya16@gmail.com</t>
  </si>
  <si>
    <t>NOOR SYAFA'AH KUSUMA PUTRI, S.KOM</t>
  </si>
  <si>
    <t>afrilianto@student.uns.ac.id</t>
  </si>
  <si>
    <t>nafiazka67@gmail.com</t>
  </si>
  <si>
    <t>Moh choirun nafi S.I.P</t>
  </si>
  <si>
    <t>fazbar.alfalah@gmail.com</t>
  </si>
  <si>
    <t>Fazbar Amirul Falah</t>
  </si>
  <si>
    <t>Zaenudin,S.Pd.Gr.</t>
  </si>
  <si>
    <t xml:space="preserve">Pendidikan kepelatihan olahraga </t>
  </si>
  <si>
    <t>faisalmuhamad365@gmail.com</t>
  </si>
  <si>
    <t>Muhammad Faisal</t>
  </si>
  <si>
    <t>3.83</t>
  </si>
  <si>
    <t>https://drive.google.com/file/d/1WoZ2dEnTCug0Ziv3_iuegw3MELqpmkZC/view?usp=drivesdk</t>
  </si>
  <si>
    <t>rivaldi.atex@gmail.com</t>
  </si>
  <si>
    <t>Ifan Rifaldi</t>
  </si>
  <si>
    <t>fadiafebyandhani@gmail.com</t>
  </si>
  <si>
    <t>Fadia Feby Andhani</t>
  </si>
  <si>
    <t>Universitas Negeri Yogyakarta</t>
  </si>
  <si>
    <t>divaaryav@gmail.com</t>
  </si>
  <si>
    <t>Diva Arya Vita, S.Pd</t>
  </si>
  <si>
    <t>sintikhe.novia@gmail.com</t>
  </si>
  <si>
    <t>Sintikhe Novia Margaretha, S.Kom.</t>
  </si>
  <si>
    <t>ahmadnursafii1@gmail.com</t>
  </si>
  <si>
    <t>Ahmad Nur Safi'i, S.H.</t>
  </si>
  <si>
    <t>ulwiyatulfikriyah@gmail.com</t>
  </si>
  <si>
    <t>Ulwiyatul Fikriyah</t>
  </si>
  <si>
    <t>dyanawuwunhk@gmail.com</t>
  </si>
  <si>
    <t>Dyana Wuwun Hidayatun Khasanah S.Pd</t>
  </si>
  <si>
    <t>08976565808</t>
  </si>
  <si>
    <t>cantikarizkysalsa@gmail.com</t>
  </si>
  <si>
    <t>CantikaRizky Salsabilla, S.Pd.</t>
  </si>
  <si>
    <t>liraindriani47@gmail.com</t>
  </si>
  <si>
    <t>lira indriani, S.P, Gr</t>
  </si>
  <si>
    <t>Desa Krenceng, Rt 02 Rw 01 Kec.Kejobong, Kab.Purbingga, Jawa Tengah</t>
  </si>
  <si>
    <t>neethajhary@gmail.com</t>
  </si>
  <si>
    <t>Nita Jariyah, S.Kom.</t>
  </si>
  <si>
    <t>arasagita57@gmail.com</t>
  </si>
  <si>
    <t>Arya Pratama Sagita Putri, S.A.P</t>
  </si>
  <si>
    <t>ronasalma99@gmail.com</t>
  </si>
  <si>
    <t>Rona Salma Ramadhanti S.A.P.</t>
  </si>
  <si>
    <t>bandhe027@gmail.com</t>
  </si>
  <si>
    <t>stevanus dejeniro banderas s.par</t>
  </si>
  <si>
    <t>audriadewi@gmail.com</t>
  </si>
  <si>
    <t>https://drive.google.com/drive/folders/1qirwr70MFDx3AkmSPCtOXtF91TmXq43v</t>
  </si>
  <si>
    <t>Audria Pramesti Dewi, S.Ak.</t>
  </si>
  <si>
    <t>arfina01.fi@gmail.com</t>
  </si>
  <si>
    <t>ARFINA LITAFULJANAH SUNARKO</t>
  </si>
  <si>
    <t>faridantartika@gmail.com</t>
  </si>
  <si>
    <t>Farid Abdur Rohman, S.Pi</t>
  </si>
  <si>
    <t>febrianaresti02@gmail.com</t>
  </si>
  <si>
    <t>Febriana Resti Fauziah, S.Pd.</t>
  </si>
  <si>
    <t>nasyasefia@gmail.com</t>
  </si>
  <si>
    <t>Sefia Nasya Filani, S.Kom.</t>
  </si>
  <si>
    <t>Nila Safitri, S.Pd., Gr.</t>
  </si>
  <si>
    <t xml:space="preserve">Pendidikan Bahasa Jawa </t>
  </si>
  <si>
    <t>Bahasa Jawa</t>
  </si>
  <si>
    <t>marissasuryarezki03@gmail.com</t>
  </si>
  <si>
    <t>https://drive.google.com/drive/folders/1IBUHZ570KJFy5CmkAqk3hdSbP9e0B9cp</t>
  </si>
  <si>
    <t>Marissa Surya Rezki, S.M</t>
  </si>
  <si>
    <t>m.alifazzumardi@gmail.com</t>
  </si>
  <si>
    <t>Muhammad Alif Azzumardi, S.Kom.</t>
  </si>
  <si>
    <t>latifatuzakiyah19@gmail.com</t>
  </si>
  <si>
    <t>Latifatu Zakiyah, S.Tr.A.B.</t>
  </si>
  <si>
    <t>X902308022</t>
  </si>
  <si>
    <t>miya200598@gmail.com</t>
  </si>
  <si>
    <t>Rumiyati S.M</t>
  </si>
  <si>
    <t>waodenafiah90@gmail.com</t>
  </si>
  <si>
    <t>Mira febriyanti, S.M</t>
  </si>
  <si>
    <t>schoirunnisa4@gmail.com</t>
  </si>
  <si>
    <t>Shafira Choirunnisa, S.Pd.</t>
  </si>
  <si>
    <t>082324551642</t>
  </si>
  <si>
    <t>trifena.yer477@gmail.com</t>
  </si>
  <si>
    <t>Yermi Pebtyana, A. Md</t>
  </si>
  <si>
    <t>sahdanfatwalloh2000@gmail.com</t>
  </si>
  <si>
    <t>SAHDAN FATWALLOH Amd. Kom</t>
  </si>
  <si>
    <t>Suci Suryaning Tyas S.Pd,Gr</t>
  </si>
  <si>
    <t>xaveriusbintang@gmail.com</t>
  </si>
  <si>
    <t>Bintang Pamungkas A.md, Stat.</t>
  </si>
  <si>
    <t>S1 Pendidikan Seni Tari</t>
  </si>
  <si>
    <t>harlianto.wahyudi0704@gmail.com</t>
  </si>
  <si>
    <t>Harlianto Wahyudi,S.Tr.Kes</t>
  </si>
  <si>
    <t>https://drive.google.com/file/d/1iq8cDdVfuoJxTaGIJK-5C0uFxCjY3984/view?usp=drivesdk</t>
  </si>
  <si>
    <t>irnawati.wirna99@gmail.com</t>
  </si>
  <si>
    <t>Irnawati,S.E.,M.Pd</t>
  </si>
  <si>
    <t>zuhdatulqanita22@gmail.com</t>
  </si>
  <si>
    <t>Zuhdatul Qanita Witri, S. Pd</t>
  </si>
  <si>
    <t>ellaferlia226@gmail.com</t>
  </si>
  <si>
    <t>Ferlia Ella Apreliani S. T</t>
  </si>
  <si>
    <t>alfaqihjobs@gmail.com</t>
  </si>
  <si>
    <t>Desio Alfaqih, S.A.P.</t>
  </si>
  <si>
    <t>sheillazainus@gmail.com</t>
  </si>
  <si>
    <t>SHEILLA ZAINUS SUWARNO, S.M.</t>
  </si>
  <si>
    <t>085725604967</t>
  </si>
  <si>
    <t>ppg.lailamuniroh92@program.belajar.id</t>
  </si>
  <si>
    <t>anggrainiedhevie@gmail.com</t>
  </si>
  <si>
    <t>Dhevie Anggrainie</t>
  </si>
  <si>
    <t>erinaagustyoningrum@gmail.com</t>
  </si>
  <si>
    <t>Candra Adi Rahmat, S.Kom., Gr</t>
  </si>
  <si>
    <t>ERINA AGUSTYONINGRUM</t>
  </si>
  <si>
    <t>Teknik Informatika</t>
  </si>
  <si>
    <t>3.73</t>
  </si>
  <si>
    <t>hikmahchasanah604@gmail.com</t>
  </si>
  <si>
    <t>Hikmah Rochimatul Chasanah, S.Pd.</t>
  </si>
  <si>
    <t>https://drive.google.com/drive/folders/1v9Rl1ZkNsT6Jw6hEo64E-fGeNru0Mo2a?usp=sharing</t>
  </si>
  <si>
    <t>zhafirara256@gmail.com</t>
  </si>
  <si>
    <t>Nurul Zhafira</t>
  </si>
  <si>
    <t>alextarigan.atn@gmail.com</t>
  </si>
  <si>
    <t>Alexander Valentinus Tarigan, S.Ak</t>
  </si>
  <si>
    <t>najib.3.fff@gmail.com</t>
  </si>
  <si>
    <t>Ainun Najib</t>
  </si>
  <si>
    <t>kusumawardaniseftia@gmail.com</t>
  </si>
  <si>
    <t>Seftia Kusumawardani</t>
  </si>
  <si>
    <t>muhammadnaufalmuzakki5@gmail.com</t>
  </si>
  <si>
    <t>Muhammad Naufal Muzakki, S.Pd.</t>
  </si>
  <si>
    <t>082286367473</t>
  </si>
  <si>
    <t>veerazen01@gmail.com</t>
  </si>
  <si>
    <t>Vera Rahma Zen, S.Pd.</t>
  </si>
  <si>
    <t>noviarizkaamelia@gmail.com</t>
  </si>
  <si>
    <t>Novia Rizka Amelia, S.Pd.</t>
  </si>
  <si>
    <t>dmas6801@gmail.com</t>
  </si>
  <si>
    <t>Dimas Adie Rizqia, S.T.</t>
  </si>
  <si>
    <t>adityawimap15@gmail.com</t>
  </si>
  <si>
    <t>Aditya Wima Purnawan, S.Pd.</t>
  </si>
  <si>
    <t>tatayasyifa28@gmail.com</t>
  </si>
  <si>
    <t>Fadiah Radinata Yashifa</t>
  </si>
  <si>
    <t>andinid667@gmail.com</t>
  </si>
  <si>
    <t>Andini Prischa Dewi</t>
  </si>
  <si>
    <t>https://drive.google.com/drive/folders/1qtGqu3dQCug1Ta3kijfkP0VPhlHpTTpT?usp=drive_link</t>
  </si>
  <si>
    <t>muhdarma76@gmail.com</t>
  </si>
  <si>
    <t>Muhda Rizqa Maulana Ahmad. S.Pd.</t>
  </si>
  <si>
    <t>naomindrr@gmail.com</t>
  </si>
  <si>
    <t>Siti Harfihamzah Indra Naomi, S.Pd.</t>
  </si>
  <si>
    <t>layliravsanjani@gmail.com</t>
  </si>
  <si>
    <t>Listia Nuraini, S.Pd.,Gr</t>
  </si>
  <si>
    <t>Layli Ravsanjani, S.Pd.</t>
  </si>
  <si>
    <t>Pendidikan Teknologi Informasi</t>
  </si>
  <si>
    <t>faizatulqomariyah03@gmail.com</t>
  </si>
  <si>
    <t>https://drive.google.com/drive/folders/19MRaOM80DF038NWPqHaqqcWNbEgyOpsX</t>
  </si>
  <si>
    <t>Faizatul Qomariyah, S.Ak.</t>
  </si>
  <si>
    <t>jazilatunnikmah263@gmail.com</t>
  </si>
  <si>
    <t>JAZILATUN NIKMAH S.Pd.</t>
  </si>
  <si>
    <t>085840043140</t>
  </si>
  <si>
    <t>jeesdea@gmail.com</t>
  </si>
  <si>
    <t>DHEA JULIAWATI SHOLIHAH, S.M</t>
  </si>
  <si>
    <t>ahmad.haris2143@gmail.com</t>
  </si>
  <si>
    <t>X9023083600</t>
  </si>
  <si>
    <t>NURMALAH LISTYA NINGRUM S.Pd</t>
  </si>
  <si>
    <t>MOCHAMAD MISBAKHUDIN, S.Pd.</t>
  </si>
  <si>
    <t>TADRIS MATEMATIKA</t>
  </si>
  <si>
    <t>K4418039</t>
  </si>
  <si>
    <t>3.44</t>
  </si>
  <si>
    <t>dewiretnonug@gmail.com</t>
  </si>
  <si>
    <t>Dewi Retno Nugraheni, S.Pd.</t>
  </si>
  <si>
    <t>https://drive.google.com/drive/folders/1ltUU36tlXxgfeMDDdoLQOBEN6rzRAnT4</t>
  </si>
  <si>
    <t>ameliaoktap22@gmail.com</t>
  </si>
  <si>
    <t>Amelia Oktapiani, S.T</t>
  </si>
  <si>
    <t>mithafitriyansyah@gmail.com</t>
  </si>
  <si>
    <t>Mitha Fitriyansyah Siregar, S.Pd</t>
  </si>
  <si>
    <t>luluariiba@gmail.com</t>
  </si>
  <si>
    <t>Lu'lu' Ariiba Dhiya Jannah, S.A.P</t>
  </si>
  <si>
    <t>0895635413104</t>
  </si>
  <si>
    <t>lubnaara2010@gmail.com</t>
  </si>
  <si>
    <t>Lubna Rihadatul 'Aisy, S.Pd.</t>
  </si>
  <si>
    <t>Muhammad Royyan, S.Pd.,Gr.</t>
  </si>
  <si>
    <t>Pendidikan Informatika</t>
  </si>
  <si>
    <t>adishreevijayashree@gmail.com</t>
  </si>
  <si>
    <t>3.8</t>
  </si>
  <si>
    <t>Nuzulia Fitriana, S.Pd., M.Pd.</t>
  </si>
  <si>
    <t>https://drive.google.com/drive/folders/1PQQxwZNzVypS3yGp4a0HX6Wmibz9ALEQ</t>
  </si>
  <si>
    <t>diyahanggun240@gmail.com</t>
  </si>
  <si>
    <t>Diyah Anggun Aprilia S.E</t>
  </si>
  <si>
    <t>windayana003@gmail.com</t>
  </si>
  <si>
    <t>Wa Ode Windayana Tianingrum, S. Pd</t>
  </si>
  <si>
    <t>ppg.imronkamaludin02@program.belajar.id</t>
  </si>
  <si>
    <t>wars.siman@gmail.com</t>
  </si>
  <si>
    <t>Warsiman</t>
  </si>
  <si>
    <t>rahmawatidjiuwa@gmail.com</t>
  </si>
  <si>
    <t>085602502916</t>
  </si>
  <si>
    <t>RAHMAWATI DJIUWA, S.PD</t>
  </si>
  <si>
    <t>rifiagusmaul@gmail.com</t>
  </si>
  <si>
    <t>RIFI AGUS MAULANA, S.E</t>
  </si>
  <si>
    <t>Nurul Khoiriyah, S.Pd., Gr.</t>
  </si>
  <si>
    <t>mayy5448@gmail.com</t>
  </si>
  <si>
    <t>Maisaroh, S.Pd</t>
  </si>
  <si>
    <t>https://drive.google.com/file/d/10vZFJJ6HLCd0q9kJFe38K6ug4wCZSDnp/view?usp=sharing</t>
  </si>
  <si>
    <t>miraasna01@gmail.com</t>
  </si>
  <si>
    <t>Mira Asnawati</t>
  </si>
  <si>
    <t>agilsyahputrajr@gmail.com</t>
  </si>
  <si>
    <t>Muhammad Agil Syahputra, S.Pd., Gr.</t>
  </si>
  <si>
    <t>ffajrul366@gmail.com</t>
  </si>
  <si>
    <t>Fajrul Falah</t>
  </si>
  <si>
    <t>081393616229</t>
  </si>
  <si>
    <t>lailaaf93@gmail.com</t>
  </si>
  <si>
    <t>Nurul Lailatul Arofah, S.H.</t>
  </si>
  <si>
    <t>ramnasari.asri@gmail.com</t>
  </si>
  <si>
    <t>Ramnasari, S. Pd</t>
  </si>
  <si>
    <t>Rudy Aziz Septyawan, S.Pd., Gr.</t>
  </si>
  <si>
    <t>Kabupaten Kebumen, Jawa Tengah</t>
  </si>
  <si>
    <t>Pendidikan Teknik Informatika dan Komputer</t>
  </si>
  <si>
    <t>dheymey890@gmail.com</t>
  </si>
  <si>
    <t>3.43</t>
  </si>
  <si>
    <t>Dea Ananda, .S.Pd</t>
  </si>
  <si>
    <t>https://drive.google.com/drive/folders/14FG_yPqAGC6X1onGD48pZn4hF_PPEfMz?usp=sharing</t>
  </si>
  <si>
    <t>sigitsaja41@gmail.com</t>
  </si>
  <si>
    <t>Sigit Perdana</t>
  </si>
  <si>
    <t>tasyadda@gmail.com</t>
  </si>
  <si>
    <t>Nur Asyadda Tatsbita, S.Pd</t>
  </si>
  <si>
    <t>nadiahayu3737@gmail.com</t>
  </si>
  <si>
    <t>Nadiah Ayu Indrayati S.E</t>
  </si>
  <si>
    <t>https://drive.google.com/drive/folders/1L5fpaS1ICiKr9JtvjgoxgIawdl_9z-EH?usp=sharing</t>
  </si>
  <si>
    <t>istifaiyavelayali@gmail.com</t>
  </si>
  <si>
    <t>ISTIFAIYA VELAYALI, S.Pd</t>
  </si>
  <si>
    <t>salmanabilabyi04@gmail.com</t>
  </si>
  <si>
    <t>Salma Nabila, S.Pd</t>
  </si>
  <si>
    <t>thedatyas678@gmail.com</t>
  </si>
  <si>
    <t>THEDA TYAS AMELINDA, S.Pd</t>
  </si>
  <si>
    <t>089529796795</t>
  </si>
  <si>
    <t>risdamursyida672@gmail.com</t>
  </si>
  <si>
    <t>Risda Mursyida, S.Ag, S.Hum, M.Ag</t>
  </si>
  <si>
    <t>nsrn.rnt@gmail.com</t>
  </si>
  <si>
    <t>Nisrina Arianti, S.A.P</t>
  </si>
  <si>
    <t>dianafebriyanti575@gmail.com</t>
  </si>
  <si>
    <t>Diana Pebriyanti Rotua Pangurupi S.Pd</t>
  </si>
  <si>
    <t>adityakristianto1@gmail.com</t>
  </si>
  <si>
    <t>Aditya Kristianto, A. Md. M.</t>
  </si>
  <si>
    <t>yofi5238@gmail.com</t>
  </si>
  <si>
    <t>Yofi Indrayana</t>
  </si>
  <si>
    <t>muh. andy afdal., M.Pd., Gr</t>
  </si>
  <si>
    <t>asmisolikhatun@gmail.com</t>
  </si>
  <si>
    <t>ASMI SOLIKHATUN, S.E</t>
  </si>
  <si>
    <t>danirahmat733@gmail.com</t>
  </si>
  <si>
    <t>Tri Rahmat Dani, S.Pd</t>
  </si>
  <si>
    <t>nurlatiffahrukmana@gmail.com</t>
  </si>
  <si>
    <t>Nur Latiffah Rukmana</t>
  </si>
  <si>
    <t xml:space="preserve">Tadris Biologi </t>
  </si>
  <si>
    <t>ayudaarie@gmail.com</t>
  </si>
  <si>
    <t>Ayuda Arie Aprilia, S.Pd.</t>
  </si>
  <si>
    <t>bintizahro15@gmail.com</t>
  </si>
  <si>
    <t>Binti Maimunatu Zahro, S.E.</t>
  </si>
  <si>
    <t>https://drive.google.com/drive/folders/19r7Cl5nUN2M2MKhSE7bGX8tAGaPZ57JC</t>
  </si>
  <si>
    <t>X902308432</t>
  </si>
  <si>
    <t>ayudaarie@student.uns.ac.id</t>
  </si>
  <si>
    <t>ayudaarieaprilia@gmail.com</t>
  </si>
  <si>
    <t>085242615796</t>
  </si>
  <si>
    <t>Kabupaten Buton Tengah - Tenaga pendampingan pembelajaran mata Pelajaran Pendidikan Pancasila</t>
  </si>
  <si>
    <t>3.54</t>
  </si>
  <si>
    <t>https://youtu.be/37xNnZIRYh8?si=ZntzwVImPe4feJBs</t>
  </si>
  <si>
    <t>rizqi.nurfitriani@student.uns.ac.id</t>
  </si>
  <si>
    <t>085702115262</t>
  </si>
  <si>
    <t>Kabupaten Jepara - Tenaga pendampingan pembelajaran mata Pelajaran Bahasa Inggris</t>
  </si>
  <si>
    <t>Dewi Inda Musni, S.Pd., Gr.</t>
  </si>
  <si>
    <t xml:space="preserve">Pendidikan IPA </t>
  </si>
  <si>
    <t>3.99</t>
  </si>
  <si>
    <t>https://drive.google.com/drive/folders/1YLcx8j3x4rEq2EPc1oUEnY0ns2CZx521</t>
  </si>
  <si>
    <t>Kabupaten Pati</t>
  </si>
  <si>
    <t>https://drive.google.com/drive/folders/13-I7mBQQA8ynEqdL74VxwPk3mvJOc4i4</t>
  </si>
  <si>
    <t>082323558624</t>
  </si>
  <si>
    <t>tidak linear</t>
  </si>
  <si>
    <t>Kabupaten Buton Tengah - Tenaga pendampingan pembelajaran mata pelajaran TIK</t>
  </si>
  <si>
    <t>Seno Setiyawan, S.Si, Gr</t>
  </si>
  <si>
    <t>X902308789</t>
  </si>
  <si>
    <t>IPK S1 dibawah 3.25</t>
  </si>
  <si>
    <t>K2318059</t>
  </si>
  <si>
    <t>Talitha Nabilah, S.Pd. Gr.</t>
  </si>
  <si>
    <t>Pendidikan fisika</t>
  </si>
  <si>
    <t xml:space="preserve">UNS </t>
  </si>
  <si>
    <t>https://drive.google.com/file/d/1esCIwzUph4H8JVvdlxBZpkGt2mgfGEOw/view?usp=sharing</t>
  </si>
  <si>
    <t xml:space="preserve"> </t>
  </si>
  <si>
    <t>nilasafitri3@gmail.com</t>
  </si>
  <si>
    <t>082334453085</t>
  </si>
  <si>
    <t>Fajar Ady Widyanto, S.Pd., Gr.</t>
  </si>
  <si>
    <t>Pendidikan Seni Rupa</t>
  </si>
  <si>
    <t>3.10</t>
  </si>
  <si>
    <t>https://drive.google.com/file/d/1cmV4eplHOudpvjZyn_HVJK6lNiw9g58G/view?usp=drivesdk</t>
  </si>
  <si>
    <t>Karanganyar, Jawa Tengah</t>
  </si>
  <si>
    <t>08135761188</t>
  </si>
  <si>
    <t>Umur, IPK, dan tidak linear</t>
  </si>
  <si>
    <t>https://drive.google.com/drive/folders/1adI29tKHJKq3bur8xGZSWfHHrhJWKmVY</t>
  </si>
  <si>
    <t>Muhammad Mukammil, S.Pd., Gr</t>
  </si>
  <si>
    <t>https://drive.google.com/file/d/1Y1HflIYtf8a__N_hRkDkNxk37uHu01vn/view?usp=drive_link</t>
  </si>
  <si>
    <t>082236786534</t>
  </si>
  <si>
    <t>Vira Oktaviana, S.Pd.Gr</t>
  </si>
  <si>
    <t>3.47</t>
  </si>
  <si>
    <t>X902308627</t>
  </si>
  <si>
    <t>https://drive.google.com/file/d/16iPyUf7iTQQhSLQ91kRa-Q5r3R0NU1Zz/view?usp=drive_link</t>
  </si>
  <si>
    <t>K4217052</t>
  </si>
  <si>
    <t>085875666255</t>
  </si>
  <si>
    <t>Pendidikan Bahasa Jawa</t>
  </si>
  <si>
    <t>Cahyo Tomi Prakoso, S.Pd., Gr.</t>
  </si>
  <si>
    <t>Pendidikan Bahasa Inggris</t>
  </si>
  <si>
    <t>3.37</t>
  </si>
  <si>
    <t>3.31</t>
  </si>
  <si>
    <t>https://drive.google.com/file/d/1pC-5PPO96WmgmPD63ulKwXOSpWLxgzJw/view?usp=drivesdk</t>
  </si>
  <si>
    <t>08993882246</t>
  </si>
  <si>
    <t>firdaauliashalihah@gmail.com</t>
  </si>
  <si>
    <t>Universitas Jember</t>
  </si>
  <si>
    <t>Kabupaten Bondowoso, Jawa Timur</t>
  </si>
  <si>
    <t>https://drive.google.com/drive/folders/1tEAq9LnaQpzTD0-eTxuLY8gkiO9MuXKQ?usp=sharing</t>
  </si>
  <si>
    <t>Alumni S1 FKIP UNS yang telah lulus PPG Calon Guru/Prajabatan bukan di FKIP UNS</t>
  </si>
  <si>
    <t>nur116775@gmail.com</t>
  </si>
  <si>
    <t>Universitas Islam Negeri Salatiga</t>
  </si>
  <si>
    <t>Kota Salatiga, Jawa Tengah</t>
  </si>
  <si>
    <t>https://drive.google.com/drive/folders/1k_AcGyq3Q6qsc9WEwa0jYfv1W0X4zc2g?usp=sharing</t>
  </si>
  <si>
    <t>imamsetiawan101010@gmail.com</t>
  </si>
  <si>
    <t>UMS</t>
  </si>
  <si>
    <t xml:space="preserve">Boyolali, Jawa Tengah </t>
  </si>
  <si>
    <t>https://drive.google.com/drive/folders/1gZ-dtO59v_zpZMFk_rlSncfOBy3CNMlI</t>
  </si>
  <si>
    <t>X902308431</t>
  </si>
  <si>
    <t>A420170009</t>
  </si>
  <si>
    <t>mustofanuril71@gmail.com</t>
  </si>
  <si>
    <t>https://drive.google.com/drive/folders/1bnp3dRme-Dr3vc9InIaUR0cB0yXpXWIB?usp=sharing</t>
  </si>
  <si>
    <t>X942408355</t>
  </si>
  <si>
    <t>allikafh12@gmail.com</t>
  </si>
  <si>
    <t>STKIP NU INDRAMAYU</t>
  </si>
  <si>
    <t>Jepara, Jawa Tengah</t>
  </si>
  <si>
    <t>https://drive.google.com/drive/folders/1udkPKpK1nytH6b-EDpdcT6Od2JddCBv0?usp=drive_link</t>
  </si>
  <si>
    <t>X9023083406</t>
  </si>
  <si>
    <t>Tenaga pendampingan pembelajaran mata Pelajaran Pendidikan Agama Islam</t>
  </si>
  <si>
    <t>Putri dinda meura intan</t>
  </si>
  <si>
    <t>Manajemen pendidikan islam</t>
  </si>
  <si>
    <t>https://drive.google.com/file/d/1LqTRWW3H2LxmnAH_IaS6gp1Fb_Cf23vf/view?usp=drivesdk</t>
  </si>
  <si>
    <t>mroyyan2001@gmail.com</t>
  </si>
  <si>
    <t>COUNTA of Nama Lengkap (disertai gelar)</t>
  </si>
  <si>
    <t>081346229762</t>
  </si>
  <si>
    <t>Tenaga pendampingan pembelajaran mata Pelajaran Pendidikan Agama Katolik</t>
  </si>
  <si>
    <t>Universitas Ivet Semarang</t>
  </si>
  <si>
    <t>Tenaga pendampingan pembelajaran mata Pelajaran Pendidikan Agama Kristen</t>
  </si>
  <si>
    <t>Monica Synthia Oktaviani,S.Pd</t>
  </si>
  <si>
    <t>S-1 PGSD</t>
  </si>
  <si>
    <t>3.68</t>
  </si>
  <si>
    <t>https://youtu.be/O5RQVJUPqL4?feature=shared</t>
  </si>
  <si>
    <t>081252164744</t>
  </si>
  <si>
    <t>Nurul Khairunnisa, S.Pd.</t>
  </si>
  <si>
    <t>https://drive.google.com/drive/folders/106d7lnYeq5BLtiUnJLXPSLeoEJCTNUMm</t>
  </si>
  <si>
    <t xml:space="preserve">Pendidikan bahasa Inggris </t>
  </si>
  <si>
    <t>https://drive.google.com/file/d/1W9Fy8z1hWSMDv7tcpLGtmPPvb85l4l67/view?usp=drivesdk</t>
  </si>
  <si>
    <t>085154982120</t>
  </si>
  <si>
    <t>Riska Aprilia</t>
  </si>
  <si>
    <t xml:space="preserve">Pendidikan teknologi informasi </t>
  </si>
  <si>
    <t>https://drive.google.com/file/d/1-SETGpp9B0XD1g83-CBJArNMGexKzuCJ/view?usp=drivesdk</t>
  </si>
  <si>
    <t>X942408324</t>
  </si>
  <si>
    <t>085928110009</t>
  </si>
  <si>
    <t xml:space="preserve">ENDAH EKA HANDAYANI, S.S., Gr. </t>
  </si>
  <si>
    <t>https://drive.google.com/file/d/1g0DJjf0-Ir1o_hN675z6JetJWDctZMtK/view?usp=drive_link</t>
  </si>
  <si>
    <t>rosliana.1113@guru.smp.belajar.id</t>
  </si>
  <si>
    <t>082314829012</t>
  </si>
  <si>
    <t>Nurul Fatha, S.S.</t>
  </si>
  <si>
    <t>Sastra Inggris</t>
  </si>
  <si>
    <t>https://drive.google.com/file/d/1oidTQvbYYr9E_r5QpJQ4_ChE2QZYGqwu/view?usp=drivesdk</t>
  </si>
  <si>
    <t>Universitas Islam Negeri Alauddin Makassar</t>
  </si>
  <si>
    <t>085954307048</t>
  </si>
  <si>
    <t>A3S224280</t>
  </si>
  <si>
    <t>susiir1009@gmail.com</t>
  </si>
  <si>
    <t>Institut Agama Islam Negeri (IAIN) Kendari</t>
  </si>
  <si>
    <t>Konawe Utara, Sulawesi Tenggara</t>
  </si>
  <si>
    <t>A3S224286</t>
  </si>
  <si>
    <t>sartikasarti161@gmail.com</t>
  </si>
  <si>
    <t xml:space="preserve">Kabupaten Muna, Sulawesi Tenggara </t>
  </si>
  <si>
    <t>A3S223076</t>
  </si>
  <si>
    <t>fitawardani1301@gmail.com</t>
  </si>
  <si>
    <t>Kabupaten Muna, Sulawesi Tenggara</t>
  </si>
  <si>
    <t>A3S223069</t>
  </si>
  <si>
    <t>ppg.adityahasan00828@program.belajar.id</t>
  </si>
  <si>
    <t>Universitas Slamet Riyadi Surakarta</t>
  </si>
  <si>
    <t>Surakarta, Jawa Tengah</t>
  </si>
  <si>
    <t>https://drive.google.com/drive/folders/1KQEjYEuRliiWwNZ-UeRxx7vH3kFna984?usp=drive_link</t>
  </si>
  <si>
    <t>X9023083372</t>
  </si>
  <si>
    <t>Universitas Sebelas Maret Surakarta (UNS)</t>
  </si>
  <si>
    <t>Keputusan</t>
  </si>
  <si>
    <t>tiwikhapsari55@gmail.com</t>
  </si>
  <si>
    <t>Pembagian Tugas</t>
  </si>
  <si>
    <t>Kabupaten Buton Tengah - Tenaga pendampingan pembelajaran mata Pelajaran Bahasa Inggris</t>
  </si>
  <si>
    <t>https://drive.google.com/drive/folders/1Eg6r0rlH0F6MAdubmYPJPFh87S0nvJrm</t>
  </si>
  <si>
    <t>Arip</t>
  </si>
  <si>
    <t>K7616051</t>
  </si>
  <si>
    <t>X9022084096</t>
  </si>
  <si>
    <t>peserta.06995@ppg.belajar.id</t>
  </si>
  <si>
    <t>Ekonomi Islam</t>
  </si>
  <si>
    <t>Lainnya</t>
  </si>
  <si>
    <t>https://drive.google.com/file/d/1Wm6uIxCaBKd1xLMMABx5TWhmf1ceuDef/view?usp=drive_link</t>
  </si>
  <si>
    <t>Universitas Teknologi Yogyakarta</t>
  </si>
  <si>
    <t>Lampung selatan, Lampung</t>
  </si>
  <si>
    <t>https://drive.google.com/file/d/1W12YEq3GjE_L-y-bTkeot7UzdvOLJSjt/view?usp=sharing</t>
  </si>
  <si>
    <t>X942408276</t>
  </si>
  <si>
    <t xml:space="preserve">Pendidikan Sosiologi </t>
  </si>
  <si>
    <t>https://drive.google.com/file/d/1-TaIQ-qTH3qR6Y29OSSEaY-clgJR9eLz/view?usp=drivesdk</t>
  </si>
  <si>
    <t>AKUNTANSI PERPAJAKAN</t>
  </si>
  <si>
    <t>chabibahnur7@gmail.com</t>
  </si>
  <si>
    <t>https://drive.google.com/file/d/1n2WAyt9F20OXDGt_kHtZrYIWrFHd46Gv/view?usp=drive_link</t>
  </si>
  <si>
    <t>PPG Prajabatan Gelombang 1 Tahun 2022</t>
  </si>
  <si>
    <t>Umur lebih dari 32 Tahun dan IPK dibawah</t>
  </si>
  <si>
    <t>Purworejo, Jawa Tengah</t>
  </si>
  <si>
    <t>https://drive.google.com/file/d/1umtXJUYRtnAmBG3GAHtW9vh-Klt3ydSg/view?usp=drivesdk</t>
  </si>
  <si>
    <t>https://drive.google.com/drive/folders/18oRqAvm67ggqMfNCM47RhToEBBLw5A_4?usp=sharing</t>
  </si>
  <si>
    <t>S-1 Pendidikan Ekonomi</t>
  </si>
  <si>
    <t>https://drive.google.com/file/d/1cIgg449V7hr7PwJdcH9hBPLNw7NVBI61/view?usp=drivesdk</t>
  </si>
  <si>
    <t>X9022082584</t>
  </si>
  <si>
    <t xml:space="preserve">Manajemen </t>
  </si>
  <si>
    <t>https://drive.google.com/file/d/1GQENiDMv0dD3I-c0kM8Drtvu50DBv0Vv/view?usp=sharing</t>
  </si>
  <si>
    <t>ppg.sucityas99428@program.belajar.id</t>
  </si>
  <si>
    <t>EKONOMI</t>
  </si>
  <si>
    <t>https://drive.google.com/file/d/1-73woSPD2luYwLob-jUd24ImGpWn3Os5/view?usp=drive_link</t>
  </si>
  <si>
    <t>Kecamatan Susukan, Kabupaten Semarang, Jawa Tengah</t>
  </si>
  <si>
    <t>https://drive.google.com/drive/folders/1zgl0YiZyomWwF6BEe19h0ZLsRC-Uf7It</t>
  </si>
  <si>
    <t>https://drive.google.com/drive/folders/10h0bICv1sbwM8H39qnDBJjpkWu_Bj5lc?usp=share_link</t>
  </si>
  <si>
    <t>X9023083785</t>
  </si>
  <si>
    <t>Umur lebih dari 32 Tahun</t>
  </si>
  <si>
    <t>https://drive.google.com/drive/folders/11AM3M-pMv6xsy4fEdku3wpgYdWZ-b-S9</t>
  </si>
  <si>
    <t>senosetiyawan23@gmail.com</t>
  </si>
  <si>
    <t>Serdik PGSD</t>
  </si>
  <si>
    <t>S1 Tadris IPS</t>
  </si>
  <si>
    <t>https://drive.google.com/file/d/18IhcwPWDtcUg9_pBLGWNVBKS261-qceu/view?usp=drivesdk</t>
  </si>
  <si>
    <t>tidak linear ke IPS</t>
  </si>
  <si>
    <t>Agribisnis</t>
  </si>
  <si>
    <t>https://drive.google.com/file/d/1RQT-PNJMzKqPTQ6YxYdTfSZAVuSsTTcE/view</t>
  </si>
  <si>
    <t>X9023083767</t>
  </si>
  <si>
    <t>M0113045</t>
  </si>
  <si>
    <t>Pendidikan IPS</t>
  </si>
  <si>
    <t>3.76</t>
  </si>
  <si>
    <t>https://drive.google.com/file/d/19VB4oC8gH9T2JoGpnp6RBho_vfo-ZthB/view?usp=sharing</t>
  </si>
  <si>
    <t>IPK dibawah 3.25</t>
  </si>
  <si>
    <t xml:space="preserve">Pg-paud </t>
  </si>
  <si>
    <t>Pendidikan Guru PAUD (PG-PAUD)</t>
  </si>
  <si>
    <t>https://drive.google.com/drive/folders/1MSCACZOM7BzVsQwuJ0JlJxgh0BU8L-UG</t>
  </si>
  <si>
    <t>yonekaoca16@gmail.com</t>
  </si>
  <si>
    <t>S1 Pendidikan Fisika</t>
  </si>
  <si>
    <t>https://drive.google.com/file/d/1-4bh_3Gsx8QMHDML1RTcjQU860Yb8vUF/view?usp=drivesdk</t>
  </si>
  <si>
    <t>PENDIDIKAN MATEMATIKA</t>
  </si>
  <si>
    <t>https://drive.google.com/file/d/1ar4kGy1qfg_uktfh803TTJLH1ex1jIjx/view?usp=sharing</t>
  </si>
  <si>
    <t>https://drive.google.com/file/d/1wDAZ_wDIjpdbkq8h7kXvWAEEOa7ESmDe/view?usp=drivesdk</t>
  </si>
  <si>
    <t>https://drive.google.com/file/d/1sTg0GXfA0ou2D4E9TCTn9o4nXdvK1QW9/view?usp=sharing</t>
  </si>
  <si>
    <t>X942402465</t>
  </si>
  <si>
    <t>https://drive.google.com/file/d/1Ufyc9tWS1ANuf-f0gjQrhNhNSwyNN7Ih/view?usp=drivesdk</t>
  </si>
  <si>
    <t>atnidwihasmarayekti@gmail.com</t>
  </si>
  <si>
    <t>Kabupaten Buton Tengah - Tenaga pendampingan pembelajaran mata pelajaran Pendidikan Agama Islam</t>
  </si>
  <si>
    <t>Universitas Islam Indonesia</t>
  </si>
  <si>
    <t>Kabupaten Purworejo, Jawa Tengah</t>
  </si>
  <si>
    <t>Khaafidhatul Kalaamiyah S.Pd. Gr.</t>
  </si>
  <si>
    <t>https://drive.google.com/file/d/15q8UosXFDYh3syfvPaoLfg-s64HJpX-M/view?usp=drivesdk</t>
  </si>
  <si>
    <t>X902308151</t>
  </si>
  <si>
    <t>Maria Putri Ayeng, S.Pd.</t>
  </si>
  <si>
    <t>S1 Program Studi Pendidikan Keagamaan Katolik</t>
  </si>
  <si>
    <t>https://drive.google.com/drive/folders/1PqLz8RYnnSg7ZDxnd7U7A6x_JUgroK7k</t>
  </si>
  <si>
    <t>mochadibirhamali@gmail.com</t>
  </si>
  <si>
    <t>Belum unggah Video Microteaching</t>
  </si>
  <si>
    <t xml:space="preserve">ONGKY ALBERT, S. Fil. </t>
  </si>
  <si>
    <t>2.96</t>
  </si>
  <si>
    <t>Banyudono, Boyolali, Jawa Tengah</t>
  </si>
  <si>
    <t>https://drive.google.com/file/d/172f0M3H2gpFfR__p6zpeCKTzUdDjy8Bp/view?usp=drivesdk</t>
  </si>
  <si>
    <t>https://drive.google.com/drive/folders/14p8zvTWQB0cfS1KGcdo-A9IR61ZpUngs?usp=sharing</t>
  </si>
  <si>
    <t>https://drive.google.com/file/d/1-Po-XTK9UlujepB_GgEvK8kp6CHoC-3E/view?usp=drivesdk</t>
  </si>
  <si>
    <t>Kabupaten Buton Tengah - Tenaga pendampingan pembelajaran mata Pelajaran Seni, Budaya, dan Prakarya</t>
  </si>
  <si>
    <t>Muhammad Ghozali, S.Pd., Gr.</t>
  </si>
  <si>
    <t>candraadi2410@gmail.com</t>
  </si>
  <si>
    <t>Pendidikan Seni Drama, Tari, dan Musik Konsentrasi Pendidikan Seni Musik</t>
  </si>
  <si>
    <t xml:space="preserve">https://drive.google.com/file/d/1-hu-TQKdbX2yJqHvYDuEs4clAxm-Zpym/view?usp=drivesdk </t>
  </si>
  <si>
    <t>Universitas Dinamika Bangsa</t>
  </si>
  <si>
    <t>Kabupaten Musi Banyuasin, Sumatera Selatan</t>
  </si>
  <si>
    <t>X942408116</t>
  </si>
  <si>
    <t>x942408116</t>
  </si>
  <si>
    <t>peserta.00416@ppg.belajar.id</t>
  </si>
  <si>
    <t>Belum diumumkan</t>
  </si>
  <si>
    <t>Universitas Sembilanbelas November Kolaka</t>
  </si>
  <si>
    <t>Kec. Mawasangka Tengah, Kabupaten Buton Tengah, Prov. Sulawesi Tenggara.</t>
  </si>
  <si>
    <t>https://drive.google.com/file/d/1Oge2a8bGcTr_G7WIckjygM9_RiWe7iGW/view?usp=drive_link</t>
  </si>
  <si>
    <t>Link video utuh: https://drive.google.com/file/d/1hJZR1L1EfV2_QwLe63GQkuq7F1y_SEjQ/view?usp=drivesdk Link Video potong: https://drive.google.com/file/d/1pC-5PPO96WmgmPD63ulKwXOSpWLxgzJw/view?usp=drivesdk</t>
  </si>
  <si>
    <t>A3S224207</t>
  </si>
  <si>
    <t>Video Micro tidak bisa dibuka</t>
  </si>
  <si>
    <t>triantini98@gmail.com</t>
  </si>
  <si>
    <t>Kebumen, Jawa Tengah</t>
  </si>
  <si>
    <t>https://drive.google.com/file/d/10j2MkzdpbRaZnGiceEXvNFNioXggv2oa/view?usp=drivesdk</t>
  </si>
  <si>
    <t>Pendidikan Agama Islam</t>
  </si>
  <si>
    <t>Agama Islam</t>
  </si>
  <si>
    <t>https://drive.google.com/file/d/1CFs00UBUQCekRLavWxUV47wLbsqjWAt5/view?usp=sharing</t>
  </si>
  <si>
    <t>X9022082724</t>
  </si>
  <si>
    <t xml:space="preserve">https://drive.google.com/file/d/1Z0OtvaaPj_hoVvHlUmcOKq1RJZ8us2f0/view?usp=sharing </t>
  </si>
  <si>
    <t>peserta.08733@ppg.belajar.id</t>
  </si>
  <si>
    <t>reskynurfatimah45@gmail.com</t>
  </si>
  <si>
    <t>Institut Agama Islam Negeri Kendari</t>
  </si>
  <si>
    <t xml:space="preserve">S1 Pendidikan Bahasa Inggris </t>
  </si>
  <si>
    <t>3.52</t>
  </si>
  <si>
    <t>https://youtu.be/oP0RAgZwB20?si=hO9OzKPNJI9RBPI1</t>
  </si>
  <si>
    <t>https://drive.google.com/drive/folders/13EBQ6zkg47_cYMeEfaosw1H8pEf7UVeF?usp=sharing</t>
  </si>
  <si>
    <t>A3S224276</t>
  </si>
  <si>
    <t xml:space="preserve">Pendidikan Agama Islam </t>
  </si>
  <si>
    <t>https://drive.google.com/file/d/1xOPDBiutDsUcljQkrhY4_4Ho6vGNem5I/view?usp=drivesdk</t>
  </si>
  <si>
    <t>nurulkhoiriyah441@gmail.com</t>
  </si>
  <si>
    <t>S1 - Ilmu Hadis</t>
  </si>
  <si>
    <t>https://drive.google.com/file/d/1iSiR6l-NAhQDC8BDga9qElowr2pmcdmq/view?usp=drivesdk</t>
  </si>
  <si>
    <t>Kota Rembang, Jawa Tengah</t>
  </si>
  <si>
    <t>S1- Pendidikan Ekonomi</t>
  </si>
  <si>
    <t>https://drive.google.com/file/d/1ety0eqKXa3XiT4hbU_OfMRCPP9DjozpX/view?usp=sharing</t>
  </si>
  <si>
    <t>https://drive.google.com/drive/folders/1wEPRgq-LJktmgSReVBVb_4qjO7jjp2A7?usp=sharing</t>
  </si>
  <si>
    <t>https://drive.google.com/file/d/1MCBD--uL26st95zUhkgQjZsGVv2OFcCm/view?usp=drivesdk</t>
  </si>
  <si>
    <t>X942408360</t>
  </si>
  <si>
    <t>A710190095</t>
  </si>
  <si>
    <t>Akbar</t>
  </si>
  <si>
    <t>Pendidikan Teknik Informatika</t>
  </si>
  <si>
    <t>Universitas Negeri Sebelas Maret</t>
  </si>
  <si>
    <t>https://drive.google.com/file/d/1Csp-KkryWS8OW0y5WtdeB1RAF5D19SxY/view?usp=sharing</t>
  </si>
  <si>
    <t>Tadris Kimia</t>
  </si>
  <si>
    <t>aliefmufirsa@gmail.com</t>
  </si>
  <si>
    <t>https://drive.google.com/file/d/1inWgsc02ZaqNB70EC2EVK0FdqyB57gDq/view?usp=drivesdk</t>
  </si>
  <si>
    <t>Universitas Terbuka</t>
  </si>
  <si>
    <t>3.20</t>
  </si>
  <si>
    <t>https://youtu.be/p6vnqpID7e8?feature=shared</t>
  </si>
  <si>
    <t>kota bangko kabupaten merangin provinsi jambi</t>
  </si>
  <si>
    <t>https://drive.google.com/file/d/1frp5f7viKQmAZ4FGqYLgdVweGBRuM-xe/view?usp=drivesdk</t>
  </si>
  <si>
    <t>https://www.youtube.com/watch?v=Y7RSD79zK0M</t>
  </si>
  <si>
    <t>IPS ?</t>
  </si>
  <si>
    <t>ternyata gak linear</t>
  </si>
  <si>
    <t>PENDIDIKAN BAHASA ARAB</t>
  </si>
  <si>
    <t>X9023083402</t>
  </si>
  <si>
    <t>https://drive.google.com/file/d/1FO1apaLrvm6OonO-6m8-hbivpRlxH__O/view?usp=sharing</t>
  </si>
  <si>
    <t>Video Ukin</t>
  </si>
  <si>
    <t>https://drive.google.com/file/d/1kebzPEnjn8cLYmp2y7HRyvi4KUEM7GYg/view?usp=sharing</t>
  </si>
  <si>
    <t>sholawatmania61@gmail.com</t>
  </si>
  <si>
    <t>Double</t>
  </si>
  <si>
    <t xml:space="preserve">Universitas tunas pembangunan Surakarta </t>
  </si>
  <si>
    <t xml:space="preserve">S2 Pendidikan Agama Islam </t>
  </si>
  <si>
    <t>Kab.grobogan</t>
  </si>
  <si>
    <t>3.19</t>
  </si>
  <si>
    <t xml:space="preserve">Pengembangan pelajaran kurikulum merdeka berbasis deep learning </t>
  </si>
  <si>
    <t>https://drive.google.com/file/d/1mMPCCJucrwhVb1pZFfaBG31bjo_eTeLu/view?usp=drivesdk</t>
  </si>
  <si>
    <t>X942408503</t>
  </si>
  <si>
    <t>D0214289</t>
  </si>
  <si>
    <t>Sarjana Pendidikan Agama Islam</t>
  </si>
  <si>
    <t xml:space="preserve">Pendidikan  kepelatihan olahraga </t>
  </si>
  <si>
    <t>https://drive.google.com/drive/folders/1q5MXF6g_jehPTrF_zsdYxpbD_t6As1he?usp=sharing</t>
  </si>
  <si>
    <t xml:space="preserve">Universitas sebelas Maret Surakarta </t>
  </si>
  <si>
    <t>ambil dari video lain</t>
  </si>
  <si>
    <t>abianaelfarabi@student.uns.ac.id</t>
  </si>
  <si>
    <t>https://drive.google.com/file/d/1yLn3_MYhL5-OebQhFTTWudj9syRpa_F4/view?usp=drivesdk</t>
  </si>
  <si>
    <t>Universitas Negeri Malang</t>
  </si>
  <si>
    <t>PENDIDIKAN AGAMA ISLAM</t>
  </si>
  <si>
    <t>3.23</t>
  </si>
  <si>
    <t>https://youtu.be/s8eTiNsgjME?si=Q4fka42_T56GGDeF</t>
  </si>
  <si>
    <t>Kab. Ngawi, Jawa Timur</t>
  </si>
  <si>
    <t>https://drive.google.com/drive/folders/1ccEHDmuRI-CaQCVHWlmbkSJaZSQVRxo1?usp=sharing</t>
  </si>
  <si>
    <t>3.04</t>
  </si>
  <si>
    <t>https://drive.google.com/drive/folders/13TzkmruK-0Q2-WN0ppe31VLzRKgKDuYM</t>
  </si>
  <si>
    <t>X9022083742</t>
  </si>
  <si>
    <t>https://drive.google.com/file/d/1-E6elHxJDXxCqW0udD7ymA9ux653j06c/view?usp=drivesdk</t>
  </si>
  <si>
    <t>mudawamatul_khasanah@student.uns.ac.id</t>
  </si>
  <si>
    <t>video Ukin</t>
  </si>
  <si>
    <t>TADRIS FISIKA</t>
  </si>
  <si>
    <t>https://youtu.be/f2RscZki_bA?si=RiXSuUHxcZqgXa9p</t>
  </si>
  <si>
    <t xml:space="preserve">Kabupaten Magelang </t>
  </si>
  <si>
    <t>K6414038</t>
  </si>
  <si>
    <t xml:space="preserve">PPKn </t>
  </si>
  <si>
    <t xml:space="preserve">Universitas Muhammadiyah Surakarta </t>
  </si>
  <si>
    <t>A922240049</t>
  </si>
  <si>
    <t xml:space="preserve">Pendidikan Geografi </t>
  </si>
  <si>
    <t>https://drive.google.com/file/d/1K86AVWNyVATp4KXXM8v8zL54rKLVnO3R/view?usp=sharing</t>
  </si>
  <si>
    <t>sriwulandari20010328@gmail.com</t>
  </si>
  <si>
    <t xml:space="preserve">Universitas Islam Negeri Sunan Ampel Surabaya </t>
  </si>
  <si>
    <t xml:space="preserve">Kediri, Jawa Timur </t>
  </si>
  <si>
    <t>S1 Pendidikan Kimia</t>
  </si>
  <si>
    <t>https://drive.google.com/drive/folders/1ivwzR2JDK4q_x0tqQolTURpCN7w-aTLV?usp=sharing</t>
  </si>
  <si>
    <t>X942408442</t>
  </si>
  <si>
    <t>Sarjana Teknik Mesin</t>
  </si>
  <si>
    <t>2.84</t>
  </si>
  <si>
    <t>devyrizki64@gmail.com</t>
  </si>
  <si>
    <t>https://drive.google.com/drive/my-drive?hl=ID</t>
  </si>
  <si>
    <t>Usia lebih dari 32 Tahun</t>
  </si>
  <si>
    <t>Universitas Islam Negeri Walisongo</t>
  </si>
  <si>
    <t>Ya</t>
  </si>
  <si>
    <t>https://drive.google.com/drive/folders/1tqTpPQoGWEtiCT-mKwOtGeLfdy_v-npn?usp=sharing</t>
  </si>
  <si>
    <t>https://drive.google.com/drive/folders/18xJQ-3eECT_D55nBI5qwt1501GH2FG3T</t>
  </si>
  <si>
    <t>Tidak linear</t>
  </si>
  <si>
    <t xml:space="preserve">tidak ada video </t>
  </si>
  <si>
    <t>X902308232</t>
  </si>
  <si>
    <t>https://drive.google.com/file/d/19VmPXQZthQlw0DZ-snxETmPub7V5d3RE/view?usp=sharing</t>
  </si>
  <si>
    <t>utaranugraha@gmail.com</t>
  </si>
  <si>
    <t>Universitas Muhammadiyah Metro</t>
  </si>
  <si>
    <t>https://drive.google.com/file/d/1BBFQYrvyABa77U-eHoNHLElDztglLySm/view?usp=sharing</t>
  </si>
  <si>
    <t>Lampung Timur, Lampung</t>
  </si>
  <si>
    <t>https://drive.google.com/file/d/1fvxuC08fBawppDkd6tqKsyylKScIuoU7/view?usp=drivesdk</t>
  </si>
  <si>
    <t>Tidak ada Video, IPK dibawah 3</t>
  </si>
  <si>
    <t>3.51</t>
  </si>
  <si>
    <t>X942408473</t>
  </si>
  <si>
    <t>https://drive.google.com/file/d/1r9JITidVHNof3WzYhgjA9Q3Vf5GMZNES/view?usp=sharing</t>
  </si>
  <si>
    <t>sisnamarv@gmail.com</t>
  </si>
  <si>
    <t>https://drive.google.com/file/d/1h63cWRCshoOEWZoma2HqgpkbKwWhXdk_/view?usp=sharing</t>
  </si>
  <si>
    <t>https://drive.google.com/drive/folders/16GwGT8p7LK41HG2eey6WNFgDG4WrNk9m?usp=sharing</t>
  </si>
  <si>
    <t>S-1 Pendidikan Kimia</t>
  </si>
  <si>
    <t>https://drive.google.com/file/d/17NLrI4FRBXVVXFTkiFWHEn8bkZGr1-yx/view?usp=drivesdk</t>
  </si>
  <si>
    <t>X942408433</t>
  </si>
  <si>
    <t>aderahmadhardani@gmail.com</t>
  </si>
  <si>
    <t>Tadris IPA</t>
  </si>
  <si>
    <t>https://drive.google.com/file/d/1AfQy3sXG0vwWQZi-bW91KmA1x5v2byR0/view?usp=drivesdk</t>
  </si>
  <si>
    <t xml:space="preserve">Universitas Sriwijaya </t>
  </si>
  <si>
    <t xml:space="preserve">Kab Sragen, Jawa Tengah </t>
  </si>
  <si>
    <t>umur sudah 37</t>
  </si>
  <si>
    <t xml:space="preserve">https://drive.google.com/file/d/1mZaiMfFkLgfg4XOc-kQwjCkdCNMpvDMs/view?usp=drivesdk </t>
  </si>
  <si>
    <t xml:space="preserve">S1- Pendidikan Fisika </t>
  </si>
  <si>
    <t>https://drive.google.com/file/d/1K14cG90SuffnJXjKhSAEWNFBzQd_EaEV/view?usp=drive_link</t>
  </si>
  <si>
    <t>X942408006</t>
  </si>
  <si>
    <t>06061181520096</t>
  </si>
  <si>
    <t>Pendidikan Jasmani dan Kesehatan</t>
  </si>
  <si>
    <t>video ukin</t>
  </si>
  <si>
    <t>https://youtu.be/YU--_bdMJB8?si=2NrVWMbImfOQM6Fu</t>
  </si>
  <si>
    <t>alinajich29@gmail.com</t>
  </si>
  <si>
    <t>Universitas Islam Negeri Sunan Ampel Surabaya</t>
  </si>
  <si>
    <t>Umur 34</t>
  </si>
  <si>
    <t>https://drive.google.com/file/d/1jfu9QLcFkUIRToh11Ezjc2rHHgjxXIzl/view?usp=drivesdk</t>
  </si>
  <si>
    <t>Sidoarjo</t>
  </si>
  <si>
    <t>https://drive.google.com/drive/folders/1oEwTcAljZevTWrYYCIZ2Ve4RKXCETdJg?usp=sharing</t>
  </si>
  <si>
    <t>pendidikan biologi</t>
  </si>
  <si>
    <t>https://drive.google.com/drive/folders/1h5D1OR-dlUErQydDQd5Q2HbzWDvq1noG?usp=drive_link</t>
  </si>
  <si>
    <t>https://youtu.be/E2hjZFZTX5U</t>
  </si>
  <si>
    <t>rudyazizseptyawan@gmail.com</t>
  </si>
  <si>
    <t>https://drive.google.com/file/d/1Fk2iDKXorKUI_KKNxIOx6us3Z02nTHO1/view?usp=drivesdk</t>
  </si>
  <si>
    <t>Kota Semarang, Jawa Tengah</t>
  </si>
  <si>
    <t>https://drive.google.com/drive/folders/1HhzMRvnjbxoaiiZE49d6huoyL_PJs3RL?usp=sharing</t>
  </si>
  <si>
    <t>S-1 Biologi</t>
  </si>
  <si>
    <t>https://drive.google.com/drive/u/1/folders/12y91230r5HxHxaki4ppVhWjU1psogudU</t>
  </si>
  <si>
    <t>https://youtu.be/yymDyHaEmW0?si=jEo8ZHrAz__mlaUj</t>
  </si>
  <si>
    <t>rakakumara@gmail.com</t>
  </si>
  <si>
    <t>https://drive.google.com/drive/folders/1gvYo2u1WJg-VnSw1byRSjpOT3TklJbdK?usp=sharing</t>
  </si>
  <si>
    <t>UNIVERSITAS JEMBER</t>
  </si>
  <si>
    <t>PENDIDIKAN GURU MI</t>
  </si>
  <si>
    <t>https://drive.google.com/file/d/1TaOLElal1yMWcoRJCkSbcKTQjb-0XBpq/view?usp=drivesdk</t>
  </si>
  <si>
    <t>berhasil membangun edutech calonguru.id platform belajar &amp; tryout untuk anak-anak freshgraduate S.Pd, serta saya lampirkan cv saya https://drive.google.com/file/d/1paa984DOZkQwQXMQYNSvq6GhRpgpI1fo/view?usp=sharing</t>
  </si>
  <si>
    <t>X942408378</t>
  </si>
  <si>
    <t>https://drive.google.com/file/d/1e3QMm77HgNls5npfBunclbid-2paBVp5/view?usp=sharing</t>
  </si>
  <si>
    <t>Teknologi Hasil Perikanan</t>
  </si>
  <si>
    <t>https://drive.google.com/drive/folders/1jF5iXvAak7HvSCd1b7rBtYYGGnJAKMtV?usp=sharing</t>
  </si>
  <si>
    <t>ppg.fikrikamal01@program.belajar.id</t>
  </si>
  <si>
    <t>UIN Salatiga &amp; Universitas Negeri Semarang</t>
  </si>
  <si>
    <t>S1 PENDIDIKAN AGAMA ISLAM</t>
  </si>
  <si>
    <t>3.39</t>
  </si>
  <si>
    <t>Video Ukin Kosong</t>
  </si>
  <si>
    <t>https://drive.google.com/file/d/1JqeYKkI0snm15XS8a9iG7uO-GmS7ru9g/view?usp=drivesdk</t>
  </si>
  <si>
    <t>https://drive.google.com/drive/folders/1OklC5H6FRFDLospoDAPORQMtrGaZiUSx</t>
  </si>
  <si>
    <t>Dibawah 3.25, tidak ada video</t>
  </si>
  <si>
    <t>https://drive.google.com/file/d/1zUFHU7edYhhn5rtoUV5i6yHLXhfx_YPt/view?usp=drivesdk</t>
  </si>
  <si>
    <t>bektiajiw46@gmail.com</t>
  </si>
  <si>
    <t>https://youtu.be/hacGCThujds?si=TyXtnwvGHmLHWeEi</t>
  </si>
  <si>
    <t>Video micro kosong</t>
  </si>
  <si>
    <t>linear wkwk</t>
  </si>
  <si>
    <t>https://drive.google.com/drive/folders/1HSEr75Zc8RhUxysY7jW4NqvKaxmcwt7C?usp=sharing</t>
  </si>
  <si>
    <t xml:space="preserve">https://drive.google.com/drive/folders/1u4l7ODolDKuTT4UpSd-ix0QVQbpTp03x </t>
  </si>
  <si>
    <t>https://drive.google.com/file/d/1ejoFKKYvBRZady_u6WBtR887yBw_aqnX/view?usp=drivesdk</t>
  </si>
  <si>
    <t>X942408109</t>
  </si>
  <si>
    <t>A810190102</t>
  </si>
  <si>
    <t>Pendidikan Olahraga</t>
  </si>
  <si>
    <t>https://drive.google.com/file/d/1HOO4AhlgFuNZ7xAZC4wNngOPjGlzNUe2/view?usp=sharing</t>
  </si>
  <si>
    <t>fadlilahppg@gmail.com</t>
  </si>
  <si>
    <t xml:space="preserve">Pendidikan Ilmu Pengetahuan Alam </t>
  </si>
  <si>
    <t>https://drive.google.com/drive/folders/1YILji-NEk9EOr82JBqJsQHRVAbvbUghJ</t>
  </si>
  <si>
    <t>Kota Surakarta</t>
  </si>
  <si>
    <t>https://drive.google.com/file/d/17FdJmY2Q_rOwdCw03xhjj_qUQHZs8Ubh/view?usp=drivesdk</t>
  </si>
  <si>
    <t>https://drive.google.com/drive/folders/1zVhPj5QDepY0nUwUvPu9qCFAbXVxhHQ5</t>
  </si>
  <si>
    <t>Pendidikan Ilmu Pengetahuan Alam (IPA)</t>
  </si>
  <si>
    <t>https://drive.google.com/file/d/1BRliNG08XfeSGbcZmOIvGmwpGeM8FGuB/view?usp=drivesdk</t>
  </si>
  <si>
    <t>X902308315</t>
  </si>
  <si>
    <t>S1 di UMS</t>
  </si>
  <si>
    <t>PPG di UNS</t>
  </si>
  <si>
    <t>https://drive.google.com/file/d/1e3MIskV95w9vhLcemJFBqQ339QT6D07m/view?usp=drivesdk</t>
  </si>
  <si>
    <t>S1 Pendidikan IPA</t>
  </si>
  <si>
    <t>https://drive.google.com/file/d/1ZP7zckiKpLuo6ihpZfeBTDIdqQ5XkoCD/view?usp=drive_link</t>
  </si>
  <si>
    <t>wahyu.rvp007@gmail.com</t>
  </si>
  <si>
    <t>Pendidikan Teknik Elektro</t>
  </si>
  <si>
    <t>https://drive.google.com/file/d/1YRPk_1GTpiCqHQHPgNtic-hvtdop6C8g/view?usp=drivesdk</t>
  </si>
  <si>
    <t>Tadris Ilmu Pengetahuan Alam</t>
  </si>
  <si>
    <t>https://drive.google.com/file/d/1pM2_9_ydITQwkfilNCICdwxqTh-anOk_/view?usp=drivesdk</t>
  </si>
  <si>
    <t>Kendari, Sulawesi Tenggara</t>
  </si>
  <si>
    <t>https://drive.google.com/drive/folders/1y1R3g_Ps-NBszB-H-tBdEOwX7mUKl9pJ</t>
  </si>
  <si>
    <t>https://drive.google.com/file/d/18x7LbrNM7kH5UuTFMQO0X7fNmqaZ7MP4/view?usp=drive_link</t>
  </si>
  <si>
    <t>S1 - Pendidikan Biologi</t>
  </si>
  <si>
    <t>https://drive.google.com/drive/folders/12gvXc4u-CJvLa9dRi4J6Dv223OV0Uy_c</t>
  </si>
  <si>
    <t>Pendidikan Guru Sekolah Dasar</t>
  </si>
  <si>
    <t xml:space="preserve">https://drive.google.com/drive/folders/10gdRNvHaesOYapEBw9VjuyApTvEMW3oo </t>
  </si>
  <si>
    <t>S1. Pendidikan Biologi</t>
  </si>
  <si>
    <t>https://drive.google.com/file/d/1egvuICb9Fe5dZ-cPpgczoxhMGrxXWj7x/view?usp=sharing</t>
  </si>
  <si>
    <t>muhidbayyan5@gmail.com</t>
  </si>
  <si>
    <t>D4 - Teknologi Rekayasa Kimia Industri</t>
  </si>
  <si>
    <t>Kimia Analisis</t>
  </si>
  <si>
    <t>https://drive.google.com/file/d/1mqHsEuBiuAkI9IQqrp9iBb4ZzPvSo2Hw/view?usp=drivesdk</t>
  </si>
  <si>
    <t>Demak, Jawa Tengah</t>
  </si>
  <si>
    <t xml:space="preserve">https://drive.google.com/drive/folders/1x4MdjO2kQbaHin0MZOtOv52o2Nc0rj9s </t>
  </si>
  <si>
    <t>poncopras15@gmail.com</t>
  </si>
  <si>
    <t>https://drive.google.com/file/d/1czFk9KIDKjBbNttApLuhEDIHMjlZgs_J/view?usp=drivesdk</t>
  </si>
  <si>
    <t xml:space="preserve">Kabupaten Grobogan, Jawa Tengah </t>
  </si>
  <si>
    <t xml:space="preserve">S1-Pendidikan IPA </t>
  </si>
  <si>
    <t>https://drive.google.com/file/d/1fgjFP7heZob1byrZ08PNTEvBkkmy4XS3/view?usp=drivesdk</t>
  </si>
  <si>
    <t>S-1 Tadris Matematika</t>
  </si>
  <si>
    <t>https://drive.google.com/file/d/16Anw84sKT-kWKagGdVplXbaZzuZUNtCB/view?usp=drivesdk</t>
  </si>
  <si>
    <t>ppg.khoiruddinnugroho92@program.belajar.id</t>
  </si>
  <si>
    <t>3.4</t>
  </si>
  <si>
    <t>https://drive.google.com/file/d/1jg3ondnuMEA_8KcnO4YcAhgyhFZDh5Ht/view?usp=sharing</t>
  </si>
  <si>
    <t>https://drive.google.com/drive/folders/1Xt6h7jx3czj4afAue1YgIAboBHeGM2uR</t>
  </si>
  <si>
    <t>GEOGRAFI</t>
  </si>
  <si>
    <t>https://drive.google.com/file/d/1PsEE8P50ldpBgaiCWhSJgB8M5EUIE9P9/view?usp=sharing</t>
  </si>
  <si>
    <t>S1</t>
  </si>
  <si>
    <t>K1318043</t>
  </si>
  <si>
    <t>https://drive.google.com/file/d/1hzKaO3nYD5NWhwX-5DNSbiKnTHiwK7T3/view?usp=sharing</t>
  </si>
  <si>
    <t>A941230031</t>
  </si>
  <si>
    <t>https://drive.google.com/file/d/1TSMxPbSYCE-wGzRrKrkCo5WhXMY4oK6Y/view?usp=drivesdk</t>
  </si>
  <si>
    <t>adambhrdn24@gmail.com</t>
  </si>
  <si>
    <t>https://drive.google.com/file/d/1yC0TberpZjYSJT8tMqZe7xjRzz9PNz6L/view?usp=sharing</t>
  </si>
  <si>
    <t>KAB. PATI</t>
  </si>
  <si>
    <t>https://drive.google.com/file/d/1MDgO8wyA5Ky-V_4yvxhKBLDemJPoL33Z/view?usp=drivesdk</t>
  </si>
  <si>
    <t>https://drive.google.com/drive/folders/1DYyHuJ2wcuaLyFmqxKbSEYLJbbMqgJUz?usp=sharing</t>
  </si>
  <si>
    <t xml:space="preserve">https://drive.google.com/file/d/10nhWSrB9Ujt_hKAXf4doFhwHicSA0Cgt/view?usp=drivesdk </t>
  </si>
  <si>
    <t>X9022083743</t>
  </si>
  <si>
    <t>S1 - Pendidikan Guru Sekolah Dasar</t>
  </si>
  <si>
    <t>https://www.youtube.com/watch?v=_aocPMqz-bA&amp;t=352s</t>
  </si>
  <si>
    <t>hendraramadhan31121997@gmail.com</t>
  </si>
  <si>
    <t>https://drive.google.com/file/d/15DvaHVYPeSBauHFW_AUm0GxGrFWrx0UA/view?usp=drivesdk</t>
  </si>
  <si>
    <t>https://s.id/berkassertifikatSNThendra</t>
  </si>
  <si>
    <t>X902308400</t>
  </si>
  <si>
    <t>https://drive.google.com/drive/folders/1BbNrhkBUeXGFB07Zu5rb0FC2-93aesfT?usp=sharing</t>
  </si>
  <si>
    <t>wismpm99@gmail.com</t>
  </si>
  <si>
    <t>https://drive.google.com/file/d/1IwfRx5q1pQ71fp6NaZXiPECFmywaw67T/view?usp=drivesdk</t>
  </si>
  <si>
    <t xml:space="preserve">S1 PGSD </t>
  </si>
  <si>
    <t>3.65</t>
  </si>
  <si>
    <t>Kabupaten Blora, Jawa Tengah</t>
  </si>
  <si>
    <t>https://drive.google.com/file/d/14KQVmfuC8MSj2Rmmu4-PodxAX09NV-2t/view?usp=sharing</t>
  </si>
  <si>
    <t>https://drive.google.com/drive/folders/1Xc0MRju7g1H4dMvg8kLe33DxXZIsG0ok</t>
  </si>
  <si>
    <t>https://drive.google.com/file/d/1H1b60SDS_e2nuExReA8tKk_zKU2XFb0P/view?usp=sharing</t>
  </si>
  <si>
    <t>X902308930</t>
  </si>
  <si>
    <t>https://drive.google.com/drive/folders/1PIdrEpmJ5Ts3AH6xgUsmMf4tQamCydq8?usp=sharing</t>
  </si>
  <si>
    <t>bastianwijayanto78@gmail.com</t>
  </si>
  <si>
    <t>https://drive.google.com/file/d/1NLVMd2lRd_IZi1QxIH1kT4Jf11wOMHje/view?usp=drivesdk</t>
  </si>
  <si>
    <t xml:space="preserve">Kabupaten Jepara, Jawa Tengah </t>
  </si>
  <si>
    <t>S-1 Kimia</t>
  </si>
  <si>
    <t>https://drive.google.com/drive/folders/19pK6PbUXZ16YntCxA1TVSeVpSrRQULn9?usp=sharing</t>
  </si>
  <si>
    <t>https://drive.google.com/file/d/1zjqleX_QHQweZRqUCYtwKhGBDTpjIHzs/view?usp=drivesdk</t>
  </si>
  <si>
    <t>Kabupeten Jepara - Tenaga pendampingan pembelajaran mata pelajaran Pendidikan Agama Kristen</t>
  </si>
  <si>
    <t>diyanaratnasari190102@gmail.com</t>
  </si>
  <si>
    <t>universitas Riau</t>
  </si>
  <si>
    <t>https://drive.google.com/drive/folders/18vwhzoAAIqFRo5rULGhDu-kLtx3XV-QY</t>
  </si>
  <si>
    <t>x942408143</t>
  </si>
  <si>
    <t>pendidikan jasmani keshatan dan rekreasi</t>
  </si>
  <si>
    <t>X942408143</t>
  </si>
  <si>
    <t>INSTITUT AGAMA ISLAM NEGERI TULUNGAGUNG</t>
  </si>
  <si>
    <t>KABUPATEN KEDIRI, JAWA TIMUR</t>
  </si>
  <si>
    <t>marsyandaalfina@gmail.com</t>
  </si>
  <si>
    <t>Universitas Negeri Surabaya</t>
  </si>
  <si>
    <t>Kabupaten Kediri</t>
  </si>
  <si>
    <t>https://drive.google.com/file/d/1mWsPvV-wLUvQFuPoZ0oy-IU7zRHdrqM2/view?usp=drivesdk</t>
  </si>
  <si>
    <t>silmikrn@gmail.com</t>
  </si>
  <si>
    <t>Kabupaten Magelang, Jawa Tengah</t>
  </si>
  <si>
    <t>https://drive.google.com/file/d/1Cp2XvZpha_BsmVKXrwzzbt50zrXWFIgd/view?usp=sharing</t>
  </si>
  <si>
    <t>X9022082692</t>
  </si>
  <si>
    <t>hwinggar@gmail.com</t>
  </si>
  <si>
    <t xml:space="preserve">Universitas Negeri Makassar </t>
  </si>
  <si>
    <t>Kabupaten Buton, Sulawesi Tenggara</t>
  </si>
  <si>
    <t>A3S224355</t>
  </si>
  <si>
    <t>IPK Kurang dari 3.25</t>
  </si>
  <si>
    <t>mukhlisanggraini34@guru.sd.belajar.id</t>
  </si>
  <si>
    <t>201501061583@guruku.id</t>
  </si>
  <si>
    <t>Sukoharjo Jawa Tengah</t>
  </si>
  <si>
    <t>dhiarrafiibintang@gmail.com</t>
  </si>
  <si>
    <t>Kabupaten Sleman, Daerah Istimewa Yogyakarta</t>
  </si>
  <si>
    <t>https://drive.google.com/drive/folders/1ZqAJMDrwcjCIBwezainJPSq-Af5FR8ad?usp=sharing</t>
  </si>
  <si>
    <t>puspaindah164@gmail.com</t>
  </si>
  <si>
    <t>Universitas PGRI Madiun</t>
  </si>
  <si>
    <t>Madiun, Jawa Timur</t>
  </si>
  <si>
    <t>devianti098@gmail.com</t>
  </si>
  <si>
    <t>Desa Labone, Kec. Lasalepa, Kab. Muna, Sulawesi Tenggara</t>
  </si>
  <si>
    <t>Tidak ada</t>
  </si>
  <si>
    <t>A3S224248</t>
  </si>
  <si>
    <t>ennymaharani010601@gmail.com</t>
  </si>
  <si>
    <t>A3S224250</t>
  </si>
  <si>
    <t>shabrina.hanani@gmail.com</t>
  </si>
  <si>
    <t>202100103775@guruku.id</t>
  </si>
  <si>
    <t>Kota Pekalongan, Jawa Tengah</t>
  </si>
  <si>
    <t xml:space="preserve"> https://drive.google.com/drive/folders/1oDDFY2xrlyT8xOLSLtaWcTorLaV2gd-T?usp=sharing</t>
  </si>
  <si>
    <t>alfiatysaid1008@gmail.com</t>
  </si>
  <si>
    <t>AZ 5142766667230473</t>
  </si>
  <si>
    <t>UNIVERSITAS HALU OLEO</t>
  </si>
  <si>
    <t>RAHA, SULAWESI TENGGARA</t>
  </si>
  <si>
    <t>TIDAK ADA</t>
  </si>
  <si>
    <t>AS2521443</t>
  </si>
  <si>
    <t>waodesaputry2404@gmail.com</t>
  </si>
  <si>
    <t>A3S224234</t>
  </si>
  <si>
    <t>fatchurrrahman14@gmail.com</t>
  </si>
  <si>
    <t xml:space="preserve">Kota Baubau </t>
  </si>
  <si>
    <t xml:space="preserve">A3S224325 </t>
  </si>
  <si>
    <t>sarnisiyauta01@gmail.com</t>
  </si>
  <si>
    <t>IAIN AMBON</t>
  </si>
  <si>
    <t>KOTA AMBON</t>
  </si>
  <si>
    <t>https://drive.google.com/drive/folders/1KztHH-x7AAkCa0Y68fAPNtOjI1uXYp8N</t>
  </si>
  <si>
    <t>kimisbat@gmail.com</t>
  </si>
  <si>
    <t>STKIP PGRI Sumenep</t>
  </si>
  <si>
    <t>Kabupaten Sumenep, Jawa Timur</t>
  </si>
  <si>
    <t>https://drive.google.com/drive/folders/1RiA64zDPMGWcUQJbujjzdvuiiFbqOYv-</t>
  </si>
  <si>
    <t>18862011A000969</t>
  </si>
  <si>
    <t>Universitas PGRI Adi Buana Surabaya</t>
  </si>
  <si>
    <t>samshifar9@gmail.com</t>
  </si>
  <si>
    <t xml:space="preserve">Kabupaten Bombana, Sulawesi Tenggara </t>
  </si>
  <si>
    <t>https://drive.google.com/drive/folders/1_Lxo5HWobtllKRhx4DoAPo3psCWgujfd</t>
  </si>
  <si>
    <t>ppg.usmanprabowo00628@program.belajar.id</t>
  </si>
  <si>
    <t>S-1 Universitas Negeri Yogyakarta</t>
  </si>
  <si>
    <t>Kabupaten Wonogiri, Jawa Tengah</t>
  </si>
  <si>
    <t>X9023083808</t>
  </si>
  <si>
    <t>dionikhwan357@gmail.com</t>
  </si>
  <si>
    <t xml:space="preserve">Universitas Halu Oleo </t>
  </si>
  <si>
    <t xml:space="preserve">Buton Tengah, Sulawesi Tenggara </t>
  </si>
  <si>
    <t>A3S223182</t>
  </si>
  <si>
    <t>afdalandhy17@gmail.com</t>
  </si>
  <si>
    <t xml:space="preserve">Institut Agama Islam Negeri Kendari </t>
  </si>
  <si>
    <t>tidak ada</t>
  </si>
  <si>
    <t>nuzuliafitriana9@gmail.com</t>
  </si>
  <si>
    <t>201900549859@guruku.id</t>
  </si>
  <si>
    <t>https://drive.google.com/drive/u/0/folders/1wXlUMPMbMO0PPDAIm87fHTYI2gRiO5u_</t>
  </si>
  <si>
    <t>dewiindam27@gmail.com</t>
  </si>
  <si>
    <t xml:space="preserve">Universitas Tidar </t>
  </si>
  <si>
    <t xml:space="preserve">Kabupaten Blora, Jawa Tengah </t>
  </si>
  <si>
    <t>https://drive.google.com/drive/folders/1Eea9hOlnFGbYLubLsrKFIDH0A0S4mwyr</t>
  </si>
  <si>
    <t>X9022083854</t>
  </si>
  <si>
    <t>omsenodotcom@gmail.com</t>
  </si>
  <si>
    <t>Surakarta</t>
  </si>
  <si>
    <t>talithan3@gmail.com</t>
  </si>
  <si>
    <t>Kabupaten Sidoarjo, Jawa Timur</t>
  </si>
  <si>
    <t>fajaradyw@gmail.com</t>
  </si>
  <si>
    <t>X9023083515</t>
  </si>
  <si>
    <t>K3212026</t>
  </si>
  <si>
    <t>muhammadmukammil2@gmail.com</t>
  </si>
  <si>
    <t>Universitas Muhammadiyah Kendari</t>
  </si>
  <si>
    <t>Kabupaten Bombana, Sulawesi Tenggara</t>
  </si>
  <si>
    <t>https://drive.google.com/drive/folders/1p-kQdNiRgjOIiTD_RhX1uvRJKUvgJ4xc?usp=sharing</t>
  </si>
  <si>
    <t>Universitas Negeri Gorontalo</t>
  </si>
  <si>
    <t>viraoktaviana08@gmail.com</t>
  </si>
  <si>
    <t>Kudus, Jawa Tengah</t>
  </si>
  <si>
    <t>https://drive.google.com/drive/folders/1mnSHPVEjQdxRANgN3JMjVU82XqtfeJhp?usp=sharing</t>
  </si>
  <si>
    <t>Jabatan TPP yang dilamar</t>
  </si>
  <si>
    <t>ID Kelulusan</t>
  </si>
  <si>
    <t>tompraks@gmail.com</t>
  </si>
  <si>
    <t>No</t>
  </si>
  <si>
    <t>Lokasi SNT</t>
  </si>
  <si>
    <t>Nama</t>
  </si>
  <si>
    <t>Tanggal Wawancara</t>
  </si>
  <si>
    <t>Jam Pelaksanaan</t>
  </si>
  <si>
    <t>PIC</t>
  </si>
  <si>
    <t xml:space="preserve">OKU Timur, Sumatera Selatan </t>
  </si>
  <si>
    <t>15.00 - 15.15</t>
  </si>
  <si>
    <t>https://drive.google.com/drive/folders/1Jo5cOOJOGSkcnrln3SZE_oV49sGq04i6?usp=drive_link</t>
  </si>
  <si>
    <t>uns.id/zoom-wawancara-1</t>
  </si>
  <si>
    <t>Pak Idam</t>
  </si>
  <si>
    <t>Pak Imam</t>
  </si>
  <si>
    <t>Senin</t>
  </si>
  <si>
    <t>nurulkhairunnisa12@gmail.com</t>
  </si>
  <si>
    <t>15.15 - 15.30</t>
  </si>
  <si>
    <t xml:space="preserve">IAIN Parepare </t>
  </si>
  <si>
    <t xml:space="preserve">Kota palu, Sulawesi Tengah </t>
  </si>
  <si>
    <t>Bu Nurma</t>
  </si>
  <si>
    <t>11-13</t>
  </si>
  <si>
    <t>riskaapriliamarsya147@gmail.com</t>
  </si>
  <si>
    <t>15.30 - 15.45</t>
  </si>
  <si>
    <t>13-15</t>
  </si>
  <si>
    <t>Minggu</t>
  </si>
  <si>
    <t>Universitas muhammadiyah kendari</t>
  </si>
  <si>
    <t>15.45 - 16.00</t>
  </si>
  <si>
    <t>Bu Yay</t>
  </si>
  <si>
    <t>16.00 - 16.15</t>
  </si>
  <si>
    <t>Bu El</t>
  </si>
  <si>
    <t xml:space="preserve">Kota Kendari </t>
  </si>
  <si>
    <t>16.15 - 16.30</t>
  </si>
  <si>
    <t>Pak Yuyun</t>
  </si>
  <si>
    <t>15.30</t>
  </si>
  <si>
    <t>16.30 - 16.45</t>
  </si>
  <si>
    <t>Bu Santi</t>
  </si>
  <si>
    <t>16.45 - 17.00</t>
  </si>
  <si>
    <t>Pak Fajar</t>
  </si>
  <si>
    <t>17.00 - 17.15</t>
  </si>
  <si>
    <t>endahrahma60@gmail.com</t>
  </si>
  <si>
    <t>uns.id/zoom-wawancara-2</t>
  </si>
  <si>
    <t>Bu Elvin</t>
  </si>
  <si>
    <t>Kabupaten Tulang Bawang, Lampung</t>
  </si>
  <si>
    <t>https://drive.google.com/drive/folders/1UYBeT19vfcK88TXH2vxKfNkkOJm3Yxon?usp=sharing</t>
  </si>
  <si>
    <t>monicaokta228@gmail.com</t>
  </si>
  <si>
    <t>Universitas Kristen Satya Wacana</t>
  </si>
  <si>
    <t xml:space="preserve">Kota Blora, Jawa Tengah </t>
  </si>
  <si>
    <t>08.00 - 08.15</t>
  </si>
  <si>
    <t>uns.id/zoom-wawancara-3</t>
  </si>
  <si>
    <t xml:space="preserve">https://drive.google.com/drive/folders/1LTWCeJsS3uOTO0e7hqMI7AzpaE9Twr0Q </t>
  </si>
  <si>
    <t>Bu Yayin</t>
  </si>
  <si>
    <t>08.15 - 08.30</t>
  </si>
  <si>
    <t>08.30 - 08.45</t>
  </si>
  <si>
    <t>08.45 - 09.00</t>
  </si>
  <si>
    <t>09.00 - 09.15</t>
  </si>
  <si>
    <t>09.15 - 09.30</t>
  </si>
  <si>
    <t>nurulftha11@gmail.com</t>
  </si>
  <si>
    <t>09.30 - 09.45</t>
  </si>
  <si>
    <t>09.45 - 10.00</t>
  </si>
  <si>
    <t>10.00 - 10.15</t>
  </si>
  <si>
    <t xml:space="preserve">Universitas Muhammadiyah Gorontalo </t>
  </si>
  <si>
    <t>uns.id/zoom-wawancara-4</t>
  </si>
  <si>
    <t>Kota Gorontalo, Provinsi Gorontalo</t>
  </si>
  <si>
    <t>E02419007</t>
  </si>
  <si>
    <t>10.15 - 10.30</t>
  </si>
  <si>
    <t>10.30 - 10.45</t>
  </si>
  <si>
    <t>putridindameuraintan949@gmail.com</t>
  </si>
  <si>
    <t>10.45 - 11.00</t>
  </si>
  <si>
    <t>11.00 - 11.15</t>
  </si>
  <si>
    <t>Universitas islam negeri datokarama palu</t>
  </si>
  <si>
    <t>13.00 - 13.15</t>
  </si>
  <si>
    <t>uns.id/zoom-wawancara-5</t>
  </si>
  <si>
    <t>Kota palu, sulawesi tengah</t>
  </si>
  <si>
    <t>13.15 - 13.30</t>
  </si>
  <si>
    <t>13.30 - 13.45</t>
  </si>
  <si>
    <t>13.45 - 14.00</t>
  </si>
  <si>
    <t>14.00 - 14.15</t>
  </si>
  <si>
    <t>14.15 - 14.30</t>
  </si>
  <si>
    <t>muhammadghozali217@gmail.com</t>
  </si>
  <si>
    <t>14.30 - 14.45</t>
  </si>
  <si>
    <t>085741124616</t>
  </si>
  <si>
    <t>14.45 - 15.00</t>
  </si>
  <si>
    <t>Kabupaten Pekalongan, Jawa Tengah</t>
  </si>
  <si>
    <t>uns.id/zoom-wawancara-6</t>
  </si>
  <si>
    <t>khaafidhatulka@gmail.com</t>
  </si>
  <si>
    <t>11.15 - 11.30</t>
  </si>
  <si>
    <t>082164694216</t>
  </si>
  <si>
    <t>11.30 - 11.45</t>
  </si>
  <si>
    <t xml:space="preserve">Kabupaten Sragen, Jawa Tengah </t>
  </si>
  <si>
    <t>11.45 - 12.00</t>
  </si>
  <si>
    <t>uns.id/zoom-wawancara-7</t>
  </si>
  <si>
    <t>X942408257</t>
  </si>
  <si>
    <t>A310200151</t>
  </si>
  <si>
    <t>sofyansoleh19@gmail.com</t>
  </si>
  <si>
    <t>081394581595</t>
  </si>
  <si>
    <t>Banjarnegara, Jawa Tengah</t>
  </si>
  <si>
    <t>uns.id/zoom-wawancara-8</t>
  </si>
  <si>
    <t>ongkyalbert033@gmail.com</t>
  </si>
  <si>
    <t>085399807430</t>
  </si>
  <si>
    <t>Sekolah Tinggi Filsafat Driyarkara</t>
  </si>
  <si>
    <t>Desa Kulidawa, Kabupaten Muna</t>
  </si>
  <si>
    <t>17.15 - 17.30</t>
  </si>
  <si>
    <t>putrimaria451@gmail.com</t>
  </si>
  <si>
    <t>082192696090</t>
  </si>
  <si>
    <t>Sekolah Tinggi Agama Katolik Negeri Pontianak</t>
  </si>
  <si>
    <t>Kecamatan Tongkuno Selatan, Kabupaten Muna</t>
  </si>
  <si>
    <t>Monosari Donorojo Tegalrejo Magelang Jawa Tengah</t>
  </si>
  <si>
    <t>https://drive.google.com/drive/folders/1aYXA4C27v4RjA_Uci2XyWDLUHMd94gOA?usp=sharing</t>
  </si>
  <si>
    <t>Jabatan</t>
  </si>
  <si>
    <t>https://drive.google.com/open?id=1-YUnvwdNiYug1XyXP1s5OcnNyLH_tN69</t>
  </si>
  <si>
    <t>085314164181</t>
  </si>
  <si>
    <t>Desa Kabawo, Kabupaten Muna, Sulawesi Tenggara</t>
  </si>
  <si>
    <t>https://drive.google.com/drive/folders/1D4s0ysl23nOrJgQmY_nJosQ0JjPXaT2X</t>
  </si>
  <si>
    <t>https://drive.google.com/open?id=1ArTrUXGa5_LwDpsgC7-ab0pmArpupKhp</t>
  </si>
  <si>
    <t>Ilmu Pengetahuan Alam (IPA) untuk mengajar mata pelajaran Biologi, Kimia, Fisika</t>
  </si>
  <si>
    <t>089514818386</t>
  </si>
  <si>
    <t>Ilmu Pengetahuan Sosial (IPS) untuk mengajar mata pelajaran Sosiologi, Ekonomi, Geografi, dan Sejarah</t>
  </si>
  <si>
    <t>Matematika (umum)</t>
  </si>
  <si>
    <t>Malang, Jawa Timur</t>
  </si>
  <si>
    <t>https://drive.google.com/open?id=1JuEq4djty-y8fLohK7DzB44mwckUib5b</t>
  </si>
  <si>
    <t>Penjasorkes</t>
  </si>
  <si>
    <t>081217709708</t>
  </si>
  <si>
    <t>No.</t>
  </si>
  <si>
    <t>Universitas Muhammadiyah Sidoarjo</t>
  </si>
  <si>
    <t>Sidoarjo, Jawa Timur</t>
  </si>
  <si>
    <t>https://drive.google.com/drive/folders/1uiFCL4Z40gteEeW8JX4SV-y9TpDFELEc</t>
  </si>
  <si>
    <t>Asmilda Nur Rahmawati S. Pd., Gr.</t>
  </si>
  <si>
    <t>https://drive.google.com/open?id=1bDNTo08NetCUDF1bVK6Max1FqTNZPTWV</t>
  </si>
  <si>
    <t>0895800035315</t>
  </si>
  <si>
    <t>Kota Kudus, Jawa Tengah</t>
  </si>
  <si>
    <t>HP</t>
  </si>
  <si>
    <t>JUDUL</t>
  </si>
  <si>
    <t>Seleksi Administrasi</t>
  </si>
  <si>
    <t>Seleksi Akhir (Substansi)</t>
  </si>
  <si>
    <t>Lokasi Sekolah Nasional Terintegrasi</t>
  </si>
  <si>
    <t>Join Group WA</t>
  </si>
  <si>
    <t>JANGAN PUTUS ASA DAN TETAP SEMANGAT</t>
  </si>
  <si>
    <t>Tidak Lolos</t>
  </si>
  <si>
    <t>Fuad Hanafi, S.Pd., Gr.</t>
  </si>
  <si>
    <t>SELAMAT!! Anda dinyatakan lolos seleksi TPP SNT</t>
  </si>
  <si>
    <t>Lolos</t>
  </si>
  <si>
    <t>https://chat.whatsapp.com/LPOWsHQqQUlKhHPZ9YyBFb</t>
  </si>
  <si>
    <t>https://drive.google.com/open?id=1qSuSI31VSIYpGGFUa8mK2rYS5II8WDLd</t>
  </si>
  <si>
    <t>https://chat.whatsapp.com/KxOOYW4piA01QNaLrY9Upa</t>
  </si>
  <si>
    <t>081548818552</t>
  </si>
  <si>
    <t>Universitas Sains Alquran</t>
  </si>
  <si>
    <t>Rizqi Nur Fitriani</t>
  </si>
  <si>
    <t>https://drive.google.com/drive/folders/1zr9jpWWKJhLxyFvydPkYe9rMQodbRowa?usp=sharing</t>
  </si>
  <si>
    <t>https://drive.google.com/open?id=1bljDvqw0hCR-1KQfSqBqY7fgf1IBh9mz</t>
  </si>
  <si>
    <t>Triantini, S. Pd., Gr.</t>
  </si>
  <si>
    <t>UTARA SETIA NUGRAHA, S. Pd., Gr.</t>
  </si>
  <si>
    <t>082336965593</t>
  </si>
  <si>
    <t>Fadlilah Nurul Fajri Handayani., S.Pd., Gr.</t>
  </si>
  <si>
    <t>Muhid Bayyan, S.Pd.</t>
  </si>
  <si>
    <t>Kab. Tulungagung, Jawa Timur</t>
  </si>
  <si>
    <t>Puspa Indah Sulistyaningrum</t>
  </si>
  <si>
    <t>https://drive.google.com/open?id=1Aejyf_GILUbTtV5qiNfaM6kisjoRwbMV</t>
  </si>
  <si>
    <t>Mengundurkan diri</t>
  </si>
  <si>
    <t>Pendidikan Pancasila</t>
  </si>
  <si>
    <t>081370861174</t>
  </si>
  <si>
    <t>Universitas Negeri Medan</t>
  </si>
  <si>
    <t>ENDAH EKA HANDAYANI, S.S., Gr.</t>
  </si>
  <si>
    <t>Medan</t>
  </si>
  <si>
    <t>https://drive.google.com/file/d/14nqA5xOhaV7LTMonONLJ2-rWSCf3FYn0/view?usp=sharing</t>
  </si>
  <si>
    <t>https://drive.google.com/open?id=19Zu3BViff_1_VoM_S3prAdYok3iTGWuE</t>
  </si>
  <si>
    <t>Seni, Budaya, dan Prakarya</t>
  </si>
  <si>
    <t>085338093792</t>
  </si>
  <si>
    <t>TIK</t>
  </si>
  <si>
    <t>universitas islam negeri Mataram</t>
  </si>
  <si>
    <t>https://drive.google.com/drive/folders/1ndrLT3x5BYcWVV2mZSLe8u0fR4zUiFTP</t>
  </si>
  <si>
    <t>https://drive.google.com/open?id=1T8fL4JQu_dZTEF-gygT-D1RFT_vRfKlB</t>
  </si>
  <si>
    <t>tidak jadi, tidak dapat ijin orang tua</t>
  </si>
  <si>
    <t>085803336883</t>
  </si>
  <si>
    <t>Universitas Pancasakti Tegal</t>
  </si>
  <si>
    <t>Kabupaten Tegal, Jawa Tengah</t>
  </si>
  <si>
    <t>https://drive.google.com/drive/folders/1FWmxvG1wvGsYFwBfDwOLmVkwH5i5gSik</t>
  </si>
  <si>
    <t>https://drive.google.com/open?id=1lXk4bE7aW9KN7NbwtBqFemMU4a7AezXR</t>
  </si>
  <si>
    <t xml:space="preserve">Kendari, Sulawesi Tenggara </t>
  </si>
  <si>
    <t>https://drive.google.com/open?id=1aqkog-PXiYotxzfxmceQCfuMHI427cBp</t>
  </si>
  <si>
    <t>085641941566</t>
  </si>
  <si>
    <t>Universitas Islam Negeri Sunan Kalijaga</t>
  </si>
  <si>
    <t>Samarinda, Kalimantan Timur</t>
  </si>
  <si>
    <t>https://drive.google.com/open?id=1HF3ICibnE4CSQlskdawFSKMvSxyCwRxK</t>
  </si>
  <si>
    <t>Belum Memiliki</t>
  </si>
  <si>
    <t>085786378412</t>
  </si>
  <si>
    <t xml:space="preserve">UIN Sunan Kudus </t>
  </si>
  <si>
    <t>Belum pernah PPG</t>
  </si>
  <si>
    <t xml:space="preserve">Sumanding RT 13 RW 4 Kembang Jepara </t>
  </si>
  <si>
    <t>https://drive.google.com/file/d/1-lG7m3YIWvMtVFoWqOY1Riq3aCDpb8XH/view?usp=drivesdk</t>
  </si>
  <si>
    <t>https://drive.google.com/open?id=105NaJyJ8n3Hpra3k3TXydc_dL3Jd0sl5</t>
  </si>
  <si>
    <t>082291417198</t>
  </si>
  <si>
    <t xml:space="preserve">Universitas Terbuka </t>
  </si>
  <si>
    <t xml:space="preserve">Sumatera Selatan </t>
  </si>
  <si>
    <t>https://drive.google.com/drive/folders/1ImdPZJI12fytqEYqcUZifUZ2g9G3zYFB?usp=drive_link</t>
  </si>
  <si>
    <t>https://drive.google.com/open?id=1FYmGInbC4EY_QQZME-rwgBsRPczS9zfe</t>
  </si>
  <si>
    <t>089651235056</t>
  </si>
  <si>
    <t>Universitas Islam Sultan Agung Semarang</t>
  </si>
  <si>
    <t>Kota jepara, Jawa tengah</t>
  </si>
  <si>
    <t>https://drive.google.com/open?id=1q3GU7OsjVFtPwbqyy_aj5GpohsFF_3bw</t>
  </si>
  <si>
    <t>087763041885</t>
  </si>
  <si>
    <t>UIN Mataram</t>
  </si>
  <si>
    <t>3.7</t>
  </si>
  <si>
    <t>Lombok Timur, NUSA TENGGARA BARAT</t>
  </si>
  <si>
    <t>https://drive.google.com/open?id=1DkBa6amopGHRrlDn_4AkPPFgIwhhSafj</t>
  </si>
  <si>
    <t>1141772673130163</t>
  </si>
  <si>
    <t>082221906886</t>
  </si>
  <si>
    <t>IAIN Purwokerto</t>
  </si>
  <si>
    <t>Purwokerto Banyumas, Jawa Tengah</t>
  </si>
  <si>
    <t>https://drive.google.com/drive/folders/1SZ1ZPD_q15yjwwsA-5ciCU9QFu3qcg6p?usp=sharing</t>
  </si>
  <si>
    <t>https://drive.google.com/open?id=1yiLLIgF2KMyVwTOkhP0MajWm-p4tQ4n4</t>
  </si>
  <si>
    <t>082313120375</t>
  </si>
  <si>
    <t>Universitas PGRI Semarang</t>
  </si>
  <si>
    <t xml:space="preserve">Brebes, Jawa Tengah </t>
  </si>
  <si>
    <t>https://drive.google.com/drive/folders/1XsMCUlchwcIlnTpW3i2f_44hqHIdj6Qd</t>
  </si>
  <si>
    <t>X9022084170</t>
  </si>
  <si>
    <t>https://drive.google.com/open?id=1711mTM3smZ4rITMESesub-4mmPJ0UDcw</t>
  </si>
  <si>
    <t>081395319346</t>
  </si>
  <si>
    <t>UIN Sunan Gunung Djati Bandung</t>
  </si>
  <si>
    <t>LPTK tempat saya PPG (UPI) Tidak mengeluarkan transkrip nilai.</t>
  </si>
  <si>
    <t>Kabupaten Garut, Jawa Barat</t>
  </si>
  <si>
    <t>https://drive.google.com/drive/folders/1p02hk2pCEFDBH0h7NzeD-PxmMvx7B-cD?usp=sharing</t>
  </si>
  <si>
    <t>https://drive.google.com/open?id=1FteXGy1njf_MSQW8lISmToYwMYKO1xro</t>
  </si>
  <si>
    <t xml:space="preserve">Universitas Negeri Semarang </t>
  </si>
  <si>
    <t>Maaf tidak ada</t>
  </si>
  <si>
    <t>Kudus</t>
  </si>
  <si>
    <t>https://drive.google.com/file/d/1jmPnpkdUj4CdcXFPl_twQqpmV-vll49A/view?usp=drivesdk</t>
  </si>
  <si>
    <t>https://drive.google.com/open?id=1osLL5d1pBdGxz1ZVasyTcF7HZI61Y9Kf</t>
  </si>
  <si>
    <t>085785052191</t>
  </si>
  <si>
    <t>UNIVERSITAS ISLAM NEGERI SAYYID ALI RAHMATULLAH TULUNGAGUNG</t>
  </si>
  <si>
    <t>KABUPATEN KEDIRI JAWA TIMUR</t>
  </si>
  <si>
    <t>https://drive.google.com/file/d/19Ubd3X6n9vO7MExQwm9X1dhc9Im7DoJY/view?usp=drivesdk</t>
  </si>
  <si>
    <t>https://drive.google.com/open?id=1zXWnoCqXR5XITAp2qAPn0ONGjbWx-S4H</t>
  </si>
  <si>
    <t>Belum memiliki PTK ID/SIMPKB ID</t>
  </si>
  <si>
    <t>081225927831</t>
  </si>
  <si>
    <t>Universitas Muhammadiyah Semarang</t>
  </si>
  <si>
    <t>Semarang, Jawa Tengah</t>
  </si>
  <si>
    <t>https://drive.google.com/drive/folders/1UNoT23QcdTdF_3ir_V4cXeO4FjtCrwLB?usp=sharing</t>
  </si>
  <si>
    <t>https://drive.google.com/open?id=113ibsSp7KQHgHwNRfFKp_PkZCWJRH8i-</t>
  </si>
  <si>
    <t>UIN Salatiga</t>
  </si>
  <si>
    <t>https://drive.google.com/open?id=116okbm8MGbF0d7thx609Gr72ySX_6pOB</t>
  </si>
  <si>
    <t>087883631248</t>
  </si>
  <si>
    <t xml:space="preserve">STAI Al-Barokah Sukabumi </t>
  </si>
  <si>
    <t xml:space="preserve">Jakarta Timur, DKI Jakarta </t>
  </si>
  <si>
    <t>https://drive.google.com/file/d/1pS04i2xTIU-TSFKGGeDCkV-lka3IOZG-/view?usp=drivesdk</t>
  </si>
  <si>
    <t>https://drive.google.com/open?id=1MGegiW77lhLdCHKPCybauY-FXUKI2rDs</t>
  </si>
  <si>
    <t>082330534096</t>
  </si>
  <si>
    <t>UNIVERSITAS PANCA MARGA PROBOLINGGO</t>
  </si>
  <si>
    <t>KOTA PROBOLINGGO, JAWA TIMUR</t>
  </si>
  <si>
    <t>https://drive.google.com/drive/folders/1FqKaaNX2nrXgqKMSZe5uRYiMZoC--UGS?usp=drive_link</t>
  </si>
  <si>
    <t>https://drive.google.com/open?id=1Zypl-X1KCQMVY7FSa3h0krvuioNzNP71</t>
  </si>
  <si>
    <t>0895800010279</t>
  </si>
  <si>
    <t>Institut Agama Islam Negeri Kudus</t>
  </si>
  <si>
    <t>Kabupaten Kudus, Jawa Tengah</t>
  </si>
  <si>
    <t>https://drive.google.com/file/d/1MZapdCM3BI0aEDf1zUk79aECGn5lhx0U/view?usp=drivesdk</t>
  </si>
  <si>
    <t>https://drive.google.com/open?id=1TyHTEJgn2IGyLDTEmzt_EBAEENFKub6d</t>
  </si>
  <si>
    <t>https://drive.google.com/open?id=1bFUJ2Qt4v56uhI32hQ2Cv95ucKLoP4MF</t>
  </si>
  <si>
    <t>088225885341</t>
  </si>
  <si>
    <t>UNIVERSITAS DARUSSALAM GONTOR</t>
  </si>
  <si>
    <t>Kab. Mojokerto</t>
  </si>
  <si>
    <t>https://drive.google.com/file/d/1q2WATHk4Ogu6nNhq0EnQlwkB49xuDrUM/view?usp=drive_link</t>
  </si>
  <si>
    <t>https://drive.google.com/open?id=1y6TdiYDHlTqqV5zCA5fhfaZCRJu-iV02</t>
  </si>
  <si>
    <t>085348490015</t>
  </si>
  <si>
    <t>SEKOLAH TINGGI AGAMA ISLAM (STAI) KUALA KAPUAS</t>
  </si>
  <si>
    <t>Kapuas, Kalimantan Tengah</t>
  </si>
  <si>
    <t>https://drive.google.com/open?id=1-Wn5XUd-SaWXtzXivToimWAhKmVjOIve</t>
  </si>
  <si>
    <t>085142598969</t>
  </si>
  <si>
    <t xml:space="preserve">Universitas Pendidikan Indonesia </t>
  </si>
  <si>
    <t xml:space="preserve">Kota Lubuklinggau, Sumatera Selatan </t>
  </si>
  <si>
    <t>https://drive.google.com/drive/folders/13mZOYxtPxMB3lu4cg9nGsyp06JExoD3V</t>
  </si>
  <si>
    <t>https://drive.google.com/open?id=1e1BnOFWjJWkpXp0QWDjDOrERBYvo68Xx</t>
  </si>
  <si>
    <t>087701239482</t>
  </si>
  <si>
    <t xml:space="preserve">UIN SUNAN AMPEL SURABAYA </t>
  </si>
  <si>
    <t xml:space="preserve">kota Surabaya </t>
  </si>
  <si>
    <t>https://drive.google.com/file/d/1828YPcHKu6psAeNtu5uNmkT3uRrX203z/view?usp=drivesdk</t>
  </si>
  <si>
    <t>https://drive.google.com/open?id=1w5UG_iPw5oVqoNTW21govm8wMFJiDQvF</t>
  </si>
  <si>
    <t>KAB. MOJOKERTO</t>
  </si>
  <si>
    <t>https://drive.google.com/file/d/1q2WATHk4Ogu6nNhq0EnQlwkB49xuDrUM/view?usp=sharing</t>
  </si>
  <si>
    <t>https://drive.google.com/open?id=1YSxUo6otlpnmQDm2V2_VyILCo96nBpQ1</t>
  </si>
  <si>
    <t>087855227678</t>
  </si>
  <si>
    <t xml:space="preserve">Universitas Mataram </t>
  </si>
  <si>
    <t xml:space="preserve">Desa Kawo, Lombok Tengah, NTB </t>
  </si>
  <si>
    <t>https://drive.google.com/open?id=1N6zbpCJ1tfnv8iIDpu8YUaVtAb3NFRNv</t>
  </si>
  <si>
    <t>085743218401</t>
  </si>
  <si>
    <t>UNIVERSITAS ISLAM DARUL 'ULUM LAMONGAN</t>
  </si>
  <si>
    <t>GRESIK, JAWA TIMUR</t>
  </si>
  <si>
    <t>https://drive.google.com/drive/folders/1Yk_3znP-E_7NeJzSXSYZoZ4RQmCFsPVZ?usp=sharing</t>
  </si>
  <si>
    <t>https://drive.google.com/open?id=1pl-X1oB5tn088a2znovqUykPSku-87ra</t>
  </si>
  <si>
    <t>7000171077@guruku.id</t>
  </si>
  <si>
    <t>083143169280</t>
  </si>
  <si>
    <t>Universitas Mataram</t>
  </si>
  <si>
    <t>Kota Lombok Timur, Nusa Tenggara Barat</t>
  </si>
  <si>
    <t xml:space="preserve">https://drive.google.com/file/d/1Q1G14BzAhbQSQoSiLSt9YJjxUYVzcP6x/view?usp=drivesdk </t>
  </si>
  <si>
    <t>https://drive.google.com/open?id=1Sa3m1E248jbKo6mNiEQ--47DLK3YRc9s</t>
  </si>
  <si>
    <t>0895334524192</t>
  </si>
  <si>
    <t xml:space="preserve">Universitas Muhammadiyah Jakarta </t>
  </si>
  <si>
    <t xml:space="preserve">Tangerang Selatan, Banten </t>
  </si>
  <si>
    <t>https://drive.google.com/open?id=1o9nod8kmC_gokMKK38rh2YfoxHydqneD</t>
  </si>
  <si>
    <t>0895630518511</t>
  </si>
  <si>
    <t>Kota Probolinggo, Jawa Timur</t>
  </si>
  <si>
    <t>https://drive.google.com/open?id=1wnAGa_ZOP4sX5bhQJCKGTnTIC5pjRHH6</t>
  </si>
  <si>
    <t>082213822904</t>
  </si>
  <si>
    <t xml:space="preserve">Universitas Negeri Padang </t>
  </si>
  <si>
    <t xml:space="preserve">3, 74 </t>
  </si>
  <si>
    <t>Kota Muara Bulian, Jambi</t>
  </si>
  <si>
    <t>https://drive.google.com/file/d/1tEeQRo0wNeGKuciO9W-2k-w4rrEA90mB/view?usp=drivesdk</t>
  </si>
  <si>
    <t>https://drive.google.com/open?id=1vW5UTUaNOhJUK3zusOjr2AE5BtCVDS5H</t>
  </si>
  <si>
    <t>https://drive.google.com/open?id=1_eKchie8AK4JPg7bK13FqM0WGnXoz7Cd</t>
  </si>
  <si>
    <t>085944290514</t>
  </si>
  <si>
    <t>Universitas Muhammadiyah Makassar</t>
  </si>
  <si>
    <t xml:space="preserve">Desa Toli-Toli, Kabupaten Bombana, provinsi Sulawesi Tenggara </t>
  </si>
  <si>
    <t>https://drive.google.com/open?id=19eR_aYZGb-0a2r-q_mX5F2e_byiiyeRc</t>
  </si>
  <si>
    <t>ppg.auliafadilah02@program.belajar.id</t>
  </si>
  <si>
    <t>0882008175204</t>
  </si>
  <si>
    <t>Grobogan, Jawa Tengah</t>
  </si>
  <si>
    <t>https://drive.google.com/drive/folders/1mPwEHOmEtm1mnwgvhXtqIN7Ec_tO0qIR</t>
  </si>
  <si>
    <t>https://drive.google.com/open?id=1li1CUEKu0XCU_tmEhaP6CafX3qmhIcTC</t>
  </si>
  <si>
    <t>201502718746@guruku.id</t>
  </si>
  <si>
    <t>081247023361</t>
  </si>
  <si>
    <t>Universitas Pattimura</t>
  </si>
  <si>
    <t>Kota Saparua, Maluku Tengah, Maluku</t>
  </si>
  <si>
    <t>https://drive.google.com/drive/project/1ypNhOfZ1ErOar424uG5L-X1688R0hlne?usp=sharing</t>
  </si>
  <si>
    <t>https://drive.google.com/open?id=13efrdOnk2YAnhyQB6NFga0E7riHni7kP</t>
  </si>
  <si>
    <t>085711291583</t>
  </si>
  <si>
    <t>Kabupaten Banyuwangi, Jawa Timur</t>
  </si>
  <si>
    <t>https://drive.google.com/drive/folders/1hdzssX16IwtOVDMzPJYkcQjPZRYFPj5T?usp=sharing</t>
  </si>
  <si>
    <t>https://drive.google.com/open?id=1bQ2oUUyz-zVSwvLfgbV2C4EUHFznG4lN</t>
  </si>
  <si>
    <t>085156243417</t>
  </si>
  <si>
    <t>https://drive.google.com/open?id=1FuEIuashz6ALfptPp9CGgDxXt8_yKzSU</t>
  </si>
  <si>
    <t>082273144150</t>
  </si>
  <si>
    <t>UIN SUMATERA UTARA</t>
  </si>
  <si>
    <t>3.00</t>
  </si>
  <si>
    <t>KABUPATEN MANDAILING NATAL, SUMATERA UTARA</t>
  </si>
  <si>
    <t>https://drive.google.com/file/d/1KCjaHp7aBGdze2qoC9en5wf8eGI0n-zF/view?usp=drivesdk</t>
  </si>
  <si>
    <t>https://drive.google.com/open?id=1jRcrwMfTcopD0C_6SPZkfaTiQHZhLkNF</t>
  </si>
  <si>
    <t>085356190507</t>
  </si>
  <si>
    <t>Universitas Islam Negeri Sultan Syarif Kasim Riau</t>
  </si>
  <si>
    <t>Tidak ada transkrip nilai dari LPTK</t>
  </si>
  <si>
    <t>Kota Pekanbaru, Riau</t>
  </si>
  <si>
    <t>https://drive.google.com/open?id=13P6r4zQNdHQhEhzdp5sXcgPjBG4UxDx4</t>
  </si>
  <si>
    <t>082219031814</t>
  </si>
  <si>
    <t>universitas siliwangi</t>
  </si>
  <si>
    <t>Kota tasikmalaya, Jawa Barat</t>
  </si>
  <si>
    <t>https://drive.google.com/drive/folders/1W6SEKzHFkTmZeAxP_qWGJrfnGW2l_S8w?usp=drive_link</t>
  </si>
  <si>
    <t>https://drive.google.com/open?id=1G7JeTDOXhNKnbYw9oBGqiYFj6TZ6Azby</t>
  </si>
  <si>
    <t>085210494081</t>
  </si>
  <si>
    <t>Universitas Islam Riau</t>
  </si>
  <si>
    <t>Kota Bandung, Jawa Barat</t>
  </si>
  <si>
    <t>https://drive.google.com/open?id=12RM0lxmy7p964fkSebYx6A8aM2ovSq5L</t>
  </si>
  <si>
    <t>082293115940</t>
  </si>
  <si>
    <t>Universitas Tadulako</t>
  </si>
  <si>
    <t>Kabupaten Poso, Sulawesi Tengah</t>
  </si>
  <si>
    <t>https://drive.google.com/drive/folders/157g7GPU2uWmVoir8HYWvwo04DYx70Q40?usp=drive_link</t>
  </si>
  <si>
    <t>https://drive.google.com/open?id=1aZKVu9Rru1OdgFnWpc8OVCpjt16nxE_b</t>
  </si>
  <si>
    <t>08995241141</t>
  </si>
  <si>
    <t>UNiversitas Mpu Tantular jakarta</t>
  </si>
  <si>
    <t>KOta Luwu Timur, Sulawesi Selatan</t>
  </si>
  <si>
    <t>https://drive.google.com/drive/folders/1xHnwtPpiVK8lvJBgar1ydRN9UUdDr1Yq?hl=ID</t>
  </si>
  <si>
    <t>https://drive.google.com/open?id=1db97Hf6tsA3nNb8sTNo7QUalo4U5BhQg</t>
  </si>
  <si>
    <t>082257786101</t>
  </si>
  <si>
    <t>Universitas Pgri Madiun</t>
  </si>
  <si>
    <t>Kabupaten Nganjuk, Jawa Timur</t>
  </si>
  <si>
    <t>https://drive.google.com/open?id=1N5NFhx2jM62H_yO-Ykp0V4CSgnLC6Dea</t>
  </si>
  <si>
    <t>081362286358</t>
  </si>
  <si>
    <t>UIN Sunan Kalijaga Yogyakarta</t>
  </si>
  <si>
    <t xml:space="preserve">Yogyarkarta </t>
  </si>
  <si>
    <t>https://drive.google.com/open?id=1RTN4mAERHAcq58SpAPuIjbfR-L_WYOUA</t>
  </si>
  <si>
    <t>085601013562</t>
  </si>
  <si>
    <t>https://drive.google.com/file/d/1ZxhM7GdDCe-RzJJ4vTn8VM15XtiEYoDy/view?usp=drive_link</t>
  </si>
  <si>
    <t>X902308388</t>
  </si>
  <si>
    <t>https://drive.google.com/open?id=10wpPpWUpfiijLrJDVPy5z3WmnT4r58x1</t>
  </si>
  <si>
    <t>08990872171</t>
  </si>
  <si>
    <t xml:space="preserve">Kota Semarang, Jawa Tengah </t>
  </si>
  <si>
    <t xml:space="preserve">tidak ada </t>
  </si>
  <si>
    <t>https://drive.google.com/open?id=1hR5ji0xooSwVqpUU3y0A1mqqXOUK43An</t>
  </si>
  <si>
    <t>085701565762</t>
  </si>
  <si>
    <t xml:space="preserve">Kabupaten Magelang, Jawa Tengah </t>
  </si>
  <si>
    <t>https://drive.google.com/file/d/1ch7lfLBpgDwfd6eUCsp62QmQis-una8H/view?usp=drivesdk</t>
  </si>
  <si>
    <t>X902308518</t>
  </si>
  <si>
    <t>https://drive.google.com/open?id=1KqQqtWMwtcAdCTMzKdmYxgBwUEYjNKEm</t>
  </si>
  <si>
    <t>089687924950</t>
  </si>
  <si>
    <t>UNIVERSITAS ISLAM INDONESIA</t>
  </si>
  <si>
    <t>Kota Pacitan, Jawa Timur</t>
  </si>
  <si>
    <t>https://drive.google.com/drive/folders/1_JjDTlCQ95Z2HSt2cr6Z-dG-f-XTqN5-</t>
  </si>
  <si>
    <t>X902308152</t>
  </si>
  <si>
    <t>PENDIDIKAN KIMIA</t>
  </si>
  <si>
    <t>UNIVERSITAS NEGERI SEBELAS MARET (UNS)</t>
  </si>
  <si>
    <t>https://drive.google.com/open?id=1UBd0WIAKYjvMwStxghV0L83GR7Mrz1Jo</t>
  </si>
  <si>
    <t>085786746890</t>
  </si>
  <si>
    <t>Universitas Muhammadiyah Purworejo</t>
  </si>
  <si>
    <t>Kabupaten Bogor</t>
  </si>
  <si>
    <t>https://drive.google.com/open?id=1sLL6XZkL0ktgl7fN5JZX9kb8BzpiTTkN</t>
  </si>
  <si>
    <t>082377155470</t>
  </si>
  <si>
    <t>Universitas Jambi</t>
  </si>
  <si>
    <t>Kota Jambi, Jambi</t>
  </si>
  <si>
    <t>https://drive.google.com/open?id=1uAmBjxEuNzTxY2jczSJIhVC3UOy-Q789</t>
  </si>
  <si>
    <t>Kabupaten Banjarnegara, Jawa tengah</t>
  </si>
  <si>
    <t>https://drive.google.com/drive/folders/1EQcbBqenLkSz0J9gJhtDto86pLrpaCuh?usp=sharing</t>
  </si>
  <si>
    <t>https://drive.google.com/open?id=1uxpIjLCj4hCUQ9jmqUlozThXy9-ey5jX</t>
  </si>
  <si>
    <t>081330076170</t>
  </si>
  <si>
    <t>.</t>
  </si>
  <si>
    <t>https://drive.google.com/drive/folders/1IaQW-dcaYjHZUYV21uzLtWwjnRkNPlKR?usp=sharing</t>
  </si>
  <si>
    <t>https://drive.google.com/open?id=12CcefKKtmukTuQohEcxYNxXehY5d7v-n</t>
  </si>
  <si>
    <t>085658784410</t>
  </si>
  <si>
    <t>STKIP PGRI BANDAR LAMPUNG</t>
  </si>
  <si>
    <t>Way Petai, Kec. Sumber Jaya, Lampung Barat</t>
  </si>
  <si>
    <t>https://drive.google.com/open?id=1H8DJtB-4-coeIgzOA1w8WR0R1W5sgzkK</t>
  </si>
  <si>
    <t>087898293493</t>
  </si>
  <si>
    <t>STAI Al-Azhary Cianjur</t>
  </si>
  <si>
    <t>Kabupaten Cianjur, Jawa Barat</t>
  </si>
  <si>
    <t>https://drive.google.com/drive/folders/19ZaeMbjpdH449ZYhMj6QlN3JF3TdnMn3?usp=sharing</t>
  </si>
  <si>
    <t>https://drive.google.com/open?id=1clQt07YYNZaakzi5VJWcsmUiqsYJe2nr</t>
  </si>
  <si>
    <t>opikrina94@gmail.com (2417563179) UAD</t>
  </si>
  <si>
    <t>089610501377</t>
  </si>
  <si>
    <t>Rembang, Jawa Tengah</t>
  </si>
  <si>
    <t>https://drive.google.com/open?id=1A6si8rghPSrxwUZuTEOSbhu1zyKJezWM</t>
  </si>
  <si>
    <t>085733472739</t>
  </si>
  <si>
    <t>Universitas Islam Lamongan</t>
  </si>
  <si>
    <t>Jepara, Jawa TengaJEPARA, JAWA TENGAH</t>
  </si>
  <si>
    <t>https://drive.google.com/drive/folders/1ICeef0wQTCT9S8mdkQaRK57ifVIK1OcE?usp=sharing</t>
  </si>
  <si>
    <t>https://drive.google.com/open?id=14t-X2PJ0VOz1A4g7P67HoD-MaarDNsc9</t>
  </si>
  <si>
    <t>087737317231</t>
  </si>
  <si>
    <t>UIN Walisongo Semarang</t>
  </si>
  <si>
    <t>Kabupaten Kendal, Jawa Tengah</t>
  </si>
  <si>
    <t>https://drive.google.com/drive/folders/1-bEcGrl_eMrn6Y-BA6XicqyOiP1cPSgk?usp=sharing</t>
  </si>
  <si>
    <t>https://drive.google.com/open?id=1xzXrgHy0HdPQgmM8QN5DogdaH8l96dNI</t>
  </si>
  <si>
    <t>083162371393</t>
  </si>
  <si>
    <t>A3S224237</t>
  </si>
  <si>
    <t>https://drive.google.com/open?id=1W_uGv6WL8v3Kkoxc7iIV-SP5vN8tyjyA</t>
  </si>
  <si>
    <t>082210660252</t>
  </si>
  <si>
    <t>Universitas Riau</t>
  </si>
  <si>
    <t>Pekanbaru, Riau</t>
  </si>
  <si>
    <t>https://drive.google.com/open?id=1s1noQshHV2IknPd7Vd6ta41HxEXXbfr2</t>
  </si>
  <si>
    <t>082127279439</t>
  </si>
  <si>
    <t>STAI Sabili Bandung</t>
  </si>
  <si>
    <t>Cimahi, Jawa Barat</t>
  </si>
  <si>
    <t>https://drive.google.com/drive/folders/1GqJj_gTolCzY7IGi_gOauHlV5h4RcNxN</t>
  </si>
  <si>
    <t>https://drive.google.com/open?id=1mJdWUCeuEe0iKRyrN5QgFC_irfLKPMA3</t>
  </si>
  <si>
    <t>083814983412</t>
  </si>
  <si>
    <t>UIN Syarif Hidayatullah Jakarta</t>
  </si>
  <si>
    <t>Tuban, Jawa Timur</t>
  </si>
  <si>
    <t>https://drive.google.com/open?id=1d4RviYiyN_TRkmaDv1hYUjnlOS9igtHu</t>
  </si>
  <si>
    <t>082239248295</t>
  </si>
  <si>
    <t xml:space="preserve">Universitas Syiah Kuala </t>
  </si>
  <si>
    <t>Aceh Besar, Provinsi Aceh</t>
  </si>
  <si>
    <t>https://drive.google.com/drive/folders/1cegUgtvsI39sI0sj-raJPktHprolj2xl</t>
  </si>
  <si>
    <t>https://drive.google.com/open?id=13V3059FOOduRJ53LVmxxKPEQPGSmn6je</t>
  </si>
  <si>
    <t>085668083061</t>
  </si>
  <si>
    <t>UIN Imam Bonjol Padang</t>
  </si>
  <si>
    <t>Kota Padang, Sumatera Barat</t>
  </si>
  <si>
    <t>https://drive.google.com/file/d/1b4bKuE3zYG0664rNvgYGLLQmJEAvlKdh/view?usp=drivesdk</t>
  </si>
  <si>
    <t>https://drive.google.com/open?id=1r9DxO4KR12KclEKsdfjWmAiruYBt71bj</t>
  </si>
  <si>
    <t>202000853462@guruku.id</t>
  </si>
  <si>
    <t>088215411711</t>
  </si>
  <si>
    <t>Kab. Rembang, Jawa Tengah</t>
  </si>
  <si>
    <t>https://drive.google.com/open?id=1POiHSH4J9zDSHQoLnIiTZEEZesCGlMLz</t>
  </si>
  <si>
    <t>https://drive.google.com/open?id=10biL2L-Yv12WNuw04xgno9JseVyuPRZh</t>
  </si>
  <si>
    <t>082378459973</t>
  </si>
  <si>
    <t>UNIVERSITAS BENGKULU</t>
  </si>
  <si>
    <t>Kota Bengkulu, Bengkulu</t>
  </si>
  <si>
    <t>https://drive.google.com/file/d/135s2eY1pnAEWfIfOiMIwnJXlWbqMIkCP/view?usp=sharing</t>
  </si>
  <si>
    <t>https://drive.google.com/open?id=1v0OvSZeu0kAF5sP-dxp4DA3fI3GPwDUf</t>
  </si>
  <si>
    <t>088221270774</t>
  </si>
  <si>
    <t>UIN Sunan Kudus</t>
  </si>
  <si>
    <t>https://drive.google.com/drive/folders/1BOLsbpZenoUTbTOk1887z8HGqXUo-DJ1</t>
  </si>
  <si>
    <t>https://drive.google.com/open?id=1Ly0YqjhuygZ9yiU9FdUIthfmXv-qtJiQ</t>
  </si>
  <si>
    <t>Reynelda Admar Bartha</t>
  </si>
  <si>
    <t>085341982105</t>
  </si>
  <si>
    <t>Universitas Kristen Indonesja Toraja</t>
  </si>
  <si>
    <t>Toraja,Sulawesi Selatan</t>
  </si>
  <si>
    <t>https://drive.google.com/open?id=1lPLcJeflAkOP4t5DkRolkpH8Hh6VBEyL</t>
  </si>
  <si>
    <t>fadholiahmad3552@gmail.com</t>
  </si>
  <si>
    <t>089689063702</t>
  </si>
  <si>
    <t>Universitas Islam Nahdlatul Ulama Jepara</t>
  </si>
  <si>
    <t>https://drive.google.com/open?id=1BNPA1Mbkwluk1NfmGRRYFVZPuP-F0Fmx</t>
  </si>
  <si>
    <t>082283876650</t>
  </si>
  <si>
    <t>Universitas Diponegoro</t>
  </si>
  <si>
    <t>Solok Selatan, Sumatera Barat</t>
  </si>
  <si>
    <t>https://drive.google.com/drive/folders/1I6nLkdMZqvJAU2L43X-kVh_2_sopTxj3</t>
  </si>
  <si>
    <t>https://drive.google.com/open?id=10RytqU2OVz93cUkyObN9Lrv3Oip_nEsg</t>
  </si>
  <si>
    <t>082213770205</t>
  </si>
  <si>
    <t>Universitas Syiah Kuala</t>
  </si>
  <si>
    <t>KABUPATEN SIMEULUE</t>
  </si>
  <si>
    <t>https://drive.google.com/open?id=1ob8mAKiXrDZQtJQapkC2gNfYon89bQnI</t>
  </si>
  <si>
    <t>201901237898@guruku.id</t>
  </si>
  <si>
    <t>085270650072</t>
  </si>
  <si>
    <t>POLITEKNIK UNGGUL LP3M</t>
  </si>
  <si>
    <t>MEDAN</t>
  </si>
  <si>
    <t>https://drive.google.com/open?id=1Tero7wxuYRFJD15Nwjf-mpzKUdENWFSi</t>
  </si>
  <si>
    <t>085741353335</t>
  </si>
  <si>
    <t>Kab. Jepara</t>
  </si>
  <si>
    <t>https://drive.google.com/drive/folders/1LVjY_dM104LYW2SS6hI4p3y_74uBxRxg</t>
  </si>
  <si>
    <t>https://drive.google.com/open?id=1_ll002soiNKTF6O2F27UQ_I69o44QfBf</t>
  </si>
  <si>
    <t>087722577763</t>
  </si>
  <si>
    <t>IAIN Pekalongan</t>
  </si>
  <si>
    <t>Kabupaten Pekalongan</t>
  </si>
  <si>
    <t>https://drive.google.com/drive/folders/11TfA6roqNDL6OMfdjoFtc2YIMcUaqF6D?usp=sharing</t>
  </si>
  <si>
    <t>https://drive.google.com/open?id=1EB8Kp8OO2zPVtEV1dJpG4G1jCKeuSklr</t>
  </si>
  <si>
    <t>081214691510</t>
  </si>
  <si>
    <t>Universitas Sriwijaya</t>
  </si>
  <si>
    <t>Kabupaten Lombok Timur, Nusa Tenggara Barat</t>
  </si>
  <si>
    <t>https://drive.google.com/drive/folders/1WxNebxIxkO-FMfKaVDq0uLdP2F8Kp-nT?usp=sharing</t>
  </si>
  <si>
    <t>https://drive.google.com/open?id=19fbpFT8OlpIPyOGAInadGmE2ynkwlMLY</t>
  </si>
  <si>
    <t>085712135701</t>
  </si>
  <si>
    <t>UNISNU JEPARA</t>
  </si>
  <si>
    <t>https://drive.google.com/drive/folders/1YSuJjYatX6HeWWXX2IyrLBKYKqMxmqqH</t>
  </si>
  <si>
    <t>https://drive.google.com/open?id=1xmKdsFkyKUkzWAbg-R1yzR_XaY1XjXvI</t>
  </si>
  <si>
    <t>085394547098</t>
  </si>
  <si>
    <t>Universitas Cokroaminoto Palopo</t>
  </si>
  <si>
    <t>Tana Toraja, Sulawesi Selatan</t>
  </si>
  <si>
    <t>https://drive.google.com/drive/folders/1QNufrZxxerCm2AkkS7Wgw_FZ8T9yjmy3</t>
  </si>
  <si>
    <t>https://drive.google.com/open?id=1i_sH4jbEtFWxETz7lmRSkOaoSntBuCCz</t>
  </si>
  <si>
    <t>082289932887</t>
  </si>
  <si>
    <t xml:space="preserve">Universitas Bengkulu </t>
  </si>
  <si>
    <t>Kota Payakumbuh, Sumatera Barat</t>
  </si>
  <si>
    <t>https://drive.google.com/file/d/1aPeTRXqQ99p9K_WWsJwflL0YYD7NrQtE/view?usp=drivesdk</t>
  </si>
  <si>
    <t>https://drive.google.com/open?id=1pM1_X0C_jQsuTqGqi2D3eSXNsP4xNaJw</t>
  </si>
  <si>
    <t>082277942032</t>
  </si>
  <si>
    <t>Universitas Samudra</t>
  </si>
  <si>
    <t>Humbang Hasundutan, Sumatera Utara</t>
  </si>
  <si>
    <t>https://drive.google.com/open?id=1iLdDNZ6ANl2FKkpWWiXnOy-Tl9n4nbB8</t>
  </si>
  <si>
    <t>085795340972</t>
  </si>
  <si>
    <t>https://drive.google.com/drive/folders/1U8I5vPnWwIsN2f8oExY0XJlhTyhNt1PA</t>
  </si>
  <si>
    <t>https://drive.google.com/open?id=16EKHoQ5475nyv19gcDcfnP-16ybQtLT0</t>
  </si>
  <si>
    <t>085641626270</t>
  </si>
  <si>
    <t>Kab. Grobogan, Jawa Tengah</t>
  </si>
  <si>
    <t>https://drive.google.com/drive/folders/1VJy4PG02osf5uSvbOyUlKDU0QFevurqG?usp=sharing</t>
  </si>
  <si>
    <t>https://drive.google.com/open?id=1Cyurd1ZvCSFr1U4lskqFG3frCKt99MqG</t>
  </si>
  <si>
    <t>3320041810080005</t>
  </si>
  <si>
    <t>081326371307</t>
  </si>
  <si>
    <t>_</t>
  </si>
  <si>
    <t>Mayong, Jepara, Jawa Tengah</t>
  </si>
  <si>
    <t>https://drive.google.com/file/d/1XEWV9G_a3_JgM6mZMc5JldsOl8U470Wu/view?usp=sharing</t>
  </si>
  <si>
    <t>https://drive.google.com/open?id=1TgwuwuWlYxW5jVg63xTjNp4EjRcVIYLZ</t>
  </si>
  <si>
    <t>085692248442</t>
  </si>
  <si>
    <t>DESA DORANG KABUPATEN JEPARA JAWA TENGAH</t>
  </si>
  <si>
    <t>https://drive.google.com/open?id=1Xd9_Yr4qRCbs8Z0iCMh80sXdD-fdy-uo</t>
  </si>
  <si>
    <t>082225385056</t>
  </si>
  <si>
    <t>Universitas Sultan Agung Semarang</t>
  </si>
  <si>
    <t>https://drive.google.com/open?id=1VSSFaaetKiXfd6oW5roZUcV2Alz1TWT6</t>
  </si>
  <si>
    <t>097878134167</t>
  </si>
  <si>
    <t>Tidak ada transkirp nilai</t>
  </si>
  <si>
    <t>Kota Jepara, Jawa Tengah</t>
  </si>
  <si>
    <t>https://drive.google.com/drive/folders/1ZuK6Alx0u8gVjOrN2gq-JmTFqgKbIK3s?usp=sharing</t>
  </si>
  <si>
    <t>https://drive.google.com/open?id=1ohGzY9pciuHjhKeMf0vQ2feF5sdfgp6x</t>
  </si>
  <si>
    <t>0882019168035</t>
  </si>
  <si>
    <t>UNIVERSITAS MUHAMMADIYAH MAKASSAR</t>
  </si>
  <si>
    <t>Kota Makassar, Sulawesi Selatan</t>
  </si>
  <si>
    <t>https://drive.google.com/open?id=1J8OAdMjhPRtHAMg7vDIHtyEv0aiqdH_h</t>
  </si>
  <si>
    <t>089501944427</t>
  </si>
  <si>
    <t>Universitas Islam Negeri Sunan Gunung Djati Bandung</t>
  </si>
  <si>
    <t>Kabupaten Subang, Jawa Barat</t>
  </si>
  <si>
    <t>https://drive.google.com/drive/folders/12LUaQK14lrvAZLtekJDARU0MW4QyLkG5</t>
  </si>
  <si>
    <t>https://drive.google.com/open?id=1iZZIF5e2BkfyUFnJGT3B92ar2kDNglwL</t>
  </si>
  <si>
    <t>081910516934</t>
  </si>
  <si>
    <t>https://drive.google.com/drive/folders/1qeMHbczXXxItu4qFzgGkONP6OQwnrXHl?usp=sharing</t>
  </si>
  <si>
    <t>K4516029</t>
  </si>
  <si>
    <t>https://drive.google.com/open?id=1lrU4ShOquWmqIzS5iBgCbvHXEUf9E1df</t>
  </si>
  <si>
    <t>08993552452</t>
  </si>
  <si>
    <t>https://drive.google.com/open?id=1G82mubitOC75LkF0OYYL2raNHg4eLDtC</t>
  </si>
  <si>
    <t>082145403397</t>
  </si>
  <si>
    <t>UIN SUNAN GUNUNG DJATI BANDUNG</t>
  </si>
  <si>
    <t>KABUPATEN BIMA, NUSA TENGGARA BARAT</t>
  </si>
  <si>
    <t>Mengikuti Pelatihan Seminar dan Lokakarya (Semiloka) Pendidikan Nasional Provinsi NTB dengan tema 'Strategi Mewujudkan Pendidikan Berkelas Dunia di Provinsi Nusa Tenggara Barat'</t>
  </si>
  <si>
    <t>https://drive.google.com/open?id=1fae4WmLqP1XdYuAlsYtFW5_mWBLKSA44</t>
  </si>
  <si>
    <t>085540312941</t>
  </si>
  <si>
    <t xml:space="preserve">Universitas Trunojoyo Madura </t>
  </si>
  <si>
    <t xml:space="preserve">Jepara, Jawa Tengah </t>
  </si>
  <si>
    <t>https://drive.google.com/drive/folders/1ToPxf64AlmpbPv5EB4LXPa-Ox2OwTg_V?usp=sharing</t>
  </si>
  <si>
    <t>https://drive.google.com/open?id=1-w7scFcE8qym4j-hQPmOCVhxry3kEsLd</t>
  </si>
  <si>
    <t>089627161085</t>
  </si>
  <si>
    <t>Jember, Jawa Timur</t>
  </si>
  <si>
    <t>https://drive.google.com/drive/folders/12khkzgkqTtm8ioLxgimKuN7ckMlN-Ggm</t>
  </si>
  <si>
    <t>https://drive.google.com/open?id=1btBLZWSKfK9MPITXSmTW6gOHMCx4aD-r</t>
  </si>
  <si>
    <t>Kabupaten Bima, Nusa Tenggara Barat</t>
  </si>
  <si>
    <t>https://drive.google.com/file/d/1Rh1b__zKa2ZQ_SzOjR0o3j4HYCMsynEu/view?usp=drivesdk</t>
  </si>
  <si>
    <t>https://drive.google.com/open?id=1Orzqacb8lKen18Nrq3LaKEvCREiBJ0rc</t>
  </si>
  <si>
    <t>082229822404</t>
  </si>
  <si>
    <t>Kabupaten Ngawi, Jawa Timur</t>
  </si>
  <si>
    <t>https://drive.google.com/drive/folders/1mDUGkIBhY1Wv5ag4XB8fO_0Bm-afpdlu</t>
  </si>
  <si>
    <t>X902308100</t>
  </si>
  <si>
    <t>https://drive.google.com/open?id=1JavX3mO9GfTMU-C6KqrRXGfiwjoDNqKz</t>
  </si>
  <si>
    <t>SIMPKBID 201699810752 / NUPTK 7249771672130013</t>
  </si>
  <si>
    <t>087883801612</t>
  </si>
  <si>
    <t>Universitas Islam 45 Bekasi</t>
  </si>
  <si>
    <t>Kota Bekasi, Jawa Barat</t>
  </si>
  <si>
    <t>https://drive.google.com/file/d/1QpeKV6N66-DavRPQAc3vY6xsCgrW2E4B/view?usp=sharing</t>
  </si>
  <si>
    <t>https://drive.google.com/open?id=1-qpeRkS0Q-TPeZcROOw6NtIbIoUD1a0B</t>
  </si>
  <si>
    <t>087734403308</t>
  </si>
  <si>
    <t xml:space="preserve">Kabupaten Ogan Komering Ilir, Sumatera Selatan </t>
  </si>
  <si>
    <t>https://drive.google.com/drive/folders/1N2jay7_7fD6CXuUJXVyquYkJ893pc3oG?usp=sharing</t>
  </si>
  <si>
    <t>https://drive.google.com/open?id=1df6urVhm4uFc1l_rndZHRqK7hzVxKsai</t>
  </si>
  <si>
    <t>087830891937</t>
  </si>
  <si>
    <t>Kota Tegal, Jawa Tengah</t>
  </si>
  <si>
    <t>https://drive.google.com/open?id=15nBEECaPsPF7RGV7lfrtYc6ezQYG9vZ1</t>
  </si>
  <si>
    <t>082167852214</t>
  </si>
  <si>
    <t>Kota Padangsidimpuan, Sumatera Utara</t>
  </si>
  <si>
    <t>https://drive.google.com/file/d/1h8qOTCelbwxtVvhCSeGdIZbKFlPC9Dh5/view?usp=drive_link</t>
  </si>
  <si>
    <t>https://drive.google.com/open?id=1y1yaJwBBFrz2NGUrkwC_hsCp89B64vEP</t>
  </si>
  <si>
    <t>085216481820</t>
  </si>
  <si>
    <t>https://drive.google.com/drive/folders/1IKDXa-KVd8FNR0pkQjvYi7FSMJeSDV_I</t>
  </si>
  <si>
    <t>X9023083789</t>
  </si>
  <si>
    <t>K7116200</t>
  </si>
  <si>
    <t>S1 PGSD FKIP UNS</t>
  </si>
  <si>
    <t>https://drive.google.com/open?id=1dpbml_nZxhR3E34nBD3P7nFXK_L6iFI_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</si>
</sst>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dddd, d mmmm yyyy"/>
    <numFmt numFmtId="166" formatCode="d-m"/>
  </numFmts>
  <fonts count="2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  <name val="Roboto"/>
    </font>
    <font>
      <u/>
      <color rgb="FF0000FF"/>
    </font>
    <font>
      <u/>
      <color rgb="FF0000FF"/>
      <name val="Roboto"/>
    </font>
    <font>
      <u/>
      <color rgb="FF0000FF"/>
    </font>
    <font>
      <u/>
      <color rgb="FF0000FF"/>
    </font>
    <font>
      <b/>
      <color rgb="FF000000"/>
      <name val="Arial"/>
      <scheme val="minor"/>
    </font>
    <font>
      <u/>
      <color rgb="FF0000FF"/>
    </font>
    <font>
      <u/>
      <color rgb="FF0000FF"/>
    </font>
    <font>
      <u/>
      <color rgb="FF434343"/>
      <name val="Roboto"/>
    </font>
    <font>
      <u/>
      <color rgb="FF0000FF"/>
    </font>
    <font>
      <u/>
      <color rgb="FF0000FF"/>
    </font>
    <font>
      <color rgb="FF000000"/>
      <name val="Roboto"/>
    </font>
    <font>
      <b/>
      <sz val="12.0"/>
      <color rgb="FF000000"/>
      <name val="Roboto"/>
    </font>
    <font>
      <u/>
      <color rgb="FF000000"/>
      <name val="Roboto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4DD0E1"/>
        <bgColor rgb="FF4DD0E1"/>
      </patternFill>
    </fill>
    <fill>
      <patternFill patternType="solid">
        <fgColor rgb="FFD9E7FD"/>
        <bgColor rgb="FFD9E7FD"/>
      </patternFill>
    </fill>
    <fill>
      <patternFill patternType="solid">
        <fgColor rgb="FF00FF00"/>
        <bgColor rgb="FF00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1" fillId="0" fontId="2" numFmtId="164" xfId="0" applyBorder="1" applyFont="1" applyNumberFormat="1"/>
    <xf borderId="1" fillId="0" fontId="2" numFmtId="0" xfId="0" applyBorder="1" applyFont="1"/>
    <xf borderId="0" fillId="0" fontId="2" numFmtId="0" xfId="0" applyAlignment="1" applyFont="1">
      <alignment horizontal="left" readingOrder="0" shrinkToFit="0" vertical="center" wrapText="0"/>
    </xf>
    <xf borderId="1" fillId="0" fontId="2" numFmtId="14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  <xf borderId="0" fillId="0" fontId="2" numFmtId="0" xfId="0" applyFont="1"/>
    <xf borderId="0" fillId="0" fontId="2" numFmtId="0" xfId="0" applyAlignment="1" applyFont="1">
      <alignment readingOrder="0"/>
    </xf>
    <xf borderId="1" fillId="0" fontId="3" numFmtId="0" xfId="0" applyBorder="1" applyFont="1"/>
    <xf borderId="0" fillId="0" fontId="2" numFmtId="14" xfId="0" applyFont="1" applyNumberFormat="1"/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4" numFmtId="0" xfId="0" applyFont="1"/>
    <xf borderId="0" fillId="2" fontId="2" numFmtId="0" xfId="0" applyAlignment="1" applyFill="1" applyFont="1">
      <alignment readingOrder="0"/>
    </xf>
    <xf borderId="1" fillId="2" fontId="2" numFmtId="0" xfId="0" applyAlignment="1" applyBorder="1" applyFill="1" applyFont="1">
      <alignment readingOrder="0"/>
    </xf>
    <xf borderId="0" fillId="2" fontId="2" numFmtId="0" xfId="0" applyAlignment="1" applyFill="1" applyFont="1">
      <alignment readingOrder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quotePrefix="1" borderId="0" fillId="0" fontId="2" numFmtId="0" xfId="0" applyAlignment="1" applyFont="1">
      <alignment readingOrder="0" shrinkToFit="0" vertical="center" wrapText="0"/>
    </xf>
    <xf borderId="0" fillId="0" fontId="2" numFmtId="14" xfId="0" applyAlignment="1" applyFont="1" applyNumberFormat="1">
      <alignment readingOrder="0" shrinkToFit="0" vertical="center" wrapText="0"/>
    </xf>
    <xf borderId="0" fillId="3" fontId="2" numFmtId="0" xfId="0" applyAlignment="1" applyFill="1" applyFont="1">
      <alignment readingOrder="0"/>
    </xf>
    <xf borderId="1" fillId="3" fontId="2" numFmtId="0" xfId="0" applyAlignment="1" applyBorder="1" applyFill="1" applyFont="1">
      <alignment readingOrder="0"/>
    </xf>
    <xf borderId="0" fillId="3" fontId="2" numFmtId="0" xfId="0" applyAlignment="1" applyFill="1" applyFont="1">
      <alignment readingOrder="0"/>
    </xf>
    <xf borderId="0" fillId="0" fontId="5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quotePrefix="1" borderId="0" fillId="0" fontId="2" numFmtId="0" xfId="0" applyAlignment="1" applyFont="1">
      <alignment readingOrder="0" shrinkToFit="0" vertical="center" wrapText="0"/>
    </xf>
    <xf borderId="0" fillId="0" fontId="2" numFmtId="14" xfId="0" applyAlignment="1" applyFont="1" applyNumberFormat="1">
      <alignment readingOrder="0" shrinkToFit="0" vertical="center" wrapText="0"/>
    </xf>
    <xf borderId="1" fillId="0" fontId="6" numFmtId="0" xfId="0" applyAlignment="1" applyBorder="1" applyFont="1">
      <alignment readingOrder="0"/>
    </xf>
    <xf borderId="0" fillId="0" fontId="7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4" xfId="0" applyAlignment="1" applyFont="1" applyNumberFormat="1">
      <alignment readingOrder="0"/>
    </xf>
    <xf borderId="0" fillId="0" fontId="8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1" numFmtId="0" xfId="0" applyAlignment="1" applyFont="1">
      <alignment vertical="center"/>
    </xf>
    <xf borderId="0" fillId="0" fontId="1" numFmtId="0" xfId="0" applyFont="1"/>
    <xf borderId="0" fillId="0" fontId="10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4" fontId="2" numFmtId="0" xfId="0" applyBorder="1" applyFill="1" applyFont="1"/>
    <xf borderId="1" fillId="4" fontId="2" numFmtId="0" xfId="0" applyAlignment="1" applyBorder="1" applyFill="1" applyFont="1">
      <alignment horizontal="left"/>
    </xf>
    <xf borderId="1" fillId="4" fontId="2" numFmtId="0" xfId="0" applyAlignment="1" applyBorder="1" applyFill="1" applyFont="1">
      <alignment readingOrder="0"/>
    </xf>
    <xf borderId="0" fillId="4" fontId="2" numFmtId="0" xfId="0" applyAlignment="1" applyFill="1" applyFont="1">
      <alignment readingOrder="0"/>
    </xf>
    <xf borderId="1" fillId="3" fontId="2" numFmtId="0" xfId="0" applyBorder="1" applyFill="1" applyFont="1"/>
    <xf borderId="1" fillId="3" fontId="2" numFmtId="0" xfId="0" applyAlignment="1" applyBorder="1" applyFill="1" applyFont="1">
      <alignment horizontal="left"/>
    </xf>
    <xf borderId="0" fillId="3" fontId="2" numFmtId="0" xfId="0" applyFill="1" applyFont="1"/>
    <xf borderId="1" fillId="2" fontId="2" numFmtId="0" xfId="0" applyBorder="1" applyFill="1" applyFont="1"/>
    <xf borderId="1" fillId="2" fontId="2" numFmtId="14" xfId="0" applyBorder="1" applyFill="1" applyFont="1" applyNumberFormat="1"/>
    <xf borderId="1" fillId="2" fontId="2" numFmtId="0" xfId="0" applyAlignment="1" applyBorder="1" applyFill="1" applyFont="1">
      <alignment horizontal="left"/>
    </xf>
    <xf borderId="1" fillId="2" fontId="11" numFmtId="0" xfId="0" applyBorder="1" applyFill="1" applyFont="1"/>
    <xf borderId="1" fillId="3" fontId="2" numFmtId="14" xfId="0" applyBorder="1" applyFill="1" applyFont="1" applyNumberFormat="1"/>
    <xf borderId="1" fillId="3" fontId="12" numFmtId="0" xfId="0" applyBorder="1" applyFill="1" applyFont="1"/>
    <xf borderId="0" fillId="0" fontId="2" numFmtId="0" xfId="0" applyAlignment="1" applyFont="1">
      <alignment horizontal="left"/>
    </xf>
    <xf borderId="0" fillId="0" fontId="13" numFmtId="0" xfId="0" applyAlignment="1" applyFont="1">
      <alignment readingOrder="0" shrinkToFit="0" vertical="center" wrapText="0"/>
    </xf>
    <xf borderId="0" fillId="0" fontId="2" numFmtId="164" xfId="0" applyFont="1" applyNumberFormat="1"/>
    <xf borderId="0" fillId="0" fontId="2" numFmtId="0" xfId="0" applyFont="1"/>
    <xf borderId="1" fillId="4" fontId="2" numFmtId="0" xfId="0" applyAlignment="1" applyBorder="1" applyFill="1" applyFont="1">
      <alignment horizontal="center" readingOrder="0" vertical="center"/>
    </xf>
    <xf borderId="1" fillId="4" fontId="1" numFmtId="0" xfId="0" applyAlignment="1" applyBorder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 vertical="center"/>
    </xf>
    <xf borderId="1" fillId="3" fontId="2" numFmtId="165" xfId="0" applyAlignment="1" applyBorder="1" applyFill="1" applyFont="1" applyNumberFormat="1">
      <alignment readingOrder="0"/>
    </xf>
    <xf borderId="1" fillId="3" fontId="2" numFmtId="165" xfId="0" applyAlignment="1" applyBorder="1" applyFill="1" applyFont="1" applyNumberForma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1" fillId="3" fontId="14" numFmtId="0" xfId="0" applyAlignment="1" applyBorder="1" applyFill="1" applyFont="1">
      <alignment horizontal="center" readingOrder="0"/>
    </xf>
    <xf borderId="0" fillId="0" fontId="2" numFmtId="166" xfId="0" applyAlignment="1" applyFont="1" applyNumberFormat="1">
      <alignment readingOrder="0"/>
    </xf>
    <xf borderId="1" fillId="2" fontId="2" numFmtId="0" xfId="0" applyAlignment="1" applyBorder="1" applyFill="1" applyFont="1">
      <alignment horizontal="center" readingOrder="0" vertical="center"/>
    </xf>
    <xf borderId="1" fillId="2" fontId="2" numFmtId="165" xfId="0" applyAlignment="1" applyBorder="1" applyFill="1" applyFont="1" applyNumberFormat="1">
      <alignment readingOrder="0"/>
    </xf>
    <xf borderId="1" fillId="2" fontId="2" numFmtId="165" xfId="0" applyAlignment="1" applyBorder="1" applyFill="1" applyFont="1" applyNumberForma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1" fillId="2" fontId="15" numFmtId="0" xfId="0" applyAlignment="1" applyBorder="1" applyFill="1" applyFont="1">
      <alignment horizontal="center" readingOrder="0"/>
    </xf>
    <xf borderId="0" fillId="0" fontId="2" numFmtId="164" xfId="0" applyFont="1" applyNumberFormat="1"/>
    <xf borderId="0" fillId="0" fontId="2" numFmtId="1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2" fontId="2" numFmtId="0" xfId="0" applyAlignment="1" applyFill="1" applyFont="1">
      <alignment horizontal="center" readingOrder="0" vertical="center"/>
    </xf>
    <xf borderId="0" fillId="2" fontId="2" numFmtId="0" xfId="0" applyFill="1" applyFont="1"/>
    <xf borderId="0" fillId="2" fontId="2" numFmtId="0" xfId="0" applyAlignment="1" applyFill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2" fillId="5" fontId="16" numFmtId="0" xfId="0" applyAlignment="1" applyBorder="1" applyFill="1" applyFont="1">
      <alignment readingOrder="0" shrinkToFit="0" wrapText="0"/>
    </xf>
    <xf borderId="2" fillId="0" fontId="16" numFmtId="0" xfId="0" applyAlignment="1" applyBorder="1" applyFont="1">
      <alignment readingOrder="0" shrinkToFit="0" wrapText="0"/>
    </xf>
    <xf borderId="2" fillId="0" fontId="16" numFmtId="0" xfId="0" applyAlignment="1" applyBorder="1" applyFont="1">
      <alignment shrinkToFit="0" wrapText="0"/>
    </xf>
    <xf borderId="0" fillId="0" fontId="17" numFmtId="0" xfId="0" applyAlignment="1" applyFont="1">
      <alignment horizontal="center" readingOrder="0" shrinkToFit="0" wrapText="0"/>
    </xf>
    <xf borderId="0" fillId="0" fontId="16" numFmtId="0" xfId="0" applyAlignment="1" applyFont="1">
      <alignment readingOrder="0" shrinkToFit="0" vertical="bottom" wrapText="0"/>
    </xf>
    <xf quotePrefix="1" borderId="0" fillId="0" fontId="16" numFmtId="0" xfId="0" applyAlignment="1" applyFont="1">
      <alignment readingOrder="0" shrinkToFit="0" vertical="bottom" wrapText="0"/>
    </xf>
    <xf borderId="0" fillId="6" fontId="16" numFmtId="0" xfId="0" applyAlignment="1" applyFill="1" applyFont="1">
      <alignment readingOrder="0" shrinkToFit="0" vertical="bottom" wrapText="0"/>
    </xf>
    <xf borderId="0" fillId="0" fontId="18" numFmtId="0" xfId="0" applyAlignment="1" applyFont="1">
      <alignment readingOrder="0" shrinkToFit="0" vertical="bottom" wrapText="0"/>
    </xf>
    <xf borderId="0" fillId="0" fontId="19" numFmtId="0" xfId="0" applyAlignment="1" applyFont="1">
      <alignment shrinkToFit="0" vertical="bottom" wrapText="0"/>
    </xf>
    <xf borderId="0" fillId="0" fontId="19" numFmtId="0" xfId="0" applyAlignment="1" applyFont="1">
      <alignment readingOrder="0" shrinkToFit="0" vertical="bottom" wrapText="0"/>
    </xf>
    <xf borderId="0" fillId="0" fontId="19" numFmtId="0" xfId="0" applyAlignment="1" applyFont="1">
      <alignment shrinkToFit="0" vertical="bottom" wrapText="0"/>
    </xf>
    <xf borderId="0" fillId="6" fontId="2" numFmtId="0" xfId="0" applyAlignment="1" applyFill="1" applyFont="1">
      <alignment readingOrder="0"/>
    </xf>
    <xf quotePrefix="1" borderId="0" fillId="3" fontId="2" numFmtId="0" xfId="0" applyAlignment="1" applyFill="1" applyFont="1">
      <alignment readingOrder="0"/>
    </xf>
    <xf quotePrefix="1"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horizontal="center" readingOrder="0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4">
    <tableStyle count="2" pivot="0" name="Pivot Table 5-style">
      <tableStyleElement dxfId="2" type="firstRowStripe"/>
      <tableStyleElement dxfId="3" type="secondRowStripe"/>
    </tableStyle>
    <tableStyle count="3" pivot="0" name="Admin Tahap 2-style">
      <tableStyleElement dxfId="1" type="headerRow"/>
      <tableStyleElement dxfId="3" type="firstRowStripe"/>
      <tableStyleElement dxfId="4" type="secondRowStripe"/>
    </tableStyle>
    <tableStyle count="4" pivot="0" name="Form Responses 1-style">
      <tableStyleElement dxfId="5" type="headerRow"/>
      <tableStyleElement dxfId="3" type="firstRowStripe"/>
      <tableStyleElement dxfId="2" type="secondRowStripe"/>
      <tableStyleElement dxfId="6" size="0" type="wholeTable"/>
    </tableStyle>
    <tableStyle count="3" pivot="0" name="Pivot Table 6-style">
      <tableStyleElement dxfId="7" type="headerRow"/>
      <tableStyleElement dxfId="3" type="firstRowStripe"/>
      <tableStyleElement dxfId="8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pivotCacheDefinition" Target="pivotCache/pivotCacheDefinition1.xml"/><Relationship Id="rId22" Type="http://schemas.openxmlformats.org/officeDocument/2006/relationships/pivotCacheDefinition" Target="pivotCache/pivotCacheDefinition3.xml"/><Relationship Id="rId21" Type="http://schemas.openxmlformats.org/officeDocument/2006/relationships/pivotCacheDefinition" Target="pivotCache/pivotCacheDefinition2.xml"/><Relationship Id="rId23" Type="http://schemas.openxmlformats.org/officeDocument/2006/relationships/pivotCacheDefinition" Target="pivotCache/pivotCacheDefinition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Y90" sheet="Form Responses 1"/>
  </cacheSource>
  <cacheFields>
    <cacheField name="Timestamp" numFmtId="164">
      <sharedItems containsSemiMixedTypes="0" containsDate="1" containsString="0">
        <d v="2026-07-28T22:08:22Z"/>
        <d v="2026-07-26T14:45:03Z"/>
        <d v="2026-07-26T14:46:08Z"/>
        <d v="2026-07-27T22:43:40Z"/>
        <d v="2026-07-26T15:00:13Z"/>
        <d v="2026-07-26T17:28:08Z"/>
        <d v="2026-07-28T08:31:26Z"/>
        <d v="2026-07-26T20:42:03Z"/>
        <d v="2026-07-30T20:51:26Z"/>
        <d v="2026-07-26T23:13:42Z"/>
        <d v="2026-07-27T01:14:28Z"/>
        <d v="2026-07-27T01:41:50Z"/>
        <d v="2026-07-27T07:28:13Z"/>
        <d v="2026-07-29T09:40:32Z"/>
        <d v="2026-07-28T15:12:03Z"/>
        <d v="2026-07-28T17:46:06Z"/>
        <d v="2026-07-27T19:07:15Z"/>
        <d v="2026-07-27T21:15:47Z"/>
        <d v="2026-07-27T21:35:43Z"/>
        <d v="2026-07-27T22:46:08Z"/>
        <d v="2026-07-28T03:51:58Z"/>
        <d v="2026-07-28T08:48:36Z"/>
        <d v="2026-07-28T10:31:28Z"/>
        <d v="2026-07-28T12:51:13Z"/>
        <d v="2026-07-28T12:54:11Z"/>
        <d v="2026-07-28T13:09:59Z"/>
        <d v="2026-07-28T13:35:08Z"/>
        <d v="2026-07-28T14:36:23Z"/>
        <d v="2026-07-28T17:45:03Z"/>
        <d v="2026-07-28T18:11:21Z"/>
        <d v="2026-07-28T20:16:06Z"/>
        <d v="2026-07-28T20:21:43Z"/>
        <d v="2026-07-28T20:34:12Z"/>
        <d v="2026-07-28T20:51:50Z"/>
        <d v="2026-07-28T20:59:43Z"/>
        <d v="2026-07-28T21:08:29Z"/>
        <d v="2026-07-28T21:17:09Z"/>
        <d v="2026-07-28T21:16:05Z"/>
        <d v="2026-07-28T21:22:41Z"/>
        <d v="2026-07-28T21:51:15Z"/>
        <d v="2026-07-28T21:52:03Z"/>
        <d v="2026-07-28T22:06:51Z"/>
        <d v="2026-07-28T22:09:38Z"/>
        <d v="2026-07-29T16:48:55Z"/>
        <d v="2026-07-28T22:38:25Z"/>
        <d v="2026-07-28T22:45:13Z"/>
        <d v="2026-07-28T22:46:31Z"/>
        <d v="2026-07-28T23:35:56Z"/>
        <d v="2026-07-29T06:53:59Z"/>
        <d v="2026-07-28T23:47:02Z"/>
        <d v="2026-07-28T23:54:41Z"/>
        <d v="2026-07-29T08:17:53Z"/>
        <d v="2026-07-29T09:06:36Z"/>
        <d v="2026-07-29T09:56:08Z"/>
        <d v="2026-07-29T10:10:45Z"/>
        <d v="2026-07-29T14:11:36Z"/>
        <d v="2026-07-29T14:48:54Z"/>
        <d v="2026-07-29T15:10:24Z"/>
        <d v="2026-07-29T18:02:47Z"/>
        <d v="2026-07-29T18:40:36Z"/>
        <d v="2026-07-29T18:42:15Z"/>
        <d v="2026-07-29T19:08:03Z"/>
        <d v="2026-07-29T19:30:05Z"/>
        <d v="2026-07-29T19:45:38Z"/>
        <d v="2026-07-29T19:46:33Z"/>
        <d v="2026-07-29T22:45:42Z"/>
        <d v="2026-07-29T20:52:06Z"/>
        <d v="2026-07-29T21:19:54Z"/>
        <d v="2026-07-29T22:37:10Z"/>
        <d v="2026-07-29T22:03:13Z"/>
        <d v="2026-07-29T22:32:11Z"/>
        <d v="2026-07-29T22:58:30Z"/>
        <d v="2026-07-29T22:58:36Z"/>
        <d v="2026-07-29T22:59:57Z"/>
        <d v="2026-07-30T21:28:11Z"/>
        <d v="2026-07-29T23:39:38Z"/>
        <d v="2026-07-29T23:42:45Z"/>
        <d v="2026-07-30T09:05:50Z"/>
        <d v="2026-07-30T09:07:38Z"/>
        <d v="2026-07-30T09:22:14Z"/>
        <d v="2026-07-30T09:31:23Z"/>
        <d v="2026-07-30T13:59:41Z"/>
        <d v="2026-07-30T17:17:14Z"/>
        <d v="2026-07-30T18:41:27Z"/>
        <d v="2026-07-30T20:03:43Z"/>
        <d v="2026-07-30T20:24:54Z"/>
        <d v="2026-07-30T22:52:01Z"/>
        <d v="2026-07-30T23:04:49Z"/>
        <d v="2026-07-30T23:29:21Z"/>
      </sharedItems>
    </cacheField>
    <cacheField name="Email Address" numFmtId="0">
      <sharedItems>
        <s v="rrizkhyadhi21@gmail.com"/>
        <s v="puspitadianaarumawati@gmail.com"/>
        <s v="hanafifuad33@gmail.com"/>
        <s v="nalapawitri81@gmail.com"/>
        <s v="zahraarqam@gmail.com"/>
        <s v="ppg.syahnadinnuridha91@program.belajar.id"/>
        <s v="syiadwi13@gmail.com"/>
        <s v="intaniaeka@gmail.com"/>
        <s v="harnianisiti01.sa@gmail.com"/>
        <s v="adibirhamali@gmail.com"/>
        <s v="fitrinurhayani23@gmail.com"/>
        <s v="asmildanurrahmawati@gmail.com"/>
        <s v="thaariqholland@student.uns.ac.id"/>
        <s v="parifunm@gmail.com"/>
        <s v="nuningwijayanti248@gmail.com"/>
        <s v="ayum9003@gmail.com"/>
        <s v="whhanatthahiraha8@gmail.com"/>
        <s v="azizahfajriatul@gmail.com"/>
        <s v="afrilianto@student.uns.ac.id"/>
        <s v="ppg.lailamuniroh92@program.belajar.id"/>
        <s v="ppg.imronkamaludin02@program.belajar.id"/>
        <s v="rizqi.nurfitriani@student.uns.ac.id"/>
        <s v="nilasafitri3@gmail.com"/>
        <s v="firdaauliashalihah@gmail.com"/>
        <s v="nur116775@gmail.com"/>
        <s v="imamsetiawan101010@gmail.com"/>
        <s v="mustofanuril71@gmail.com"/>
        <s v="allikafh12@gmail.com"/>
        <s v="mroyyan2001@gmail.com"/>
        <s v="rosliana.1113@guru.smp.belajar.id"/>
        <s v="susiir1009@gmail.com"/>
        <s v="sartikasarti161@gmail.com"/>
        <s v="fitawardani1301@gmail.com"/>
        <s v="ppg.adityahasan00828@program.belajar.id"/>
        <s v="tiwikhapsari55@gmail.com"/>
        <s v="peserta.06995@ppg.belajar.id"/>
        <s v="chabibahnur7@gmail.com"/>
        <s v="ppg.sucityas99428@program.belajar.id"/>
        <s v="senosetiyawan23@gmail.com"/>
        <s v="yonekaoca16@gmail.com"/>
        <s v="atnidwihasmarayekti@gmail.com"/>
        <s v="mochadibirhamali@gmail.com"/>
        <s v="candraadi2410@gmail.com"/>
        <s v="peserta.00416@ppg.belajar.id"/>
        <s v="triantini98@gmail.com"/>
        <s v="peserta.08733@ppg.belajar.id"/>
        <s v="nurulkhoiriyah441@gmail.com"/>
        <s v="aliefmufirsa@gmail.com"/>
        <s v="sholawatmania61@gmail.com"/>
        <s v="abianaelfarabi@student.uns.ac.id"/>
        <s v="mudawamatul_khasanah@student.uns.ac.id"/>
        <s v="sriwulandari20010328@gmail.com"/>
        <s v="devyrizki64@gmail.com"/>
        <s v="utaranugraha@gmail.com"/>
        <s v="sisnamarv@gmail.com"/>
        <s v="aderahmadhardani@gmail.com"/>
        <s v="alinajich29@gmail.com"/>
        <s v="rudyazizseptyawan@gmail.com"/>
        <s v="rakakumara@gmail.com"/>
        <s v="ppg.fikrikamal01@program.belajar.id"/>
        <s v="bektiajiw46@gmail.com"/>
        <s v="fadlilahppg@gmail.com"/>
        <s v="wahyu.rvp007@gmail.com"/>
        <s v="muhidbayyan5@gmail.com"/>
        <s v="poncopras15@gmail.com"/>
        <s v="ppg.khoiruddinnugroho92@program.belajar.id"/>
        <s v="adambhrdn24@gmail.com"/>
        <s v="hendraramadhan31121997@gmail.com"/>
        <s v="wismpm99@gmail.com"/>
        <s v="bastianwijayanto78@gmail.com"/>
        <s v="diyanaratnasari190102@gmail.com"/>
        <s v="ppg.mochamadmisbakhudin58@program.belajar.id"/>
        <s v="marsyandaalfina@gmail.com"/>
        <s v="silmikrn@gmail.com"/>
        <s v="hwinggar@gmail.com"/>
        <s v="mukhlisanggraini34@guru.sd.belajar.id"/>
        <s v="dhiarrafiibintang@gmail.com"/>
        <s v="puspaindah164@gmail.com"/>
        <s v="devianti098@gmail.com"/>
        <s v="ennymaharani010601@gmail.com"/>
        <s v="shabrina.hanani@gmail.com"/>
        <s v="alfiatysaid1008@gmail.com"/>
        <s v="waodesaputry2404@gmail.com"/>
        <s v="fatchurrrahman14@gmail.com"/>
        <s v="sarnisiyauta01@gmail.com"/>
        <s v="kimisbat@gmail.com"/>
        <s v="samshifar9@gmail.com"/>
        <s v="ppg.usmanprabowo00628@program.belajar.id"/>
        <s v="dionikhwan357@gmail.com"/>
      </sharedItems>
    </cacheField>
    <cacheField name="Nama Lengkap (disertai gelar)" numFmtId="0">
      <sharedItems>
        <s v="Rizky Adi Nugroho S.Pd.,Gr."/>
        <s v="Puspita Diana Arumawati, M.Pd., Gr."/>
        <s v="Fuad Hanafi, S.Pd., Gr. "/>
        <s v="Nala Pawitri Andanawarih, S.Pd.,Gr"/>
        <s v="Sitti Zahra Riarana Arqam, S.Pd.Gr"/>
        <s v="SYAHNADIN NURIDHA, S. Pd., Gr"/>
        <s v="Syifa Dwi Novita, S.Pd., Gr."/>
        <s v="Intania Eka Yanti, S.Kom., Gr."/>
        <s v="Siti Harniani, S. Pd"/>
        <s v="Moch. Adib Irham Ali"/>
        <s v="Fitri Nurhayani, S.Pd"/>
        <s v="Asmilda Nur Rahmawati S. Pd., Gr. "/>
        <s v="Muhammad Ath Thaariq Aziizi, S.Pd, Gr."/>
        <s v="Parif, S.Pd., Gr."/>
        <s v="Nuning Wijayanti, S.Pd., Gr."/>
        <s v="Mita Ayu Wulandari. S.Pd."/>
        <s v="WH. HANAT THAHIRAH A., S.Pd, Gr."/>
        <s v="Fajriatul 'Azizah"/>
        <s v="Afri Lianto, S.Pd., Gr."/>
        <s v="Laila Magfirul Muniroh, S.Pd,. Gr"/>
        <s v="Imron Arya Kamaludin, S.Pd., Gr."/>
        <s v="Rizqi Nur Fitriani "/>
        <s v="Nila Safitri, S.Pd., Gr."/>
        <s v="Firda Aulia Shalihah, S.Pd., Gr."/>
        <s v="Nur Awaliyah, S.Pd"/>
        <s v="Imam Setiawan, S.Pd., Gr., M.Pd."/>
        <s v="NURIL MUSTOFA, S.E., Gr."/>
        <s v="Allika Fadiyah Hasna, S.Pd., Gr"/>
        <s v="Muhammad Royyan, S.Pd.,Gr."/>
        <s v="Rosliana,S.Pd"/>
        <s v="Susi Susanti, S.Pd.,Gr"/>
        <s v="Sartika,S.Pd., Gr."/>
        <s v="Fita Wardani, S.Pd., Gr."/>
        <s v="Aditya Maulana Hasan, S.Pd., Gr."/>
        <s v="Nur Pratiwi Yuga Hapsari, S.Pd,.Gr"/>
        <s v="Listia Nuraini, S.Pd.,Gr"/>
        <s v="Nurchabibah, S.Pd."/>
        <s v="Suci Suryaning Tyas S.Pd,Gr"/>
        <s v="Seno setiyawan"/>
        <s v="Yoneka Noorca Erlangga, S. Pd., Gr."/>
        <s v="Atni Dwi Hasmara Yekti, S.Pd., Gr."/>
        <s v="Moch. Adib Irham Ali, S.Pd"/>
        <s v="Candra Adi Rahmat, S.Kom., Gr"/>
        <s v="Farida Sapo, S.Pd.,Gr."/>
        <s v="Triantini, S. Pd., Gr. "/>
        <s v="Resky Nur Fatimah, S.Pd.,Gr."/>
        <s v="Nurul Khoiriyah, S.Pd., Gr."/>
        <s v="Alief Mustaghfiroh Suciyani Arifin, S.Pd., Gr."/>
        <s v="Zaenudin,S.Pd.Gr."/>
        <s v="Abiana Elfarabi S.Pd., Gr"/>
        <s v="Mudawamatul Khasanah, S. Pd. G.r."/>
        <s v="Sri Wulandari, S.Hum., Gr."/>
        <s v="Devy Rizki Agustina, S.Pd.Gr."/>
        <s v="UTARA SETIA NUGRAHA, S. Pd., Gr. "/>
        <s v="Sisna Marvilia Ayuningrum, S.Pd., Gr."/>
        <s v="Ade Rahmad Hardani S.Pd.,G.r"/>
        <s v="Muhammad Ali Najich., M.Pd"/>
        <s v="Rudy Aziz Septyawan, S.Pd., Gr."/>
        <s v="RAKA KUMARA JATI"/>
        <s v="Fikri Ahmad Kamal, S.Pd., M.Pd., Gr."/>
        <s v="Bekti Aji Wibowo S.Pd., Gr."/>
        <s v="Fadlilah Nurul Fajri Handayani., S.Pd., Gr. "/>
        <s v="Wahyu Nugroho, S.Pd., Gr"/>
        <s v="Muhid Bayyan, S.Pd. "/>
        <s v="Muhammad Ponco Prasetyo, S.Pd., Gr"/>
        <s v="Khoiruddin Adi Nugroho, S.Pd."/>
        <s v="Adam Baharddudin, S.Or"/>
        <s v="Hendra Ramadhan, S.Pd., Gr"/>
        <s v="Wisma Puteri Mustika, S.Pd., Gr."/>
        <s v="Bastian Wijayanto, S.Pd., Gr."/>
        <s v="Diyana Ratna Sari, S.Pd, Gr."/>
        <s v="MOCHAMAD MISBAKHUDIN, S.Pd."/>
        <s v="Marsyanda Alfina Choirunnisa', S.Pd"/>
        <s v="SILMI KURNIA SA'ADAH, S.Pd."/>
        <s v="Winggar H, S.Pd., Gr."/>
        <s v="Mukhlis Siska Nur Anggraini, S. Pd"/>
        <s v="Dhiarrafii Bintang Matahari, M.Pd., Gr."/>
        <s v="Puspa Indah Sulistyaningrum "/>
        <s v="Devianti S. Pd., Gr"/>
        <s v="Enny Maharani, S.Pd.,Gr"/>
        <s v="Shabrina, S.Pd., M.Pd., Gr."/>
        <s v="ALFIATY SAID"/>
        <s v="Wa Ode SaputryNingrat, S.Pd., Gr"/>
        <s v="FATCHUR RAHMAN S.Pd., Gr."/>
        <s v="SARNI SIYAUTA"/>
        <s v="Ach. Isbat Fauzi, S.Pd., Kons., Gr."/>
        <s v="Samsifar, S. Pd"/>
        <s v="Usman Adi Prabowo, S.Pd."/>
        <s v="Nursia. M, S.Pd., Gr"/>
      </sharedItems>
    </cacheField>
    <cacheField name="PTK ID / SIMPKB ID">
      <sharedItems containsMixedTypes="1" containsNumber="1" containsInteger="1">
        <n v="7.000247262E9"/>
        <n v="7.00008667E9"/>
        <n v="7.000266546E9"/>
        <n v="7.000088952E9"/>
        <n v="7.00216115E8"/>
        <n v="7.000141094E9"/>
        <n v="7.000012366E9"/>
        <n v="7.000230682E9"/>
        <n v="7.000227911E9"/>
        <n v="7.000202065E9"/>
        <n v="7.000094807E9"/>
        <n v="7.000127861E9"/>
        <n v="7.000287279E9"/>
        <n v="7.000193855E9"/>
        <n v="7.000180386E9"/>
        <n v="7.000115177E9"/>
        <s v="whhanatthahiraha8@gmail.com"/>
        <n v="7.000058324E9"/>
        <n v="7.000158269E9"/>
        <n v="7.000133033E9"/>
        <n v="7.00012434E9"/>
        <n v="7.000128901E9"/>
        <n v="7.000130658E9"/>
        <n v="7.000237077E9"/>
        <n v="7.000046967E9"/>
        <n v="7.000157175E9"/>
        <n v="7.000330445E9"/>
        <n v="7.000166435E9"/>
        <n v="7.000291731E9"/>
        <n v="2.02200123884E11"/>
        <n v="7.000239728E9"/>
        <n v="7.000143754E9"/>
        <n v="7.000145964E9"/>
        <n v="7.00014757E9"/>
        <n v="2.02500039736E11"/>
        <n v="7.000116289E9"/>
        <n v="7.000019417E9"/>
        <n v="7.000181406E9"/>
        <n v="7.000110408E9"/>
        <n v="7.000229318E9"/>
        <n v="7.00015249E9"/>
        <n v="7.000305558E9"/>
        <n v="7.000242161E9"/>
        <n v="7.000053135E9"/>
        <s v="reskynurfatimah45@gmail.com"/>
        <n v="7.00012574E9"/>
        <n v="7.000166234E9"/>
        <n v="7.000043958E9"/>
        <n v="7.000112279E9"/>
        <n v="7.000060591E9"/>
        <n v="7.00027015E9"/>
        <n v="7.000024673E9"/>
        <n v="7.000211281E9"/>
        <n v="7.000286251E9"/>
        <n v="7.000270364E9"/>
        <n v="7.000016192E9"/>
        <n v="7.000198128E9"/>
        <n v="7.00026836E9"/>
        <n v="7.000142556E9"/>
        <n v="7.000243397E9"/>
        <n v="7.000154546E9"/>
        <n v="7.000190544E9"/>
        <n v="2.01698584238E11"/>
        <n v="7.000001058E9"/>
        <n v="7.00012563E9"/>
        <n v="7.000114559E9"/>
        <n v="7.000128335E9"/>
        <n v="7.000131551E9"/>
        <n v="2.0169838862E11"/>
        <n v="7.000213119E9"/>
        <n v="2.023000958E11"/>
        <n v="7.000266904E9"/>
        <n v="7.000028992E9"/>
        <n v="7.000326329E9"/>
        <s v="201501061583@guruku.id"/>
        <n v="7.000177065E9"/>
        <n v="7.000132328E9"/>
        <n v="7.000283882E9"/>
        <n v="7.000138201E9"/>
        <s v="202100103775@guruku.id"/>
        <s v="AZ 5142766667230473"/>
        <n v="2.02300182908E11"/>
        <n v="7.000306847E9"/>
        <n v="7.000288683E9"/>
        <n v="7.000194154E9"/>
        <n v="7.000129096E9"/>
        <n v="7.000201472E9"/>
        <n v="7.000196113E9"/>
      </sharedItems>
    </cacheField>
    <cacheField name="Nomor WA">
      <sharedItems containsMixedTypes="1" containsNumber="1" containsInteger="1">
        <s v="085713086642"/>
        <s v="082313256124"/>
        <s v="087836197102"/>
        <s v="089515819690"/>
        <s v="085399527002"/>
        <s v="082322016171"/>
        <s v="089608882627"/>
        <s v="089662119850"/>
        <s v="085342840408"/>
        <s v="081328698419"/>
        <s v="087719811922"/>
        <s v="08999882330"/>
        <n v="6.281357514433E12"/>
        <s v="085340567074"/>
        <s v="082323953038"/>
        <s v="085238383337"/>
        <s v="082355139889"/>
        <s v="085743571470"/>
        <s v="085740702984"/>
        <s v="082138175793"/>
        <s v="085712992243"/>
        <s v="082329681100"/>
        <s v="082324551642"/>
        <s v="0838-9183-0300"/>
        <s v="08813904359"/>
        <s v="085159559810"/>
        <s v="08996579665"/>
        <s v="0895422101144"/>
        <s v="085602502916"/>
        <s v="085395341807"/>
        <s v="085256386808"/>
        <s v="085395374324"/>
        <s v="081938900154"/>
        <s v="088809402034"/>
        <s v="081393894231"/>
        <s v="085840043140"/>
        <s v="085710424577"/>
        <s v="085725604967"/>
        <s v="085799588894"/>
        <s v="085817348167"/>
        <s v="088980051908"/>
        <s v="082286367473"/>
        <s v="085289003714"/>
        <s v="082220434981"/>
        <s v="085299366207"/>
        <s v="081393616229"/>
        <s v="085788337823"/>
        <s v="08976565808"/>
        <s v="081354992286"/>
        <s v="085729580804"/>
        <s v="087823687709"/>
        <s v="085156511988"/>
        <s v="083178920910"/>
        <s v="089604214025"/>
        <s v="088269026860"/>
        <s v="085198239824"/>
        <s v="089529796795"/>
        <s v="082113293786"/>
        <s v="089632991090"/>
        <s v="0895422032099"/>
        <s v="089664783413"/>
        <s v="085340348364"/>
        <s v="087775710810"/>
        <s v="085785333059"/>
        <s v="083838487111"/>
        <s v="082326731860"/>
        <s v="+6288221283922"/>
        <s v="085702647132"/>
        <s v="085647472150"/>
        <s v="081326793556"/>
        <s v="0895635413104"/>
        <s v="082333047987"/>
        <s v="087880657411"/>
        <s v="085343887057"/>
        <s v="085642225680"/>
        <s v="0895341077017"/>
        <s v="085648823789"/>
        <s v="082271337970"/>
        <s v="082291582572"/>
        <s v="082333952223"/>
        <s v="085216569995"/>
        <s v="081342973823"/>
        <s v="082135297868"/>
        <s v="082197933296"/>
        <s v="081330307316"/>
        <s v="085396857305"/>
        <s v="082135909910"/>
        <s v="082264140874"/>
      </sharedItems>
    </cacheField>
    <cacheField name="Tanggal Lahir" numFmtId="14">
      <sharedItems containsSemiMixedTypes="0" containsDate="1" containsString="0">
        <d v="2000-09-22T00:00:00Z"/>
        <d v="1999-03-30T00:00:00Z"/>
        <d v="2002-06-07T00:00:00Z"/>
        <d v="1998-12-25T00:00:00Z"/>
        <d v="1995-02-14T00:00:00Z"/>
        <d v="1999-01-18T00:00:00Z"/>
        <d v="1997-11-13T00:00:00Z"/>
        <d v="1999-03-14T00:00:00Z"/>
        <d v="1994-09-04T00:00:00Z"/>
        <d v="1998-04-21T00:00:00Z"/>
        <d v="1998-01-30T00:00:00Z"/>
        <d v="2000-08-18T00:00:00Z"/>
        <d v="2000-04-28T00:00:00Z"/>
        <d v="2000-10-31T00:00:00Z"/>
        <d v="2001-11-30T00:00:00Z"/>
        <d v="1995-12-28T00:00:00Z"/>
        <d v="2001-05-20T00:00:00Z"/>
        <d v="1995-01-13T00:00:00Z"/>
        <d v="1999-04-12T00:00:00Z"/>
        <d v="1999-12-26T00:00:00Z"/>
        <d v="2000-02-28T00:00:00Z"/>
        <d v="2000-03-28T00:00:00Z"/>
        <d v="1999-03-18T00:00:00Z"/>
        <d v="1998-11-25T00:00:00Z"/>
        <d v="1997-11-05T00:00:00Z"/>
        <d v="1998-10-10T00:00:00Z"/>
        <d v="2002-10-09T00:00:00Z"/>
        <d v="2001-01-02T00:00:00Z"/>
        <d v="2001-07-27T00:00:00Z"/>
        <d v="1995-10-09T00:00:00Z"/>
        <d v="2001-11-19T00:00:00Z"/>
        <d v="2000-12-10T00:00:00Z"/>
        <d v="2000-01-13T00:00:00Z"/>
        <d v="2000-08-21T00:00:00Z"/>
        <d v="1998-07-11T00:00:00Z"/>
        <d v="1999-09-29T00:00:00Z"/>
        <d v="1995-09-22T00:00:00Z"/>
        <d v="1999-04-03T00:00:00Z"/>
        <d v="1995-06-23T00:00:00Z"/>
        <d v="2001-08-16T00:00:00Z"/>
        <d v="2000-06-22T00:00:00Z"/>
        <d v="2001-10-24T00:00:00Z"/>
        <d v="2001-10-12T00:00:00Z"/>
        <d v="1998-05-10T00:00:00Z"/>
        <d v="2000-08-09T00:00:00Z"/>
        <d v="2000-12-30T00:00:00Z"/>
        <d v="1998-01-31T00:00:00Z"/>
        <d v="1994-11-25T00:00:00Z"/>
        <d v="2000-07-18T00:00:00Z"/>
        <d v="1996-07-21T00:00:00Z"/>
        <d v="2001-03-28T00:00:00Z"/>
        <d v="1998-08-29T00:00:00Z"/>
        <d v="2000-09-30T00:00:00Z"/>
        <d v="2001-03-01T00:00:00Z"/>
        <d v="1998-01-01T00:00:00Z"/>
        <d v="2000-03-29T00:00:00Z"/>
        <d v="1998-09-07T00:00:00Z"/>
        <d v="2001-02-19T00:00:00Z"/>
        <d v="2000-01-15T00:00:00Z"/>
        <d v="1998-12-15T00:00:00Z"/>
        <d v="2000-06-08T00:00:00Z"/>
        <d v="2001-01-09T00:00:00Z"/>
        <d v="1992-01-25T00:00:00Z"/>
        <d v="2000-05-22T00:00:00Z"/>
        <d v="1999-12-31T00:00:00Z"/>
        <d v="1999-05-24T00:00:00Z"/>
        <d v="1997-12-31T00:00:00Z"/>
        <d v="1999-10-03T00:00:00Z"/>
        <d v="1989-03-03T00:00:00Z"/>
        <d v="2002-01-19T00:00:00Z"/>
        <d v="1995-02-10T00:00:00Z"/>
        <d v="2001-06-01T00:00:00Z"/>
        <d v="1998-04-01T00:00:00Z"/>
        <d v="2000-03-22T00:00:00Z"/>
        <d v="1983-04-03T00:00:00Z"/>
        <d v="1999-04-17T00:00:00Z"/>
        <d v="1999-09-28T00:00:00Z"/>
        <d v="2000-07-27T00:00:00Z"/>
        <d v="1992-05-12T00:00:00Z"/>
        <d v="1988-08-10T00:00:00Z"/>
        <d v="2002-04-24T00:00:00Z"/>
        <d v="2003-11-14T00:00:00Z"/>
        <d v="2001-07-12T00:00:00Z"/>
        <d v="2001-03-19T00:00:00Z"/>
        <d v="2001-06-07T00:00:00Z"/>
        <d v="2000-06-23T00:00:00Z"/>
      </sharedItems>
    </cacheField>
    <cacheField name="Program Studi S-1/D-IV" numFmtId="0">
      <sharedItems>
        <s v="Pendidikan Jasmani"/>
        <s v="Pendidikan Biologi"/>
        <s v="Pendidikan Bahasa dan Sastra Indonesia"/>
        <s v="Pendidikan Seni Tari"/>
        <s v="Pendidikan Jasmani, Kesehatan dan Rekreasi"/>
        <s v="S1 PENDIDIKAN IPA"/>
        <s v="S1 Pendidikan Biologi"/>
        <s v="S1 Sistem Informasi "/>
        <s v="Pendidikan Matematika"/>
        <s v="Pendidikan Sejarah"/>
        <s v="Bimbingan dan konseling"/>
        <s v="S-1 Pendidikan Sejarah"/>
        <s v="Pendidikan Akuntansi"/>
        <s v="S1 Pendidikan Bahasa dan Sastra Indonesia"/>
        <s v="Pendidikan Bahasa dan Sastra Indonesia "/>
        <s v="Akuntansi"/>
        <s v="S-1"/>
        <s v="Pendidikan Fisika "/>
        <s v="Pendidikan Bahasa Jawa "/>
        <s v="S1 Tadris Bahasa Inggris"/>
        <s v="Pendidikan Biologi "/>
        <s v="Pendidikan Informatika"/>
        <s v="Tadris matematika "/>
        <s v="S-1 Pendidikan Pancasila dan Kewarganegaraan (PPKn)"/>
        <s v="Pendidikan Ekonomi"/>
        <s v="Pendidikan Teknologi Informasi"/>
        <s v="Pendidikan Geografi"/>
        <s v="S1 Pendidikan Seni Tari"/>
        <s v="Matematika"/>
        <s v="Pendidikan Kimia"/>
        <s v="Teknik Informatika"/>
        <s v="Pendidikan Bahasa Indonesia"/>
        <s v="Pendidikan Ekonomi (Akuntansi) "/>
        <s v="Tadris Matematika"/>
        <s v="Pendidikan Pancasila dan Kewarganegaraan"/>
        <s v="Pendidikan kepelatihan olahraga "/>
        <s v="S-1 Pendidikan Ilmu Pengetahuan Alam"/>
        <s v="Pendidikan Pancasila dan Kewarganegaraan "/>
        <s v="Sejarah Peradaban Islam "/>
        <s v="S-1 Pendidikan Biologi"/>
        <s v="Pendidikan Jasmani Dan Kesehatan "/>
        <s v="Bimbingan dan Konseling Islam"/>
        <s v="Pendidikan Teknik Informatika dan Komputer"/>
        <s v="S1-Tadris IPA &amp; S2-Pendidikan IPA"/>
        <s v="PENDIDIKAN OLAHRAGA"/>
        <s v="S1-Pendidikan Sejarah"/>
        <s v="Pendidikan Matematika "/>
        <s v="S1- ILMU KEOLAHRAGAAN"/>
        <s v="S-1 Pendidikan IPA"/>
        <s v="Pendidikan IPA"/>
        <s v="PPKn"/>
        <s v="Pendidikan jasmani kesahatan dan Rekreasi"/>
        <s v="S1 Pendidikan Sains"/>
        <s v="PENDIDIKAN JASMANI KESEHATAN DAN REKREASI "/>
        <s v="S1 PGSD"/>
        <s v="Pendidikan Ilmu Pengetahuan Alam"/>
        <s v="Pendidikan Fisika"/>
        <s v="PENDIDIKAN BAHASA INGGRIS"/>
        <s v="BIMBINGAN KONSELING ISLAM"/>
        <s v="S1 Bimbingan dan Konseling"/>
        <s v="S-1 Pendidikan Jasmani Sekolah Dasar"/>
      </sharedItems>
    </cacheField>
    <cacheField name="Asal Universitas S-1/D-IV" numFmtId="0">
      <sharedItems>
        <s v="UNIVERSITAS TUNAS PEMBANGUNAN SURAKARTA "/>
        <s v="Universitas Negeri Semarang"/>
        <s v="Universitas Muhammadiyah Surakarta"/>
        <s v="Universitas Halu Oleo"/>
        <s v="Universitas Muhammadiyah Purwokerto"/>
        <s v="Universitas Telkom"/>
        <s v="Universitas Dayanu Ikhsanuddin"/>
        <s v="Universitas Sebelas Maret "/>
        <s v="UNS"/>
        <s v="Universitas Sebelas Maret"/>
        <s v="Universitas Negeri Makassar"/>
        <s v="Universitas Tidar"/>
        <s v="Universitas Muhammadiyah Magelang"/>
        <s v="Universitas Negeri Yogyakarta"/>
        <s v="Universitas Jember"/>
        <s v="Universitas Islam Negeri Salatiga"/>
        <s v="UMS"/>
        <s v="STKIP NU INDRAMAYU"/>
        <s v="Universitas Ivet Semarang"/>
        <s v="Universitas Islam Negeri Alauddin Makassar"/>
        <s v="Institut Agama Islam Negeri (IAIN) Kendari"/>
        <s v="Universitas Slamet Riyadi Surakarta"/>
        <s v="Universitas Teknologi Yogyakarta"/>
        <s v="Universitas Islam Indonesia"/>
        <s v="Universitas Dinamika Bangsa"/>
        <s v="Universitas Sembilanbelas November Kolaka"/>
        <s v="Institut Agama Islam Negeri Kendari"/>
        <s v="Universitas Terbuka"/>
        <s v="Universitas Negeri Malang"/>
        <s v="Universitas Islam Negeri Sunan Ampel Surabaya "/>
        <s v="Universitas Islam Negeri Walisongo"/>
        <s v="Universitas Muhammadiyah Metro"/>
        <s v="Universitas Sriwijaya "/>
        <s v="Universitas Islam Negeri Sunan Ampel Surabaya"/>
        <s v="UIN Salatiga &amp; Universitas Negeri Semarang"/>
        <s v="Universitas Muhammadiyah Surakarta "/>
        <s v="Universitas Sebelas Maret (UNS)"/>
        <s v="universitas Riau"/>
        <s v="INSTITUT AGAMA ISLAM NEGERI TULUNGAGUNG"/>
        <s v="Universitas Negeri Surabaya"/>
        <s v="Universitas Negeri Makassar "/>
        <s v="Universitas PGRI Madiun"/>
        <s v="IAIN AMBON"/>
        <s v="STKIP PGRI Sumenep"/>
        <s v="S-1 Universitas Negeri Yogyakarta"/>
        <s v="Universitas Halu Oleo "/>
      </sharedItems>
    </cacheField>
    <cacheField name="Bidang Studi PPG (sesuai yg tertulis di Serdik)" numFmtId="0">
      <sharedItems>
        <s v="Pendidikan Jasmani, Olahraga, dan Kesehatan (PJOK)"/>
        <s v="Biologi"/>
        <s v="Bahasa Indonesia"/>
        <s v="Seni Budaya"/>
        <s v="Ilmu Pengetahuan Alam (IPA)"/>
        <s v="Informatika"/>
        <s v="Matematika"/>
        <s v="Sejarah"/>
        <s v="Bimbingan dan Konseling"/>
        <s v="Akuntansi dan Keuangan"/>
        <s v="Pendidikan Guru Sekolah Dasar (PGSD)"/>
        <s v="Bahasa Jawa"/>
        <s v="Bahasa Inggris"/>
        <s v="Pendidikan Pancasila dan Kewarganegaraan (PKn)"/>
        <s v="Ekonomi"/>
        <s v="Geografi"/>
        <s v="Fisika"/>
        <s v="Kimia"/>
      </sharedItems>
    </cacheField>
    <cacheField name="Angkatan PPG" numFmtId="0">
      <sharedItems>
        <s v="PPG Calon Guru Gelombang 2 Tahun 2024"/>
        <s v="PPG Prajabatan Gelombang 2 Tahun 2022"/>
        <s v="PPG Prajabatan Gelombang 1 Tahun 2024"/>
        <s v="PPG Prajabatan Gelombang 1 Tahun 2023"/>
        <s v="PPG Prajabatan Gelombang 2 Tahun 2023"/>
        <s v="PPG Prajabatan Gelombang 1 Tahun 2022"/>
      </sharedItems>
    </cacheField>
    <cacheField name="Tahun Lulus PPG&#10;(sesuai dengan tahun penerbitan Sertifikat Pendidik)" numFmtId="0">
      <sharedItems containsSemiMixedTypes="0" containsString="0" containsNumber="1" containsInteger="1">
        <n v="2025.0"/>
        <n v="2023.0"/>
        <n v="2024.0"/>
      </sharedItems>
    </cacheField>
    <cacheField name="IPK saat S1">
      <sharedItems containsMixedTypes="1" containsNumber="1">
        <s v="3.57"/>
        <s v="3.49"/>
        <s v="3.79"/>
        <s v="3.28"/>
        <s v="3.35"/>
        <s v="3.45"/>
        <s v="3.36"/>
        <s v="3.05"/>
        <n v="3.57"/>
        <s v="3.72"/>
        <s v="3.66"/>
        <n v="3.65"/>
        <s v="3.69"/>
        <s v="3.63"/>
        <n v="3.67"/>
        <s v="3.38"/>
        <s v="3.42"/>
        <s v="3.82"/>
        <s v="3.55"/>
        <s v="3.71"/>
        <s v="3.62"/>
        <s v="3.74"/>
        <s v="3.77"/>
        <n v="3.71"/>
        <s v="3.8"/>
        <s v="3.59"/>
        <s v="3.58"/>
        <s v="3.46"/>
        <s v="3.93"/>
        <s v="3.92"/>
        <n v="3.45"/>
        <s v="3.11"/>
        <s v="3.70"/>
        <s v="3.73"/>
        <n v="3.74"/>
        <n v="3.77"/>
        <s v="3.67"/>
        <s v="3.56"/>
        <n v="3.58"/>
        <s v="3.40"/>
        <n v="3.8"/>
        <s v="3.87"/>
        <n v="3.78"/>
        <n v="3.6"/>
        <s v="3.43"/>
        <s v="IPK S1 3.89 &amp; IPK S2 3.97"/>
        <s v="3.30"/>
        <s v="3.60"/>
        <s v="3.41"/>
        <s v="2.65"/>
        <s v="3.34"/>
        <s v="3.64"/>
        <n v="3.76"/>
        <s v="3.44"/>
        <s v="3.53"/>
        <n v="2.75"/>
        <s v="3.16"/>
        <s v="3.17"/>
        <s v="3.78"/>
        <s v="3.85"/>
        <s v="3.75"/>
        <n v="3.88"/>
      </sharedItems>
    </cacheField>
    <cacheField name="IPK saat PPG">
      <sharedItems containsMixedTypes="1" containsNumber="1">
        <s v="3.88"/>
        <s v="3.94"/>
        <s v="3.86"/>
        <s v="4.00"/>
        <s v="3.98"/>
        <s v="4.0"/>
        <s v="3.97"/>
        <n v="3.68"/>
        <s v="3.84"/>
        <s v="3.95"/>
        <n v="3.73"/>
        <s v="3.96"/>
        <s v="-"/>
        <n v="4.0"/>
        <s v="3.91"/>
        <s v="3.85"/>
        <n v="3.94"/>
        <s v="3.87"/>
        <s v="3.90"/>
        <s v="3.93"/>
        <n v="3.97"/>
        <s v="3.83"/>
        <s v="3.50"/>
        <n v="3.85"/>
        <n v="3.8"/>
        <n v="3.93"/>
        <s v="3.82"/>
        <n v="90.13"/>
        <n v="3.91"/>
        <n v="3.0"/>
        <s v=" 86.66"/>
        <s v="3.25"/>
        <s v="3.89"/>
        <s v="Tidak ada Transkrip PPG, Hanya Sertifikat Pendidik "/>
        <s v="3.80"/>
      </sharedItems>
    </cacheField>
    <cacheField name="Domisili Anda saat ini? (Contoh : Kota Surakarta, Jawa Tengah)" numFmtId="0">
      <sharedItems>
        <s v="Sukoharjo, Jawa Tengah"/>
        <s v="Kabupaten Boyolali, Jawa Tengah"/>
        <s v="Sragen, Jawa Tengah"/>
        <s v="Banyumas, Jawa Tengah"/>
        <s v="Kota kendari, Sulawesi Tenggara"/>
        <s v="SURAKARTA"/>
        <s v="Kedungrandu RT 1 RW 3, Kecamatan Patikraja, Kabupaten Banyumas"/>
        <s v="Klaten, Jawa Tengah"/>
        <s v="Kota Baubau, Sulawesi Tenggara"/>
        <s v="Surakarta, Jawa Tengah "/>
        <s v="Wonogiri, Jawa Tengah"/>
        <s v="Kota Surakarta, Jawa Tengah"/>
        <s v="Kabupaten Karanganyar, Jawa Tengah"/>
        <s v="Kabupaten Maros"/>
        <s v="Boyolali, Jawa Tengah"/>
        <s v="Kabupaten Magelang"/>
        <s v="Desa Krenceng, Rt 02 Rw 01 Kec.Kejobong, Kab.Purbingga, Jawa Tengah"/>
        <s v="Kabupaten Kebumen, Jawa Tengah"/>
        <s v="Kabupaten Pati"/>
        <s v="Karanganyar, Jawa Tengah"/>
        <s v="Kabupaten Bondowoso, Jawa Timur"/>
        <s v="Kota Salatiga, Jawa Tengah"/>
        <s v="Boyolali, Jawa Tengah "/>
        <s v="Kabupaten Jepara, Jawa Tengah"/>
        <s v="Jepara, Jawa Tengah"/>
        <s v="Konawe Utara, Sulawesi Tenggara"/>
        <s v="Kabupaten Muna, Sulawesi Tenggara "/>
        <s v="Kabupaten Muna, Sulawesi Tenggara"/>
        <s v="Surakarta, Jawa Tengah"/>
        <s v="Lampung selatan, Lampung"/>
        <s v="Purworejo, Jawa Tengah"/>
        <s v="Kecamatan Susukan, Kabupaten Semarang, Jawa Tengah"/>
        <s v="Kabupaten Purworejo, Jawa Tengah"/>
        <s v="Banyudono, Boyolali, Jawa Tengah"/>
        <s v="Kabupaten Musi Banyuasin, Sumatera Selatan"/>
        <s v="Kec. Mawasangka Tengah, Kabupaten Buton Tengah, Prov. Sulawesi Tenggara."/>
        <s v="Kebumen, Jawa Tengah"/>
        <s v="Kota Rembang, Jawa Tengah"/>
        <s v="kota bangko kabupaten merangin provinsi jambi"/>
        <s v="Kab.grobogan"/>
        <s v="Kab. Ngawi, Jawa Timur"/>
        <s v="Kabupaten Magelang "/>
        <s v="Kediri, Jawa Timur "/>
        <s v="Lampung Timur, Lampung"/>
        <s v="Kab Sragen, Jawa Tengah "/>
        <s v="Sidoarjo"/>
        <s v="Kota Semarang, Jawa Tengah"/>
        <s v="Kota Surakarta"/>
        <s v="Kendari, Sulawesi Tenggara"/>
        <s v="Demak, Jawa Tengah"/>
        <s v="Kabupaten Grobogan, Jawa Tengah "/>
        <s v="KAB. PATI"/>
        <s v="Kabupaten Blora, Jawa Tengah"/>
        <s v="Kabupaten Jepara, Jawa Tengah "/>
        <s v="KABUPATEN KEDIRI, JAWA TIMUR"/>
        <s v="Kabupaten Kediri"/>
        <s v="Kabupaten Magelang, Jawa Tengah"/>
        <s v="Kabupaten Buton, Sulawesi Tenggara"/>
        <s v="Sukoharjo Jawa Tengah"/>
        <s v="Kabupaten Sleman, Daerah Istimewa Yogyakarta"/>
        <s v="Madiun, Jawa Timur"/>
        <s v="Desa Labone, Kec. Lasalepa, Kab. Muna, Sulawesi Tenggara"/>
        <s v="Kota Pekalongan, Jawa Tengah"/>
        <s v="RAHA, SULAWESI TENGGARA"/>
        <s v="Kota Baubau "/>
        <s v="KOTA AMBON"/>
        <s v="Kabupaten Sumenep, Jawa Timur"/>
        <s v="Kabupaten Bombana, Sulawesi Tenggara "/>
        <s v="Kabupaten Wonogiri, Jawa Tengah"/>
        <s v="Buton Tengah, Sulawesi Tenggara "/>
      </sharedItems>
    </cacheField>
    <cacheField name="Berkedudukan sebagai calon PNS, PNS, PPPK, PPPK Paruh Waktu, prajurit Tentara Nasional Indonesia, atau anggota Kepolisian Negara Republik Indonesia;" numFmtId="0">
      <sharedItems>
        <s v="Tidak"/>
        <s v="Ya"/>
      </sharedItems>
    </cacheField>
    <cacheField name="Jabatan dan Lokasi TPP yang dilamar" numFmtId="0">
      <sharedItems>
        <s v="Tenaga pendampingan pembelajaran mata Pelajaran Penjasorkes"/>
        <s v="Tenaga pendampingan pembelajaran mata Pelajaran Ilmu Pengetahuan Alam (IPA) untuk mengajar mata pelajaran Biologi, Kimia, Fisika"/>
        <s v="Tenaga pendampingan pembelajaran mata Pelajaran Bahasa Indonesia"/>
        <s v="Tenaga pendampingan pembelajaran mata Pelajaran Seni, Budaya, dan Prakarya"/>
        <s v="Tenaga pendampingan pembelajaran mata pelajaran TIK"/>
        <s v="Tenaga pendampingan pembelajaran mata Pelajaran Matematika (umum)"/>
        <s v="Tenaga pendampingan pembelajaran mata Pelajaran Ilmu Pengetahuan Sosial (IPS) untuk mengajar mata pelajaran Sosiologi, Ekonomi, Geografi, dan Sejarah"/>
        <s v="Tenaga pendampingan pembelajaran mata Pelajaran Bimbingan dan Konseling"/>
        <s v="Tenaga pendampingan pembelajaran mata Pelajaran Bahasa Inggris"/>
        <s v="Tenaga pendampingan pembelajaran mata Pelajaran Pendidikan Pancasila"/>
      </sharedItems>
    </cacheField>
    <cacheField name="Pilihan Lokasi Sekolah Nasional Terintegrasi" numFmtId="0">
      <sharedItems>
        <s v="Kabupaten Jepara, Jawa Tengah"/>
        <s v="Kabupaten Buton Tengah, Sulawesi Tenggara"/>
      </sharedItems>
    </cacheField>
    <cacheField name="Sertifikat Pelatihan Peningkatan Komptenesi (5 tahun terakhir)" numFmtId="0">
      <sharedItems>
        <s v="https://drive.google.com/drive/folders/1dsYqEqelctlZxB4Hys2aTvWw_xo7AZBD?usp=drive_link "/>
        <s v="https://drive.google.com/drive/folders/16x0nmGx6I5WGw8jgQGGJwL-c62fCaeiM?usp=drive_link"/>
        <s v="https://drive.google.com/drive/folders/1sbX_gWwophHrTMrZOyC0f5Nbdw36cMSx"/>
        <s v="-"/>
        <s v="https://drive.google.com/file/d/1RTVKYZC70VNFZ0Li44B1okppAyidoSP2/view?usp=sharing"/>
        <s v="https://drive.google.com/drive/folders/1zI1VsvS3r7N2xgGHzHSOeXsPBlYpL9ku?usp=sharing"/>
        <s v="https://drive.google.com/file/d/1X90srqhGWSBgzBIWf55Q0lMEEvUwXmVt/view?usp=sharing"/>
        <s v="https://drive.google.com/drive/folders/1M6zYjueC4knG4C45THwrSOKv3fiE93TK?usp=sharing"/>
        <s v="https://drive.google.com/drive/folders/1W1SJkFGvffoQIz8_dEpLvZ7DVpQoENcq?usp=sharing"/>
        <s v="https://drive.google.com/drive/folders/14p8zvTWQB0cfS1KGcdo-A9IR61ZpUngs"/>
        <s v="https://drive.google.com/drive/folders/1e8cKyNE3L_Zkdzx_WNKYqXprhRNVOZaq?usp=sharing"/>
        <s v="https://drive.google.com/drive/folders/11lA10UXXoYhzvsfhUICgbtGtbGv8eSte"/>
        <s v="https://uns.id/sertifpendidikanthaariq"/>
        <s v="https://drive.google.com/drive/folders/1PUlPUxJ9ULoWvGmLXEt0GU-YNtECwhXO"/>
        <s v="https://drive.google.com/drive/folders/12b_894tcCUKoJy5WHk7I7pof-VbaAG9v?usp=sharing"/>
        <s v="https://drive.google.com/folderview?id=1-H0dgyCTkBx1Sx2sbwB_7BZN52kyclaR"/>
        <s v="https://drive.google.com/drive/folders/1m91u-ixafYRtV4PP1DwSgpzZITA4pMTK?usp=sharing"/>
        <s v="https://drive.google.com/drive/folders/1qirwr70MFDx3AkmSPCtOXtF91TmXq43v"/>
        <s v="https://drive.google.com/drive/folders/1qtGqu3dQCug1Ta3kijfkP0VPhlHpTTpT?usp=drive_link"/>
        <s v="https://drive.google.com/drive/folders/1L5fpaS1ICiKr9JtvjgoxgIawdl_9z-EH?usp=sharing"/>
        <s v="https://drive.google.com/drive/folders/13-I7mBQQA8ynEqdL74VxwPk3mvJOc4i4"/>
        <s v="https://drive.google.com/drive/folders/1adI29tKHJKq3bur8xGZSWfHHrhJWKmVY"/>
        <s v="https://drive.google.com/drive/folders/1tEAq9LnaQpzTD0-eTxuLY8gkiO9MuXKQ?usp=sharing"/>
        <s v="https://drive.google.com/drive/folders/1k_AcGyq3Q6qsc9WEwa0jYfv1W0X4zc2g?usp=sharing"/>
        <s v="https://drive.google.com/drive/folders/1gZ-dtO59v_zpZMFk_rlSncfOBy3CNMlI"/>
        <s v="https://drive.google.com/drive/folders/1bnp3dRme-Dr3vc9InIaUR0cB0yXpXWIB?usp=sharing"/>
        <s v="https://drive.google.com/drive/folders/1udkPKpK1nytH6b-EDpdcT6Od2JddCBv0?usp=drive_link"/>
        <s v="https://drive.google.com/drive/folders/106d7lnYeq5BLtiUnJLXPSLeoEJCTNUMm"/>
        <s v="https://drive.google.com/drive/folders/1KQEjYEuRliiWwNZ-UeRxx7vH3kFna984?usp=drive_link"/>
        <s v="https://drive.google.com/drive/folders/1Eg6r0rlH0F6MAdubmYPJPFh87S0nvJrm"/>
        <s v="https://drive.google.com/drive/folders/18oRqAvm67ggqMfNCM47RhToEBBLw5A_4?usp=sharing"/>
        <s v="https://drive.google.com/drive/folders/1zgl0YiZyomWwF6BEe19h0ZLsRC-Uf7It"/>
        <s v="https://drive.google.com/drive/folders/17MT469v6DaHmpoLFdWBe241N_dObmepV?usp=drive_link"/>
        <s v="https://drive.google.com/file/d/1wDAZ_wDIjpdbkq8h7kXvWAEEOa7ESmDe/view?usp=drivesdk"/>
        <s v="https://drive.google.com/drive/folders/1mjoMheW0r7Ofaf4cfqv62KvsYys3__xT"/>
        <s v="https://drive.google.com/drive/folders/14p8zvTWQB0cfS1KGcdo-A9IR61ZpUngs?usp=sharing"/>
        <s v="https://drive.google.com/file/d/1Oge2a8bGcTr_G7WIckjygM9_RiWe7iGW/view?usp=drive_link"/>
        <s v="https://drive.google.com/file/d/10j2MkzdpbRaZnGiceEXvNFNioXggv2oa/view?usp=drivesdk"/>
        <s v="https://drive.google.com/drive/folders/1wEPRgq-LJktmgSReVBVb_4qjO7jjp2A7?usp=sharing"/>
        <s v="https://drive.google.com/file/d/1frp5f7viKQmAZ4FGqYLgdVweGBRuM-xe/view?usp=drivesdk"/>
        <s v="Pengembangan pelajaran kurikulum merdeka berbasis deep learning "/>
        <s v="https://drive.google.com/drive/folders/1ccEHDmuRI-CaQCVHWlmbkSJaZSQVRxo1?usp=sharing"/>
        <s v="https://drive.google.com/drive/folders/1tqTpPQoGWEtiCT-mKwOtGeLfdy_v-npn?usp=sharing"/>
        <s v="https://drive.google.com/file/d/1fvxuC08fBawppDkd6tqKsyylKScIuoU7/view?usp=drivesdk"/>
        <s v="https://drive.google.com/drive/folders/16GwGT8p7LK41HG2eey6WNFgDG4WrNk9m?usp=sharing"/>
        <s v="https://drive.google.com/file/d/1mZaiMfFkLgfg4XOc-kQwjCkdCNMpvDMs/view?usp=drivesdk "/>
        <s v="https://drive.google.com/drive/folders/1oEwTcAljZevTWrYYCIZ2Ve4RKXCETdJg?usp=sharing"/>
        <s v="https://drive.google.com/drive/folders/1HhzMRvnjbxoaiiZE49d6huoyL_PJs3RL?usp=sharing"/>
        <s v="berhasil membangun edutech calonguru.id platform belajar &amp; tryout untuk anak-anak freshgraduate S.Pd, serta saya lampirkan cv saya https://drive.google.com/file/d/1paa984DOZkQwQXMQYNSvq6GhRpgpI1fo/view?usp=sharing"/>
        <s v="https://drive.google.com/file/d/1JqeYKkI0snm15XS8a9iG7uO-GmS7ru9g/view?usp=drivesdk"/>
        <s v="https://drive.google.com/drive/folders/1u4l7ODolDKuTT4UpSd-ix0QVQbpTp03x "/>
        <s v="https://drive.google.com/drive/folders/1zVhPj5QDepY0nUwUvPu9qCFAbXVxhHQ5"/>
        <s v="https://drive.google.com/drive/folders/1y1R3g_Ps-NBszB-H-tBdEOwX7mUKl9pJ"/>
        <s v="https://drive.google.com/drive/folders/1Xt6h7jx3czj4afAue1YgIAboBHeGM2uR"/>
        <s v="https://drive.google.com/drive/folders/1DYyHuJ2wcuaLyFmqxKbSEYLJbbMqgJUz?usp=sharing"/>
        <s v="https://s.id/berkassertifikatSNThendra"/>
        <s v="https://drive.google.com/drive/folders/1Xc0MRju7g1H4dMvg8kLe33DxXZIsG0ok"/>
        <s v="https://drive.google.com/drive/folders/19pK6PbUXZ16YntCxA1TVSeVpSrRQULn9?usp=sharing"/>
        <s v="https://drive.google.com/drive/folders/18vwhzoAAIqFRo5rULGhDu-kLtx3XV-QY"/>
        <s v="https://drive.google.com/file/d/1mWsPvV-wLUvQFuPoZ0oy-IU7zRHdrqM2/view?usp=drivesdk"/>
        <s v="https://drive.google.com/file/d/1Cp2XvZpha_BsmVKXrwzzbt50zrXWFIgd/view?usp=sharing"/>
        <s v="https://drive.google.com/drive/folders/1ZqAJMDrwcjCIBwezainJPSq-Af5FR8ad?usp=sharing"/>
        <s v="Tidak ada"/>
        <s v=" https://drive.google.com/drive/folders/1oDDFY2xrlyT8xOLSLtaWcTorLaV2gd-T?usp=sharing"/>
        <s v="https://drive.google.com/drive/folders/1KztHH-x7AAkCa0Y68fAPNtOjI1uXYp8N"/>
        <s v="https://drive.google.com/drive/folders/1RiA64zDPMGWcUQJbujjzdvuiiFbqOYv-"/>
        <s v="https://drive.google.com/drive/folders/1_Lxo5HWobtllKRhx4DoAPo3psCWgujfd"/>
        <s v="https://drive.google.com/drive/folders/1QCz4bH3wjl2517dnFzL0-0FyB0_Hr0eA?usp=sharing"/>
      </sharedItems>
    </cacheField>
    <cacheField name="Video Microteaching" numFmtId="0">
      <sharedItems>
        <s v="https://drive.google.com/file/d/1iCxSV9hd262CkcTCjL23f6n7t7EoV6ur/view?usp=sharing "/>
        <s v="https://drive.google.com/drive/folders/1LUwVcKfRJZTw2XbLLprTSDJ04eWDmd0c?usp=sharing"/>
        <s v="https://drive.google.com/drive/folders/1nSG76BaQdtMG-CDvZEJRGPQJe22CUPnC"/>
        <s v="https://drive.google.com/drive/folders/1yCvx2arxXyITby30A4zMMaHb1zIP3NMt?hl=ID "/>
        <s v="https://drive.google.com/drive/folders/1v7ET-0MLyK3nfkDv6QSCOQu7jdaH58zl"/>
        <s v="https://drive.google.com/drive/folders/1zI1VsvS3r7N2xgGHzHSOeXsPBlYpL9ku?usp=sharing"/>
        <s v="https://drive.google.com/drive/folders/1sDPOjTor3XOExzch1Qzi6KmtuS5XvMav?usp=drive_link"/>
        <s v="https://drive.google.com/drive/folders/1M6zYjueC4knG4C45THwrSOKv3fiE93TK?usp=sharing"/>
        <s v="https://drive.google.com/drive/folders/1w3AotyxcLiwjWuZcnqdtSFTGCadiF0xD?usp=sharing"/>
        <s v="https://drive.google.com/drive/folders/14tm61sfbexmy9YMN6u3Mp_YaYsqT-5st"/>
        <s v="https://drive.google.com/drive/folders/15ZPYQ3Clfe0EygnIfgBgzYEpRIik_sBB?usp=sharing"/>
        <s v="https://drive.google.com/drive/folders/11lA10UXXoYhzvsfhUICgbtGtbGv8eSte"/>
        <s v="https://uns.id/veditukinthaariq"/>
        <s v="https://drive.google.com/drive/folders/1GuUofoo8Ml4RxgfNRLC35L22Cqhy-kvo?usp=drive_link"/>
        <s v="https://drive.google.com/drive/folders/1cJkn_IoYOOXnOYMya1m1-G4ZZwiFqF5_"/>
        <s v="https://drive.google.com/file/d/16I25Hub_4HCCCCFxaPj0dOUzgE7zysB3/view?usp=sharing"/>
        <s v="https://drive.google.com/folderview?id=1-GJrqYOfO4bnWQzG1X4FXH_EjpFWvBSi"/>
        <s v="https://drive.google.com/file/d/1ZM2qaVqkQD-_tnv9zBhxAM7nrL9WyS0c/view?usp=drive_link"/>
        <s v="https://drive.google.com/drive/folders/1PzS9P01UHo8ahunVVv6jD4ARfGViRjOG"/>
        <s v="https://drive.google.com/drive/folders/19wdv2SGiikjLmsRGeg6Us3PtGVYARdEH?usp=sharing"/>
        <s v="https://drive.google.com/drive/folders/18L-lFRallenmFr2eSdMYor8T3gFby5iv?usp=sharing"/>
        <s v="https://drive.google.com/drive/folders/1lbHZOdolmlsxx6yX2iLAARnS1OT7OdSP"/>
        <s v="https://drive.google.com/drive/folders/1IBUHZ570KJFy5CmkAqk3hdSbP9e0B9cp"/>
        <s v="https://drive.google.com/file/d/14HJ3UJHAzqXiOJWas24_Koh5HDncUtR-/view?usp=sharing"/>
        <s v="https://drive.google.com/drive/folders/1hp2AsPIKeEgMhUWbzwgDRHlp34wSTNCN?usp=sharing"/>
        <s v="https://drive.google.com/drive/folders/1ziBRYwAgtkkyPnTwpaQQlUVLoINNFHrH"/>
        <s v="https://drive.google.com/drive/folders/18O0MONVMBSmYlQuiTTTxKi2Ty4RuE13V?usp=sharing"/>
        <s v="https://drive.google.com/file/d/1Eaqx9EWaqZ9QKFvtgEjSf1OH0v-fotPS/view?usp=drive_link"/>
        <s v="https://drive.google.com/drive/folders/1PQQxwZNzVypS3yGp4a0HX6Wmibz9ALEQ"/>
        <s v="https://drive.google.com/drive/folders/1yVRF9S8gmJh2aANEg8KX6ndxm6WfzhOc?usp=sharing"/>
        <s v="https://drive.google.com/file/d/1L2HeacFitfJzYYLnhEHSiZpRNZi6DIfH/view?usp=drivesdk"/>
        <s v="https://drive.google.com/file/d/11wzIy8pLPUhf9NFE6RP2ma53wXYu3e4C/view?usp=drivesdk"/>
        <s v="https://drive.google.com/drive/folders/1SNu-qFtK02OmLkQZ1AWo5DDVTH46tRqo"/>
        <s v="https://drive.google.com/file/d/1zV2figavABF53g88ty1zBwjNJ4TwwTWj/view?usp=drivesdk"/>
        <s v="https://drive.google.com/drive/folders/1ZemobWCxQpWbWK-4F6mIDlYPJB6PQgHU"/>
        <s v="https://drive.google.com/drive/folders/19MRaOM80DF038NWPqHaqqcWNbEgyOpsX"/>
        <s v="https://drive.google.com/drive/folders/1YHV5XDphM0hO8XmD0XXIw26hn__uS09N"/>
        <s v="https://drive.google.com/file/d/1iq8cDdVfuoJxTaGIJK-5C0uFxCjY3984/view?usp=drivesdk"/>
        <s v="https://drive.google.com/drive/folders/17MT469v6DaHmpoLFdWBe241N_dObmepV?usp=drive_link"/>
        <s v="https://drive.google.com/file/d/1hhvZIEChyA9oW7HYA2tM058Q0lahrG6T/view?usp=sharing"/>
        <s v="https://drive.google.com/drive/folders/1mjoMheW0r7Ofaf4cfqv62KvsYys3__xT"/>
        <s v="https://drive.google.com/drive/folders/14tm61sfbexmy9YMN6u3Mp_YaYsqT-5st?usp=sharing"/>
        <s v="https://drive.google.com/drive/folders/1v9Rl1ZkNsT6Jw6hEo64E-fGeNru0Mo2a?usp=sharing"/>
        <s v="https://drive.google.com/file/d/1wXg4JCK74uFkX830RohLlRR_dRCpabfJ/view?usp=sharing"/>
        <s v="https://drive.google.com/file/d/11F5pPmxQ30JyYcnGJHbV6ofW54-DPLlK/view?usp=drivesdk"/>
        <s v="https://drive.google.com/file/d/1K8Bi3qh64CvDS9EXYN8fxBMknWkIhU7a/view?usp=drive_link"/>
        <s v="https://drive.google.com/file/d/10vZFJJ6HLCd0q9kJFe38K6ug4wCZSDnp/view?usp=sharing"/>
        <s v="https://drive.google.com/file/d/1EYnoMc565zoK0J826IOUtHJ9sB9Z2CQo/view?usp=drivesdk"/>
        <s v="https://drive.google.com/file/d/1WoZ2dEnTCug0Ziv3_iuegw3MELqpmkZC/view?usp=drivesdk"/>
        <s v="https://drive.google.com/drive/folders/1ZMdpKDuNX2Ug5GuQm0IKJcqbtSXsXuoq?usp=sharing "/>
        <s v="https://drive.google.com/drive/folders/1eQb9Ydk0eATBDcczvp7yz_FB4O4O3AS3"/>
        <s v="https://youtu.be/ggULze_hHGY?si=3LHoSa1RXTS34FsR"/>
        <s v="https://drive.google.com/drive/folders/1Ox-0TUCz6hG9Myk2xhpFEEvKdlv8dm0C?usp=sharing"/>
        <s v="https://drive.google.com/file/d/1XKpWEV3EZ7UQ8B2bUYrKN3HfbjZtr2ZC/view?usp=drivesdk"/>
        <s v="https://drive.google.com/drive/folders/137kIPlKQmFYB8LTfhzVwbj1J2Vc6niis?usp=sharing"/>
        <s v="https://drive.google.com/file/d/1TmBNpVmZwK0wgwjA5wKHVM0mU3d3fWmw/view?usp=drivesdk "/>
        <s v="https://drive.google.com/file/d/1nT111QsyrXyp_zYgfzUpVxBvNOXr5vjm/view?usp=drivesdk"/>
        <s v="https://drive.google.com/drive/folders/14FG_yPqAGC6X1onGD48pZn4hF_PPEfMz?usp=sharing"/>
        <s v="https://drive.google.com/file/d/1XqoJbX6jTFwvy6oafg-KztlO_gpV_jlC/view?usp=sharing"/>
        <s v="https://youtu.be/yymDyHaEmW0?si=6tkWnWhAcI23Xxf8"/>
        <s v="https://drive.google.com/file/d/1UUanyQLNkOSugUWXDQLx6cbMy9rhomU-/view?usp=sharing "/>
        <s v="https://drive.google.com/drive/folders/1DvcSMjkGajB_4DTsRI2BJi9k6R619G3v"/>
        <s v="https://drive.google.com/drive/folders/1jt4YLBNVmmQlbLqan48uzpTgjZJgPJtc"/>
        <s v="https://drive.google.com/drive/folders/1DUcWJvg3MRjkBfV1Wb2SOf09W0KOXuia"/>
        <s v="https://drive.google.com/drive/folders/1GaI6YVgutsBMNIGY3HaluvXIH5nka1r3"/>
        <s v="https://drive.google.com/drive/folders/1BunhS9ZC30KIV72NDCiDcLA3-Ud7Jkt9"/>
        <s v="https://drive.google.com/drive/folders/1Rs9HB-oZ3H5yNrDt9DFHXgAhgSOFkiIK?usp=sharing"/>
        <s v="https://youtu.be/RtFvDOOgoqM"/>
        <s v="https://drive.google.com/drive/folders/18vJaaPkf_N1kQFEIOq34K1CHZlOV1Yxr"/>
        <s v="https://drive.google.com/drive/folders/1LzuVejBMa0nJuaBNUC6Wmo059tSnk3PX?usp=drive_link"/>
        <s v="https://drive.google.com/file/d/1fI_gpiFidC35PhUgS4AL5664hKzkHvrn/view?usp=drivesdk"/>
        <s v="https://drive.google.com/drive/folders/1ltUU36tlXxgfeMDDdoLQOBEN6rzRAnT4"/>
        <s v="https://drive.google.com/file/d/1q-2IZ9iExO_p1ito2WG__QJ0JhY5ERou/view?usp=drivesdk"/>
        <s v="https://drive.google.com/drive/folders/1ow4-6NaDSh-0U4S7plIc-icO8HYC61WV?usp=sharing"/>
        <s v="https://drive.google.com/file/d/1-BbTbD6dRGBlX3AWGJ92R7ATswHSzRJr/view?usp=drivesdk"/>
        <s v="-"/>
        <s v="https://drive.google.com/drive/folders/18yBJOjtpw6PsG4DRETVg2yP5SJnmcY39?usp=sharing"/>
        <s v="https://drive.google.com/drive/folders/1-40u8UNH_SNeIkwr8FZ6hdjDyNuH11WZ"/>
        <s v="https://drive.google.com/file/d/1xC1-O8NQibAtMRCBDo8VBwZEXn2Edt3L/view?usp=drivesdk"/>
        <s v="https://drive.google.com/file/d/1YlN9LWOGX_duy7lpVzaDTpDDBGlh7HwO/view?usp=drivesdk"/>
        <s v=" https://www.youtube.com/watch?v=jM1e_5OwKnw"/>
        <s v="https://drive.google.com/file/d/1peyjAV00fNYAk1KhW_TI0Z-Tyzfr-pjB/view?usp=drive_link"/>
        <s v="https://drive.google.com/file/d/12O1DB7FIoqIZRTC1SggA8lB7Wtp7A1WW/view?usp=drivesdk"/>
        <s v="https://drive.google.com/file/d/143JHDzse3sObZEzbFHQZvZdWWfCEdKTl/view?usp=drivesdk"/>
        <s v="https://drive.google.com/file/d/10gR1poUJUv4Bp7RvR9-QMDkoqIoCFID6/view?usp=drivesdk"/>
        <s v="https://drive.google.com/file/d/14w0SrHcah5KVYYJRxX4GoYuo6Arj4xmT/view?usp=drivesdk"/>
        <s v="https://drive.google.com/file/d/125S5BykyAsUYhePZcozF54aMpBkwCf9m/view?usp=drivesdk"/>
        <s v="https://drive.google.com/drive/folders/11IqJDpjcTXnE4CSXbzC3pwb5BIKVYs--?usp=drive_link"/>
        <s v="https://drive.google.com/drive/folders/1QCz4bH3wjl2517dnFzL0-0FyB0_Hr0eA?usp=sharing"/>
      </sharedItems>
    </cacheField>
    <cacheField name="Kategori Pendaftar" numFmtId="0">
      <sharedItems>
        <s v="Alumni PPG Calon Guru / Prajabatan FKIP UNS"/>
        <s v="Alumni PPG Calon Guru / Prajabatan FKIP UHO"/>
        <s v="Alumni S1 FKIP UNS yang telah lulus PPG Calon Guru/Prajabatan bukan di FKIP UNS"/>
        <s v="Lainnya"/>
      </sharedItems>
    </cacheField>
    <cacheField name="NIM PPG&#10;(dapat dilihat pada web: https://valid.fkip.uns.ac.id)" numFmtId="0">
      <sharedItems containsBlank="1">
        <s v="X942408406"/>
        <s v="X9022084121"/>
        <s v="X942408195"/>
        <s v="X902308613"/>
        <m/>
        <s v="X902308868"/>
        <s v="X902308871"/>
        <s v="X942408242"/>
        <s v="X9023083636"/>
        <s v="X902308362"/>
        <s v="X902308141"/>
        <s v="X942408310"/>
        <s v="X942408364"/>
        <s v="X9023083681"/>
        <s v="X942408172"/>
        <s v="X902308022"/>
        <s v="X9023083600"/>
        <s v="X902308432"/>
        <s v="X902308789"/>
        <s v="X902308627"/>
        <s v="X902308431"/>
        <s v="X942408355"/>
        <s v="X9023083406"/>
        <s v="X942408324"/>
        <s v="X9023083372"/>
        <s v="X942408276"/>
        <s v="X9022082584"/>
        <s v="X9023083785"/>
        <s v="X9023083767"/>
        <s v="X942402465"/>
        <s v="X902308151"/>
        <s v="X942408116"/>
        <s v="X9022082724"/>
        <s v="X942408360"/>
        <s v="X9023083402"/>
        <s v="X942408503"/>
        <s v="X9022083742"/>
        <s v="X942408442"/>
        <s v="X902308232"/>
        <s v="X942408473"/>
        <s v="X942408433"/>
        <s v="X942408006"/>
        <s v="X942408378"/>
        <s v="X942408109"/>
        <s v="X902308315"/>
        <s v="X9022083743"/>
        <s v="X902308400"/>
        <s v="X902308930"/>
        <s v="x942408143"/>
        <s v="X9022082692"/>
        <s v="X9023083808"/>
      </sharedItems>
    </cacheField>
    <cacheField name="NIM S1">
      <sharedItems containsBlank="1" containsMixedTypes="1" containsNumber="1" containsInteger="1">
        <s v="D0418008"/>
        <s v="-"/>
        <n v="2.50141704E9"/>
        <m/>
        <n v="4.001417039E9"/>
        <n v="1.501070008E9"/>
        <n v="1.202174075E9"/>
        <s v="K4416037"/>
        <s v="3.66"/>
        <s v="K3118009"/>
        <s v="K4419061"/>
        <n v="1.892041011E9"/>
        <n v="1.910301058E9"/>
        <n v="1.601020011E9"/>
        <s v="K4418039"/>
        <s v="K2318059"/>
        <s v="K4217052"/>
        <n v="1.60210402005E11"/>
        <n v="2.3030150077E10"/>
        <s v="A420170009"/>
        <n v="1.888201031E9"/>
        <n v="1.9510009E7"/>
        <s v="K7616051"/>
        <n v="5.171311001E9"/>
        <s v="M0113045"/>
        <n v="8.020190094E9"/>
        <n v="7.101416128E9"/>
        <s v="A710190095"/>
        <s v="D0214289"/>
        <s v="K6414038"/>
        <s v="06061181520096"/>
        <s v="A810190102"/>
        <s v="S1 di UMS"/>
        <s v="K1318043"/>
        <n v="0.0"/>
        <n v="1.9051124E9"/>
        <n v="4.001416025E9"/>
        <s v="18862011A000969"/>
      </sharedItems>
    </cacheField>
    <cacheField name="Program Studi S1">
      <sharedItems containsBlank="1" containsMixedTypes="1" containsNumber="1" containsInteger="1">
        <s v="PENDIDIKAN JASMANI"/>
        <s v="-"/>
        <s v="Pendidikan Seni Tari "/>
        <m/>
        <s v="PENDIDIKAN IPA"/>
        <s v="S1 Pendidikan Biologi"/>
        <s v="S1 Sistem Informasi"/>
        <s v="Pendidikan Sejarah "/>
        <s v="Pendidikan Biologi"/>
        <s v="Bimbingan dan konseling"/>
        <s v="Pendidikan Sejarah"/>
        <s v="Pendidikan Akuntansi"/>
        <s v="Pendidikan Bahasa dan Sastra Indonesia"/>
        <s v="Akuntansi"/>
        <s v="Pendidikan fisika"/>
        <s v="Pendidikan Bahasa Jawa"/>
        <s v="S1 Tadris Bahasa Inggris"/>
        <s v="Pendidikan Biologi "/>
        <s v="Universitas Slamet Riyadi Surakarta"/>
        <s v="Pendidikan Ekonomi"/>
        <s v="Pendidikan Teknologi Informasi"/>
        <s v="Matematika"/>
        <s v="Teknik Informatika"/>
        <s v="Pendidikan Ekonomi (Akuntansi) "/>
        <s v="Pendidikan Teknik Informatika"/>
        <s v="Pendidikan  kepelatihan olahraga "/>
        <s v="PPKn "/>
        <s v="Pendidikan Jasmani dan Kesehatan"/>
        <s v="Pendidikan Olahraga"/>
        <s v="S1 di UMS"/>
        <s v="Pendidikan Matematika"/>
        <n v="0.0"/>
        <s v="pendidikan jasmani keshatan dan rekreasi"/>
        <s v="S1 Bimbingan dan Konseling"/>
      </sharedItems>
    </cacheField>
    <cacheField name="LPTK PPG">
      <sharedItems containsBlank="1" containsMixedTypes="1" containsNumber="1" containsInteger="1">
        <s v="UNIVERSITAS SEBELAS MARET SURAKARTA"/>
        <s v="-"/>
        <s v="Universitas Sebelas Maret"/>
        <s v="Universitas Sebelas Maret (UNS)"/>
        <m/>
        <s v="Universitas Sebelas Maret "/>
        <s v="Universias Sebelas Maret (UNS)"/>
        <s v="Uns"/>
        <s v="Fakultas Ilmu Pendidikan dan Keguruan Universitas Sebelas Maret"/>
        <s v="Universitas Negeri Makassar"/>
        <s v="UNS "/>
        <s v="Universitas Jember"/>
        <s v="Universitas Negeri Semarang"/>
        <s v="Universitas Sebelas Maret Surakarta (UNS)"/>
        <s v="Universitas Negeri Sebelas Maret"/>
        <s v="Universitas sebelas Maret Surakarta "/>
        <s v="Universitas Muhammadiyah Surakarta "/>
        <s v="Universitas Muhammadiyah Surakarta"/>
        <n v="0.0"/>
        <s v="Universitas PGRI Adi Buana Surabaya"/>
      </sharedItems>
    </cacheField>
    <cacheField name="NIM PPG">
      <sharedItems containsBlank="1" containsMixedTypes="1" containsNumber="1" containsInteger="1">
        <s v="X942408406"/>
        <s v="-"/>
        <s v="X902308613"/>
        <s v="A3S224349"/>
        <s v="X902308868"/>
        <s v="X942408242"/>
        <s v="A3S224039"/>
        <s v="X9023083636"/>
        <s v="X902308362"/>
        <s v="X942408364"/>
        <s v="X9023083681"/>
        <s v="A3S223077"/>
        <s v="A3S224310"/>
        <s v="X942408172"/>
        <s v="X9023083600"/>
        <n v="2.40211920199E11"/>
        <n v="2.201022236E9"/>
        <s v="X902308431"/>
        <s v="X9023083406"/>
        <s v="A3S224280"/>
        <s v="A3S224286"/>
        <s v="A3S223076"/>
        <s v="A3S223069"/>
        <s v="X9022084096"/>
        <s v="X942408276"/>
        <s v="x942408116"/>
        <s v="A3S224207"/>
        <s v="A3S224276"/>
        <s v="X942408360"/>
        <s v="X942408503"/>
        <s v="A922240049"/>
        <s v="X942408006"/>
        <m/>
        <s v="PPG di UNS"/>
        <s v="A941230031"/>
        <n v="0.0"/>
        <s v="X942408143"/>
        <s v="X9022082692"/>
        <s v="A3S224355"/>
        <s v="A3S224248"/>
        <s v="A3S224250"/>
        <s v="AS2521443"/>
        <s v="A3S224234"/>
        <s v="A3S224325 "/>
        <n v="2.450700083E9"/>
        <s v="A3S223182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B217" sheet="Admin Tahap 2"/>
  </cacheSource>
  <cacheFields>
    <cacheField name="Timestamp" numFmtId="164">
      <sharedItems containsSemiMixedTypes="0" containsDate="1" containsString="0">
        <d v="2026-07-28T22:08:22Z"/>
        <d v="2026-07-26T14:45:03Z"/>
        <d v="2026-07-26T14:46:08Z"/>
        <d v="2026-07-27T22:43:40Z"/>
        <d v="2026-07-26T15:00:13Z"/>
        <d v="2026-07-26T17:28:08Z"/>
        <d v="2026-07-28T08:31:26Z"/>
        <d v="2026-07-26T20:42:03Z"/>
        <d v="2026-07-30T20:51:26Z"/>
        <d v="2026-07-26T23:13:42Z"/>
        <d v="2026-07-27T01:14:28Z"/>
        <d v="2026-07-27T01:41:50Z"/>
        <d v="2026-07-27T07:28:13Z"/>
        <d v="2026-07-29T09:40:32Z"/>
        <d v="2026-07-28T15:12:03Z"/>
        <d v="2026-07-28T17:46:06Z"/>
        <d v="2026-07-27T19:07:15Z"/>
        <d v="2026-07-27T21:15:47Z"/>
        <d v="2026-07-27T21:35:43Z"/>
        <d v="2026-07-27T22:46:08Z"/>
        <d v="2026-07-28T03:51:58Z"/>
        <d v="2026-07-28T08:48:36Z"/>
        <d v="2026-07-28T10:31:28Z"/>
        <d v="2026-07-28T12:51:13Z"/>
        <d v="2026-07-28T12:54:11Z"/>
        <d v="2026-07-28T13:09:59Z"/>
        <d v="2026-07-28T13:35:08Z"/>
        <d v="2026-07-28T14:36:23Z"/>
        <d v="2026-07-28T17:45:03Z"/>
        <d v="2026-07-28T18:11:21Z"/>
        <d v="2026-07-28T20:16:06Z"/>
        <d v="2026-07-28T20:21:43Z"/>
        <d v="2026-07-28T20:34:12Z"/>
        <d v="2026-07-28T20:51:50Z"/>
        <d v="2026-07-28T20:59:43Z"/>
        <d v="2026-07-28T21:08:29Z"/>
        <d v="2026-07-28T21:17:09Z"/>
        <d v="2026-07-28T21:16:05Z"/>
        <d v="2026-07-28T21:22:41Z"/>
        <d v="2026-07-28T21:51:15Z"/>
        <d v="2026-07-28T21:52:03Z"/>
        <d v="2026-07-28T22:06:51Z"/>
        <d v="2026-07-28T22:09:38Z"/>
        <d v="2026-07-29T16:48:55Z"/>
        <d v="2026-07-28T22:38:25Z"/>
        <d v="2026-07-28T22:45:13Z"/>
        <d v="2026-07-28T22:46:31Z"/>
        <d v="2026-07-28T23:35:56Z"/>
        <d v="2026-07-29T06:53:59Z"/>
        <d v="2026-07-28T23:47:02Z"/>
        <d v="2026-07-28T23:54:41Z"/>
        <d v="2026-07-29T08:17:53Z"/>
        <d v="2026-07-29T09:06:36Z"/>
        <d v="2026-07-29T09:56:08Z"/>
        <d v="2026-07-29T10:10:45Z"/>
        <d v="2026-07-29T14:11:36Z"/>
        <d v="2026-07-29T14:48:54Z"/>
        <d v="2026-07-29T15:10:24Z"/>
        <d v="2026-07-29T18:02:47Z"/>
        <d v="2026-07-29T18:40:36Z"/>
        <d v="2026-07-29T18:42:15Z"/>
        <d v="2026-07-29T19:08:03Z"/>
        <d v="2026-07-29T19:30:05Z"/>
        <d v="2026-07-29T19:45:38Z"/>
        <d v="2026-07-29T19:46:33Z"/>
        <d v="2026-07-29T22:45:42Z"/>
        <d v="2026-07-29T20:52:06Z"/>
        <d v="2026-07-29T21:19:54Z"/>
        <d v="2026-07-29T22:37:10Z"/>
        <d v="2026-07-29T22:03:13Z"/>
        <d v="2026-07-29T22:32:11Z"/>
        <d v="2026-07-29T22:58:30Z"/>
        <d v="2026-07-29T22:58:36Z"/>
        <d v="2026-07-29T22:59:57Z"/>
        <d v="2026-07-30T21:28:11Z"/>
        <d v="2026-07-29T23:39:38Z"/>
        <d v="2026-07-29T23:42:45Z"/>
        <d v="2026-07-30T09:05:50Z"/>
        <d v="2026-07-30T09:07:38Z"/>
        <d v="2026-07-30T09:22:14Z"/>
        <d v="2026-07-30T09:31:23Z"/>
        <d v="2026-07-30T13:59:41Z"/>
        <d v="2026-07-30T17:17:14Z"/>
        <d v="2026-07-30T18:41:27Z"/>
        <d v="2026-07-30T20:03:43Z"/>
        <d v="2026-07-30T20:24:54Z"/>
        <d v="2026-07-30T22:52:01Z"/>
        <d v="2026-07-30T23:04:49Z"/>
        <d v="2026-07-30T23:29:21Z"/>
        <d v="2026-07-31T16:06:44Z"/>
        <d v="2026-07-31T22:28:22Z"/>
        <d v="2026-08-01T07:32:53Z"/>
        <d v="2026-08-01T12:06:54Z"/>
        <d v="2026-08-02T16:00:14Z"/>
        <d v="2026-08-02T16:34:29Z"/>
        <d v="2026-08-02T19:54:26Z"/>
        <d v="2026-08-02T20:31:15Z"/>
        <d v="2026-08-02T20:49:28Z"/>
        <d v="2026-08-03T07:43:05Z"/>
        <d v="2026-08-03T10:52:44Z"/>
        <d v="2026-08-03T11:31:12Z"/>
        <d v="2026-08-03T14:24:22Z"/>
        <d v="2026-08-03T16:03:08Z"/>
        <d v="2026-08-03T17:53:37Z"/>
        <d v="2026-08-04T08:15:40Z"/>
        <d v="2026-08-07T00:13:41Z"/>
        <d v="2026-08-07T13:47:49Z"/>
        <d v="2026-08-09T11:30:18Z"/>
        <d v="2026-08-12T16:41:51Z"/>
        <d v="2026-08-28T14:16:41Z"/>
        <d v="2026-08-28T16:59:03Z"/>
        <d v="2026-08-28T18:45:32Z"/>
        <d v="2026-08-28T20:59:50Z"/>
        <d v="2026-08-28T21:16:40Z"/>
        <d v="2026-08-28T21:30:22Z"/>
        <d v="2026-08-28T21:39:04Z"/>
        <d v="2026-08-28T21:42:24Z"/>
        <d v="2026-08-28T23:20:47Z"/>
        <d v="2026-08-28T23:24:03Z"/>
        <d v="2026-08-29T06:07:03Z"/>
        <d v="2026-08-29T09:28:18Z"/>
        <d v="2026-08-29T09:44:47Z"/>
        <d v="2026-08-29T10:39:44Z"/>
        <d v="2026-08-29T13:29:59Z"/>
        <d v="2026-08-29T14:56:55Z"/>
        <d v="2026-08-29T14:57:24Z"/>
        <d v="2026-08-29T16:33:12Z"/>
        <d v="2026-08-29T16:36:45Z"/>
        <d v="2026-08-29T17:22:07Z"/>
        <d v="2026-08-29T18:56:23Z"/>
        <d v="2026-08-29T19:31:23Z"/>
        <d v="2026-08-29T22:47:24Z"/>
        <d v="2026-08-29T23:02:31Z"/>
        <d v="2026-08-29T23:26:40Z"/>
        <d v="2026-08-30T01:50:20Z"/>
        <d v="2026-08-30T02:03:31Z"/>
        <d v="2026-08-30T05:37:39Z"/>
        <d v="2026-08-30T08:34:08Z"/>
        <d v="2026-08-30T08:43:28Z"/>
        <d v="2026-08-30T08:46:42Z"/>
        <d v="2026-08-30T09:30:51Z"/>
        <d v="2026-08-30T09:50:41Z"/>
        <d v="2026-08-30T10:05:23Z"/>
        <d v="2026-08-30T10:43:41Z"/>
        <d v="2026-08-30T12:23:57Z"/>
        <d v="2026-08-30T12:44:48Z"/>
        <d v="2026-08-30T13:28:40Z"/>
        <d v="2026-08-30T14:07:31Z"/>
        <d v="2026-08-30T14:49:36Z"/>
        <d v="2026-08-30T14:51:38Z"/>
        <d v="2026-08-30T14:55:10Z"/>
        <d v="2026-08-30T15:07:02Z"/>
        <d v="2026-08-30T15:54:24Z"/>
        <d v="2026-08-30T16:15:17Z"/>
        <d v="2026-08-30T18:41:40Z"/>
        <d v="2026-08-30T19:16:11Z"/>
        <d v="2026-08-30T19:47:12Z"/>
        <d v="2026-08-30T20:33:08Z"/>
        <d v="2026-08-30T22:07:17Z"/>
        <d v="2026-08-30T23:05:24Z"/>
        <d v="2026-08-31T01:05:17Z"/>
        <d v="2026-08-31T09:17:34Z"/>
        <d v="2026-08-31T09:56:53Z"/>
        <d v="2026-08-31T11:18:32Z"/>
        <d v="2026-08-31T11:26:21Z"/>
        <d v="2026-08-31T11:36:46Z"/>
        <d v="2026-08-31T13:02:04Z"/>
        <d v="2026-08-31T16:18:48Z"/>
        <d v="2026-08-31T18:08:28Z"/>
        <d v="2026-08-31T20:39:56Z"/>
        <d v="2026-09-01T00:02:16Z"/>
        <d v="2026-09-01T01:17:15Z"/>
        <d v="2026-09-01T01:23:02Z"/>
        <d v="2026-09-01T09:22:14Z"/>
        <d v="2026-09-01T09:47:45Z"/>
        <d v="2026-09-01T10:02:53Z"/>
        <d v="2026-09-01T10:40:33Z"/>
        <d v="2026-09-01T13:22:20Z"/>
        <d v="2026-09-01T14:15:26Z"/>
        <d v="2026-09-01T14:36:58Z"/>
        <d v="2026-09-01T15:55:59Z"/>
        <d v="2026-09-01T16:50:37Z"/>
        <d v="2026-09-01T20:43:08Z"/>
        <d v="2026-09-01T20:43:25Z"/>
        <d v="2026-09-01T21:21:50Z"/>
        <d v="2026-09-01T21:50:04Z"/>
        <d v="2026-09-02T06:55:42Z"/>
        <d v="2026-09-02T07:38:40Z"/>
        <d v="2026-09-02T10:57:13Z"/>
        <d v="2026-09-02T11:13:23Z"/>
        <d v="2026-09-02T11:18:23Z"/>
        <d v="2026-09-02T11:59:43Z"/>
        <d v="2026-09-02T14:14:50Z"/>
        <d v="2026-09-02T14:53:02Z"/>
        <d v="2026-09-02T16:10:50Z"/>
        <d v="2026-09-02T17:01:03Z"/>
        <d v="2026-09-02T17:25:21Z"/>
        <d v="2026-09-02T17:51:52Z"/>
        <d v="2026-09-02T18:16:40Z"/>
        <d v="2026-09-02T18:44:12Z"/>
        <d v="2026-09-02T18:54:35Z"/>
        <d v="2026-09-02T19:47:25Z"/>
        <d v="2026-09-02T20:05:13Z"/>
        <d v="2026-09-02T20:07:14Z"/>
        <d v="2026-09-02T21:02:07Z"/>
        <d v="2026-09-02T21:29:01Z"/>
        <d v="2026-09-02T22:10:00Z"/>
        <d v="2026-09-02T22:17:02Z"/>
        <d v="2026-09-02T22:24:23Z"/>
        <d v="2026-09-02T22:30:54Z"/>
        <d v="2026-09-02T22:52:52Z"/>
        <d v="2026-09-02T22:53:34Z"/>
        <d v="2026-09-02T22:58:51Z"/>
        <d v="2026-09-02T23:32:48Z"/>
        <d v="2026-09-02T23:47:35Z"/>
        <d v="2026-09-02T23:53:42Z"/>
      </sharedItems>
    </cacheField>
    <cacheField name="Email Address" numFmtId="0">
      <sharedItems>
        <s v="rrizkhyadhi21@gmail.com"/>
        <s v="puspitadianaarumawati@gmail.com"/>
        <s v="hanafifuad33@gmail.com"/>
        <s v="nalapawitri81@gmail.com"/>
        <s v="zahraarqam@gmail.com"/>
        <s v="ppg.syahnadinnuridha91@program.belajar.id"/>
        <s v="syiadwi13@gmail.com"/>
        <s v="intaniaeka@gmail.com"/>
        <s v="harnianisiti01.sa@gmail.com"/>
        <s v="adibirhamali@gmail.com"/>
        <s v="fitrinurhayani23@gmail.com"/>
        <s v="asmildanurrahmawati@gmail.com"/>
        <s v="thaariqholland@student.uns.ac.id"/>
        <s v="parifunm@gmail.com"/>
        <s v="nuningwijayanti248@gmail.com"/>
        <s v="ayum9003@gmail.com"/>
        <s v="whhanatthahiraha8@gmail.com"/>
        <s v="azizahfajriatul@gmail.com"/>
        <s v="afrilianto@student.uns.ac.id"/>
        <s v="ppg.lailamuniroh92@program.belajar.id"/>
        <s v="ppg.imronkamaludin02@program.belajar.id"/>
        <s v="rizqi.nurfitriani@student.uns.ac.id"/>
        <s v="nilasafitri3@gmail.com"/>
        <s v="firdaauliashalihah@gmail.com"/>
        <s v="nur116775@gmail.com"/>
        <s v="imamsetiawan101010@gmail.com"/>
        <s v="mustofanuril71@gmail.com"/>
        <s v="allikafh12@gmail.com"/>
        <s v="mroyyan2001@gmail.com"/>
        <s v="rosliana.1113@guru.smp.belajar.id"/>
        <s v="susiir1009@gmail.com"/>
        <s v="sartikasarti161@gmail.com"/>
        <s v="fitawardani1301@gmail.com"/>
        <s v="ppg.adityahasan00828@program.belajar.id"/>
        <s v="tiwikhapsari55@gmail.com"/>
        <s v="peserta.06995@ppg.belajar.id"/>
        <s v="chabibahnur7@gmail.com"/>
        <s v="ppg.sucityas99428@program.belajar.id"/>
        <s v="senosetiyawan23@gmail.com"/>
        <s v="yonekaoca16@gmail.com"/>
        <s v="atnidwihasmarayekti@gmail.com"/>
        <s v="mochadibirhamali@gmail.com"/>
        <s v="candraadi2410@gmail.com"/>
        <s v="peserta.00416@ppg.belajar.id"/>
        <s v="triantini98@gmail.com"/>
        <s v="peserta.08733@ppg.belajar.id"/>
        <s v="nurulkhoiriyah441@gmail.com"/>
        <s v="aliefmufirsa@gmail.com"/>
        <s v="sholawatmania61@gmail.com"/>
        <s v="abianaelfarabi@student.uns.ac.id"/>
        <s v="mudawamatul_khasanah@student.uns.ac.id"/>
        <s v="sriwulandari20010328@gmail.com"/>
        <s v="devyrizki64@gmail.com"/>
        <s v="utaranugraha@gmail.com"/>
        <s v="sisnamarv@gmail.com"/>
        <s v="aderahmadhardani@gmail.com"/>
        <s v="alinajich29@gmail.com"/>
        <s v="rudyazizseptyawan@gmail.com"/>
        <s v="rakakumara@gmail.com"/>
        <s v="ppg.fikrikamal01@program.belajar.id"/>
        <s v="bektiajiw46@gmail.com"/>
        <s v="fadlilahppg@gmail.com"/>
        <s v="wahyu.rvp007@gmail.com"/>
        <s v="muhidbayyan5@gmail.com"/>
        <s v="poncopras15@gmail.com"/>
        <s v="ppg.khoiruddinnugroho92@program.belajar.id"/>
        <s v="adambhrdn24@gmail.com"/>
        <s v="hendraramadhan31121997@gmail.com"/>
        <s v="wismpm99@gmail.com"/>
        <s v="bastianwijayanto78@gmail.com"/>
        <s v="diyanaratnasari190102@gmail.com"/>
        <s v="ppg.mochamadmisbakhudin58@program.belajar.id"/>
        <s v="marsyandaalfina@gmail.com"/>
        <s v="silmikrn@gmail.com"/>
        <s v="hwinggar@gmail.com"/>
        <s v="mukhlisanggraini34@guru.sd.belajar.id"/>
        <s v="dhiarrafiibintang@gmail.com"/>
        <s v="puspaindah164@gmail.com"/>
        <s v="devianti098@gmail.com"/>
        <s v="ennymaharani010601@gmail.com"/>
        <s v="shabrina.hanani@gmail.com"/>
        <s v="alfiatysaid1008@gmail.com"/>
        <s v="waodesaputry2404@gmail.com"/>
        <s v="fatchurrrahman14@gmail.com"/>
        <s v="sarnisiyauta01@gmail.com"/>
        <s v="kimisbat@gmail.com"/>
        <s v="samshifar9@gmail.com"/>
        <s v="ppg.usmanprabowo00628@program.belajar.id"/>
        <s v="dionikhwan357@gmail.com"/>
        <s v="afdalandhy17@gmail.com"/>
        <s v="nuzuliafitriana9@gmail.com"/>
        <s v="dewiindam27@gmail.com"/>
        <s v="omsenodotcom@gmail.com"/>
        <s v="talithan3@gmail.com"/>
        <s v="fajaradyw@gmail.com"/>
        <s v="muhammadmukammil2@gmail.com"/>
        <s v="viraoktaviana08@gmail.com"/>
        <s v="tompraks@gmail.com"/>
        <s v="nurulkhairunnisa12@gmail.com"/>
        <s v="riskaapriliamarsya147@gmail.com"/>
        <s v="endahrahma60@gmail.com"/>
        <s v="monicaokta228@gmail.com"/>
        <s v="nurulftha11@gmail.com"/>
        <s v="putridindameuraintan949@gmail.com"/>
        <s v="muhammadghozali217@gmail.com"/>
        <s v="khaafidhatulka@gmail.com"/>
        <s v="sofyansoleh19@gmail.com"/>
        <s v="ongkyalbert033@gmail.com"/>
        <s v="putrimaria451@gmail.com"/>
        <s v="azizahfajriatul@student.uns.ac.id"/>
        <s v="jumyafisika18@gmail.com"/>
        <s v="hikaru.qreina@gmail.com"/>
        <s v="nurfazria.m@gmail.com"/>
        <s v="rahmawatiputri593@gmail.com"/>
        <s v="roufjepara23@gmail.com"/>
        <s v="nadiyya.husna26@gmail.com"/>
        <s v="renildaariyani@gmail.com"/>
        <s v="samsulbahrinangalili@gmail.com"/>
        <s v="awmega12@gmail.com"/>
        <s v="afdalandhy22@gmail.com"/>
        <s v="arisetya20@gmail.com"/>
        <s v="alimdad573@gmail.com"/>
        <s v="badruntamam22@gmail.com"/>
        <s v="setyatya885@gmail.com"/>
        <s v="nurulazila117@gmail.com"/>
        <s v="aguspurwanto9898@gmail.com"/>
        <s v="ppg.rizqiramayanti03@program.belajar.id"/>
        <s v="ajengnurulwalidaenii@gmail.com"/>
        <s v="ratratih123@gmail.com"/>
        <s v="ppg.abdulrovii83@program.belajar.id"/>
        <s v="adheliaedusena@gmail.com"/>
        <s v="fikriahmadkamalmahbub@gmail.com"/>
        <s v="thomas443@guru.sd.belajar.id"/>
        <s v="annamargiana3255@gmail.com"/>
        <s v="noorfanika2@gmail.com"/>
        <s v="noorfanikatugas@gmail.com"/>
        <s v="syeh.aindalloh11@guru.smp.belajar.id"/>
        <s v="imamsayuti8670@gmail.com"/>
        <s v="kumoro.pr06@gmail.com"/>
        <s v="anggasenju1234@gmail.com"/>
        <s v="syeh.aindalloh.2301218@students.um.ac.id"/>
        <s v="elsygusmayanti038@gmail.com"/>
        <s v="novinurivanir@gmail.com"/>
        <s v="hidayatiruyatul22@gmail.com"/>
        <s v="rifkihermawan19@gmail.com"/>
        <s v="leny.wijayaanggraini@gmail.com"/>
        <s v="qotrunnadafitriadisvaadisva@gmail.com"/>
        <s v="silmikurnias@gmail.com"/>
        <s v="tahirfitridwiningtiasri80@gmail.com"/>
        <s v="aulia87571@gmail.com"/>
        <s v="remonpatty79@gmail.com"/>
        <s v="mfaisalrizqypratama915@gmail.com"/>
        <s v="jihannafira98@gmail.com"/>
        <s v="yusrainidaulay705@gmail.com"/>
        <s v="ramli.ramli13111994@gmail.com"/>
        <s v="ppg.destydiniardianty82@program.belajar.id"/>
        <s v="ohyossicahya@gmail.com"/>
        <s v="rinahardianti2@gmail.com"/>
        <s v="agus01065@gmail.com"/>
        <s v="nungky.rantatriana@gmail.com"/>
        <s v="taufikhidayat.03123@gmail.com"/>
        <s v="handikasetyadarma@gmail.com"/>
        <s v="cinta29rahmalia@gmail.com"/>
        <s v="kiswari.lusida@gmail.com"/>
        <s v="officialatriahanif@gmail.com"/>
        <s v="luzyhapsara4@gmail.com"/>
        <s v="putrinataliasidabutar9383@gmail.com"/>
        <s v="ppg.sofyanhidayatulloh10@program.belajar.id"/>
        <s v="achmadsabani98@gmail.com"/>
        <s v="riskadamay280@gmail.com"/>
        <s v="alvian160894@gmail.com"/>
        <s v="opikrina94@gmail.com"/>
        <s v="sutrisno051@guru.sd.belajar.id"/>
        <s v="putri_1905026033@student.walisongo.ac.id"/>
        <s v="zainulngage@gmail.com"/>
        <s v="novrianirahmah99@gmail.com"/>
        <s v="rdpr95@gmail.com"/>
        <s v="fanisadwi13@gmail.com"/>
        <s v="irwandidarwin01@gmail.com"/>
        <s v="elvitarahmamei@gmail.com"/>
        <s v="lutfikhakim30@gmail.com"/>
        <s v="ramlizzha9@gmail.com"/>
        <s v="daprianti596@gmail.com"/>
        <s v="fianazulfa11@gmail.com"/>
        <s v="reyneldaadmar47@gmail.com"/>
        <s v="afadholi43@gmail.com"/>
        <s v="nurramadanif@gmail.com"/>
        <s v="zahratul186@gmail.com"/>
        <s v="hatta.dinata1@gmail.com"/>
        <s v="deliepde93@gmail.com"/>
        <s v="trisuryo55@gmail.com"/>
        <s v="itishomul.hanif@gmail.com"/>
        <s v="turaekhanamin59@gmail.com"/>
        <s v="nralaam2@gmail.com"/>
        <s v="ppg.dindawulandari00@program.belajar.id"/>
        <s v="risaulisihite04@gmail.com"/>
        <s v="ermitaalawiyah@gmail.com"/>
        <s v="fitriawahyuwulansari330@gmail.com"/>
        <s v="ppg.alakhnah81@program.belajar.id"/>
        <s v="sitilistiyowati007@gmail.com"/>
        <s v="suryadwiprabowo@gmail.com"/>
        <s v="amalia.isfina17@gmail.com"/>
        <s v="wahyuniabdillah91@gmail.com"/>
        <s v="ppg.aiadawiyah01@program.belajar.id"/>
        <s v="marvelaintan@gmail.com"/>
        <s v="maulidiauswatun15@gmail.com"/>
        <s v="salmawati3april@gmail.com"/>
        <s v="maliyaimama@gmail.com"/>
        <s v="saviraputriwulandari@gmail.com"/>
        <s v="gipuspita6@gmail.com"/>
        <s v="anishusna.ah@gmail.com"/>
        <s v="septiannisme179@gmail.com"/>
        <s v="citraasmaradewi@gmail.com"/>
        <s v="nenengegif@gmail.com"/>
        <s v="dindapratiwi14.dp@gmail.com"/>
        <s v="syifasdnsidoagung@gmail.com"/>
      </sharedItems>
    </cacheField>
    <cacheField name="Nama Lengkap (disertai gelar)" numFmtId="0">
      <sharedItems>
        <s v="Rizky Adi Nugroho S.Pd.,Gr."/>
        <s v="Puspita Diana Arumawati, M.Pd., Gr."/>
        <s v="Fuad Hanafi, S.Pd., Gr. "/>
        <s v="Nala Pawitri Andanawarih, S.Pd.,Gr"/>
        <s v="Sitti Zahra Riarana Arqam, S.Pd.Gr"/>
        <s v="SYAHNADIN NURIDHA, S. Pd., Gr"/>
        <s v="Syifa Dwi Novita, S.Pd., Gr."/>
        <s v="Intania Eka Yanti, S.Kom., Gr."/>
        <s v="Siti Harniani, S. Pd"/>
        <s v="Moch. Adib Irham Ali"/>
        <s v="Fitri Nurhayani, S.Pd"/>
        <s v="Asmilda Nur Rahmawati S. Pd., Gr. "/>
        <s v="Muhammad Ath Thaariq Aziizi, S.Pd, Gr."/>
        <s v="Parif, S.Pd., Gr."/>
        <s v="Nuning Wijayanti, S.Pd., Gr."/>
        <s v="Mita Ayu Wulandari. S.Pd."/>
        <s v="WH. HANAT THAHIRAH A., S.Pd, Gr."/>
        <s v="Fajriatul 'Azizah"/>
        <s v="Afri Lianto, S.Pd., Gr."/>
        <s v="Laila Magfirul Muniroh, S.Pd,. Gr"/>
        <s v="Imron Arya Kamaludin, S.Pd., Gr."/>
        <s v="Rizqi Nur Fitriani "/>
        <s v="Nila Safitri, S.Pd., Gr."/>
        <s v="Firda Aulia Shalihah, S.Pd., Gr."/>
        <s v="Nur Awaliyah, S.Pd"/>
        <s v="Imam Setiawan, S.Pd., Gr., M.Pd."/>
        <s v="NURIL MUSTOFA, S.E., Gr."/>
        <s v="Allika Fadiyah Hasna, S.Pd., Gr"/>
        <s v="Muhammad Royyan, S.Pd.,Gr."/>
        <s v="Rosliana,S.Pd"/>
        <s v="Susi Susanti, S.Pd.,Gr"/>
        <s v="Sartika,S.Pd., Gr."/>
        <s v="Fita Wardani, S.Pd., Gr."/>
        <s v="Aditya Maulana Hasan, S.Pd., Gr."/>
        <s v="Nur Pratiwi Yuga Hapsari, S.Pd,.Gr"/>
        <s v="Listia Nuraini, S.Pd.,Gr"/>
        <s v="Nurchabibah, S.Pd."/>
        <s v="Suci Suryaning Tyas S.Pd,Gr"/>
        <s v="Seno setiyawan"/>
        <s v="Yoneka Noorca Erlangga, S. Pd., Gr."/>
        <s v="Atni Dwi Hasmara Yekti, S.Pd., Gr."/>
        <s v="Moch. Adib Irham Ali, S.Pd"/>
        <s v="Candra Adi Rahmat, S.Kom., Gr"/>
        <s v="Farida Sapo, S.Pd.,Gr."/>
        <s v="Triantini, S. Pd., Gr. "/>
        <s v="Resky Nur Fatimah, S.Pd.,Gr."/>
        <s v="Nurul Khoiriyah, S.Pd., Gr."/>
        <s v="Alief Mustaghfiroh Suciyani Arifin, S.Pd., Gr."/>
        <s v="Zaenudin,S.Pd.Gr."/>
        <s v="Abiana Elfarabi S.Pd., Gr"/>
        <s v="Mudawamatul Khasanah, S. Pd. G.r."/>
        <s v="Sri Wulandari, S.Hum., Gr."/>
        <s v="Devy Rizki Agustina, S.Pd.Gr."/>
        <s v="UTARA SETIA NUGRAHA, S. Pd., Gr. "/>
        <s v="Sisna Marvilia Ayuningrum, S.Pd., Gr."/>
        <s v="Ade Rahmad Hardani S.Pd.,G.r"/>
        <s v="Muhammad Ali Najich., M.Pd"/>
        <s v="Rudy Aziz Septyawan, S.Pd., Gr."/>
        <s v="RAKA KUMARA JATI"/>
        <s v="Fikri Ahmad Kamal, S.Pd., M.Pd., Gr."/>
        <s v="Bekti Aji Wibowo S.Pd., Gr."/>
        <s v="Fadlilah Nurul Fajri Handayani., S.Pd., Gr. "/>
        <s v="Wahyu Nugroho, S.Pd., Gr"/>
        <s v="Muhid Bayyan, S.Pd. "/>
        <s v="Muhammad Ponco Prasetyo, S.Pd., Gr"/>
        <s v="Khoiruddin Adi Nugroho, S.Pd."/>
        <s v="Adam Baharddudin, S.Or"/>
        <s v="Hendra Ramadhan, S.Pd., Gr"/>
        <s v="Wisma Puteri Mustika, S.Pd., Gr."/>
        <s v="Bastian Wijayanto, S.Pd., Gr."/>
        <s v="Diyana Ratna Sari, S.Pd, Gr."/>
        <s v="MOCHAMAD MISBAKHUDIN, S.Pd."/>
        <s v="Marsyanda Alfina Choirunnisa', S.Pd"/>
        <s v="SILMI KURNIA SA'ADAH, S.Pd."/>
        <s v="Winggar H, S.Pd., Gr."/>
        <s v="Mukhlis Siska Nur Anggraini, S. Pd"/>
        <s v="Dhiarrafii Bintang Matahari, M.Pd., Gr."/>
        <s v="Puspa Indah Sulistyaningrum "/>
        <s v="Devianti S. Pd., Gr"/>
        <s v="Enny Maharani, S.Pd.,Gr"/>
        <s v="Shabrina, S.Pd., M.Pd., Gr."/>
        <s v="ALFIATY SAID"/>
        <s v="Wa Ode SaputryNingrat, S.Pd., Gr"/>
        <s v="FATCHUR RAHMAN S.Pd., Gr."/>
        <s v="SARNI SIYAUTA"/>
        <s v="Ach. Isbat Fauzi, S.Pd., Kons., Gr."/>
        <s v="Samsifar, S. Pd"/>
        <s v="Usman Adi Prabowo, S.Pd."/>
        <s v="Nursia. M, S.Pd., Gr"/>
        <s v="muh. andy afdal., M.Pd., Gr"/>
        <s v="Nuzulia Fitriana, S.Pd., M.Pd."/>
        <s v="Dewi Inda Musni, S.Pd., Gr."/>
        <s v="Seno Setiyawan, S.Si, Gr"/>
        <s v="Talitha Nabilah, S.Pd. Gr."/>
        <s v="Fajar Ady Widyanto, S.Pd., Gr."/>
        <s v="Muhammad Mukammil, S.Pd., Gr"/>
        <s v="Vira Oktaviana, S.Pd.Gr"/>
        <s v="Cahyo Tomi Prakoso, S.Pd., Gr."/>
        <s v="Nurul Khairunnisa, S.Pd."/>
        <s v="Riska Aprilia"/>
        <s v="ENDAH EKA HANDAYANI, S.S., Gr. "/>
        <s v="Monica Synthia Oktaviani,S.Pd"/>
        <s v="Nurul Fatha, S.S."/>
        <s v="Putri dinda meura intan"/>
        <s v="Muhammad Ghozali, S.Pd., Gr."/>
        <s v="Khaafidhatul Kalaamiyah S.Pd. Gr."/>
        <s v="Sofyan Soleh Nur Hidayatulloh, S.Pd., Gr."/>
        <s v="ONGKY ALBERT, S. Fil. "/>
        <s v="Maria Putri Ayeng, S.Pd."/>
        <s v="Fajriatul 'Azizah, S.Ak, Gr"/>
        <s v="JUMYANY SYNTHA MAOLA KADANG, S.Pd.,Gr"/>
        <s v="Nur Laili Afrida, S.Pd"/>
        <s v="Nur Fazria Masfufah, S.Pd., M.Pd"/>
        <s v="Putri Rahmawati, S.Pd., Gr."/>
        <s v="Muhammad Abdur Rouf, M.Pd., Gr"/>
        <s v="Nadiyyatul Husna, S.PD., Gr."/>
        <s v="Renilda Ariyani Saragih"/>
        <s v="samsul bahri S.Pd, Gr"/>
        <s v="Mega Asyha Widiyarti, S.Pd"/>
        <s v="Muh. Andy Afdal, S.Pd., M.Pd., Gr."/>
        <s v="Ari Setya Kusuma Ningrum,S.Pd.,Gr."/>
        <s v="Al Imdad Kholid Mawardi "/>
        <s v="M Badrun Tamam,S.M.,M.Pd.,Gr."/>
        <s v="Tri Wahyu Setyaningrum, S.Pd. Gr."/>
        <s v="NURUL AZILA ROMDANI"/>
        <s v="Agus Purwanto, S.Pd,. Gr"/>
        <s v="Rizqi Ramayanti, S.Pd., Gr. "/>
        <s v="Ajeng Nurul Walidaeni, S.Pd., Gr."/>
        <s v="Ratih Perwita Sari, S. Pd., Gr. "/>
        <s v="Abdul Rovi'i, S.Pd., Gr., M.Pd."/>
        <s v="Adhelia Rahma Sari, S.Pd., Gr., M.Sc"/>
        <s v="Thomas Faisal, S.Pd, Gr."/>
        <s v="MARGIANA, S.E., Gr"/>
        <s v="Noor Fanika, S.Pd., Gr"/>
        <s v="Noor Fanika, S.Pd., Gr."/>
        <s v="SYEH 'AINDALLOH, S.Pd., M.Pd."/>
        <s v="IMAM SAYUTI, S.Pd"/>
        <s v="Kumoro Prahastini "/>
        <s v="Angga Saputra, S.Pd"/>
        <s v="SYEH 'AINDALLOH,S.Pd., M.Pd."/>
        <s v="Elsy Gusmayanti,M.Pd"/>
        <s v="NOVI NUR IVANI RAHMAH, S.Pd, Gr"/>
        <s v="Ru'yatul Hidayati, S. Pd., Gr"/>
        <s v="Muhamad Rifki Hermawan"/>
        <s v="LENY ANGGRAINI WIJAYA, S.Pd.,Gr."/>
        <s v="QOTRUN NADA FITRI ADISVA,S.Pd,Gr"/>
        <s v="Fitri Dwi Ningtias, S.Pd., Gr."/>
        <s v="Aulia Isnaini Nurul Fadilah, S.Pd., Gr."/>
        <s v="Remon Patty ,S.Pd.Gr"/>
        <s v="M. Faisal Rizqy Pratama, S.Si., Gr."/>
        <s v="Wisnu Ega Pratama, S.Pd., Gr."/>
        <s v="YUSRAINI DAULAY, S. Pd, Gr"/>
        <s v="Ramli"/>
        <s v="Desty Dini Ardianty, S.Pd.,Gr"/>
        <s v="Yosi Cahyaningtiyas Fitri, S.Pd., Gr., M.Pd"/>
        <s v="Rina Hardianti, S.Si., Gr."/>
        <s v="Agus Susanto, ST, Gr"/>
        <s v="Nungky Ranta Triana S.Pd.,Gr"/>
        <s v="Taufik Hidayat, M.Pd "/>
        <s v="Handika Setya Darma, S.Pd., Gr."/>
        <s v="Cinta Rahmalia Ulfa, S.Pd., M.Pd. "/>
        <s v="Lusida Kiswari, S.Pd. Gr."/>
        <s v="Atria Hanif Dwi Rahayu, S.Pd.,Gr."/>
        <s v="Luzy hapsara"/>
        <s v="Putri Natalia Sidabutar, S. Pd., Gr. "/>
        <s v="Achmad Sa'bani S.Pd, Gr"/>
        <s v="Riska Damayanti, S.Pd.Gr"/>
        <s v="Alviansyah, S.Pd., M.Pd."/>
        <s v="Rina Opik, S.Pd., Gr."/>
        <s v="SUTRISNO, S.Pd.I., M.Pd."/>
        <s v="Dyah Putri Purnamasari, S. E., Gr."/>
        <s v="Zainul Arifin, S.Si., Gr."/>
        <s v="Novriani Rahmah, S.Pd, Gr"/>
        <s v="Rizki Dimas Puji Raharjo, S.Pd, Gr., M.M"/>
        <s v="Anisa Dwi Febriyanti, S.Ag"/>
        <s v="Irwandi, S.Pd, Gr."/>
        <s v="Rahma Mei Elvita, S.Pd.Gr"/>
        <s v="Lutfi Khakim, M.Pd"/>
        <s v="Desi Aprianti, S.Pd., Gr., M.Pd."/>
        <s v="Siti Alfiana Zulfa S.Pd, Gr"/>
        <s v="Reynelda Admar Bartha, S.Pd., Gr"/>
        <s v="Ahmad Fadholi, S.Pd., Gr."/>
        <s v="Nur Ramadani Fitri, S.Tr.T., Gr."/>
        <s v="ZAHRATUL JANNAH, S.Si."/>
        <s v="HATTA DINATA"/>
        <s v="Laela Noor Fa'izah, S.Pd, M.Pd. Gr"/>
        <s v="TRI SURYO HADI WIBOWO, S.Pd., M.Pd., Gr."/>
        <s v="I'tishomul Hanif, S.Pi., Gr."/>
        <s v="Turaekhan, S.Pd.,M.Pd."/>
        <s v="Nur Alam, S.Pd., Gr."/>
        <s v="Dinda Wulandari "/>
        <s v="Risauli J.Sihite S.Pd"/>
        <s v="Ermita Khusniyatul Alawiyah, S.Si., Gr."/>
        <s v="Fitria Wahyu Wulansari, S.Pd., Gr."/>
        <s v="Al Manunal Akhnah M.Pd"/>
        <s v="SITI LISTIYOWATI"/>
        <s v="Surya Dwi Prabowo, S.Pd., Gr."/>
        <s v="Isfina Amalia, S.Pd. Gr."/>
        <s v="Wahyuni Abdillah, S.Pd. Gr."/>
        <s v="Ai Siti Rabiah Adawiyah, S.Pd."/>
        <s v="Intan Marvela, S.Pd., Gr."/>
        <s v="Maulidia, Uswatun Khasanah, S.Pd"/>
        <s v="Gina Puspita, S.Pd.,Gr"/>
        <s v="Maliya Nur Imamah, S.Pd."/>
        <s v="Savira Putri Wulandari S.P. Gr"/>
        <s v="Anis Risalatul Husna, S.Pd., Gr."/>
        <s v="SEPTIAN DWI ANTO, M.Pd"/>
        <s v="Citra Asmara Dewi, S.Pd., Gr., M.Pd."/>
        <s v="Neneng Egi Febriyani, S.Pd., Gr. "/>
        <s v="Dinda Pratiwi, S.Pd., Gr"/>
        <s v="SYIFA' LANA, S.Pd.,Gr."/>
      </sharedItems>
    </cacheField>
    <cacheField name="PTK ID / SIMPKB ID" numFmtId="0">
      <sharedItems containsString="0" containsBlank="1" containsNumber="1" containsInteger="1">
        <n v="7.000247262E9"/>
        <n v="7.00008667E9"/>
        <n v="7.000266546E9"/>
        <n v="7.000088952E9"/>
        <n v="7.00216115E8"/>
        <n v="7.000141094E9"/>
        <n v="7.000012366E9"/>
        <n v="7.000230682E9"/>
        <n v="7.000227911E9"/>
        <n v="7.000202065E9"/>
        <n v="7.000094807E9"/>
        <n v="7.000127861E9"/>
        <n v="7.000287279E9"/>
        <n v="7.000193855E9"/>
        <n v="7.000180386E9"/>
        <n v="7.000115177E9"/>
        <m/>
        <n v="7.000058324E9"/>
        <n v="7.000158269E9"/>
        <n v="7.000133033E9"/>
        <n v="7.00012434E9"/>
        <n v="7.000128901E9"/>
        <n v="7.000130658E9"/>
        <n v="7.000237077E9"/>
        <n v="7.000046967E9"/>
        <n v="7.000157175E9"/>
        <n v="7.000330445E9"/>
        <n v="7.000166435E9"/>
        <n v="7.000291731E9"/>
        <n v="2.02200123884E11"/>
        <n v="7.000239728E9"/>
        <n v="7.000143754E9"/>
        <n v="7.000145964E9"/>
        <n v="7.00014757E9"/>
        <n v="2.02500039736E11"/>
        <n v="7.000116289E9"/>
        <n v="7.000019417E9"/>
        <n v="7.000181406E9"/>
        <n v="7.000110408E9"/>
        <n v="7.000229318E9"/>
        <n v="7.00015249E9"/>
        <n v="7.000305558E9"/>
        <n v="7.000242161E9"/>
        <n v="7.000053135E9"/>
        <n v="7.00012574E9"/>
        <n v="7.000166234E9"/>
        <n v="7.000043958E9"/>
        <n v="7.000112279E9"/>
        <n v="7.000060591E9"/>
        <n v="7.00027015E9"/>
        <n v="7.000024673E9"/>
        <n v="7.000211281E9"/>
        <n v="7.000286251E9"/>
        <n v="7.000270364E9"/>
        <n v="7.000016192E9"/>
        <n v="7.000198128E9"/>
        <n v="7.00026836E9"/>
        <n v="7.000142556E9"/>
        <n v="7.000243397E9"/>
        <n v="7.000154546E9"/>
        <n v="7.000190544E9"/>
        <n v="2.01698584238E11"/>
        <n v="7.000001058E9"/>
        <n v="7.00012563E9"/>
        <n v="7.000114559E9"/>
        <n v="7.000128335E9"/>
        <n v="7.000131551E9"/>
        <n v="2.0169838862E11"/>
        <n v="7.000213119E9"/>
        <n v="2.023000958E11"/>
        <n v="7.000266904E9"/>
        <n v="7.000028992E9"/>
        <n v="7.000326329E9"/>
        <n v="7.000177065E9"/>
        <n v="7.000132328E9"/>
        <n v="7.000283882E9"/>
        <n v="7.000138201E9"/>
        <n v="2.02300182908E11"/>
        <n v="7.000306847E9"/>
        <n v="7.000288683E9"/>
        <n v="7.000194154E9"/>
        <n v="7.000129096E9"/>
        <n v="7.000201472E9"/>
        <n v="7.000196113E9"/>
        <n v="7.000081678E9"/>
        <n v="7.000003007E9"/>
        <n v="7.000227297E9"/>
        <n v="7.000166756E9"/>
        <n v="7.00025568E9"/>
        <n v="2.02100016013E11"/>
        <n v="7.000229496E9"/>
        <n v="7.00024622E9"/>
        <n v="7.000301278E9"/>
        <n v="7.000151681E9"/>
        <n v="7.00031931E9"/>
        <n v="2.02200237187E11"/>
        <n v="7.000316091E9"/>
        <n v="7.000286747E9"/>
        <n v="7.000153949E9"/>
        <n v="4.0401017102001E13"/>
        <n v="2.02400153852E11"/>
        <n v="2.02400236945E11"/>
        <n v="7.00013764E9"/>
        <n v="7.000265349E9"/>
        <n v="2.02300247944E11"/>
        <n v="7.000309665E9"/>
        <n v="7.000279399E9"/>
        <n v="7.000267286E9"/>
        <n v="2.02300041053E11"/>
        <n v="2.02100262388E11"/>
        <n v="7.000126178E9"/>
        <n v="7.000173526E9"/>
        <n v="7.000092201E9"/>
        <n v="7.00015207E9"/>
        <n v="7.000128344E9"/>
        <n v="2.02200006751E11"/>
        <n v="2.0200064243E11"/>
        <n v="7.000170334E9"/>
        <n v="2.02400250251E11"/>
        <n v="7.000171916E9"/>
        <n v="2.02300137023E11"/>
        <n v="2.02200066349E11"/>
        <n v="7.000148794E9"/>
        <n v="2.02400087943E11"/>
        <n v="7.000151721E9"/>
        <n v="2.02300055745E11"/>
        <n v="7.000168767E9"/>
        <n v="7.000148395E9"/>
        <n v="2.02300013719E11"/>
        <n v="2.02300149989E11"/>
        <n v="7.000061039E9"/>
        <n v="7.000018499E9"/>
        <n v="7.000134922E9"/>
        <n v="7.000025059E9"/>
        <n v="2.01507943477E11"/>
        <n v="2.02400230819E11"/>
        <n v="7.000150481E9"/>
        <n v="2.02200146506E11"/>
        <n v="7.000163719E9"/>
        <n v="7.000012343E9"/>
        <n v="7.000195495E9"/>
        <n v="7.000144672E9"/>
        <n v="7.000031429E9"/>
        <n v="7.000105518E9"/>
        <n v="2.01800313277E11"/>
        <n v="2.0190061126E11"/>
        <n v="7.000200665E9"/>
        <n v="7.000099711E9"/>
        <n v="7.000168191E9"/>
        <n v="2.01699750644E11"/>
        <n v="2.02300057531E11"/>
        <n v="7.000199602E9"/>
        <n v="7.000122238E9"/>
        <n v="7.000076889E9"/>
        <n v="7.000146358E9"/>
        <n v="7.000251901E9"/>
        <n v="2.02000887457E11"/>
        <n v="2.02100315822E11"/>
        <n v="2.0210019081E11"/>
        <n v="7.000241658E9"/>
        <n v="2.02300279569E11"/>
        <n v="7.000011978E9"/>
        <n v="7.000005542E9"/>
        <n v="2.000711604E9"/>
        <n v="7.000320509E9"/>
        <n v="7.000000802E9"/>
        <n v="7.000198025E9"/>
        <n v="7.000045054E9"/>
        <n v="7.000247971E9"/>
        <n v="7.000153971E9"/>
        <n v="7.000249518E9"/>
        <n v="7.000319996E9"/>
        <n v="7.000226649E9"/>
        <n v="7.000256959E9"/>
        <n v="2.4660694E7"/>
        <n v="7.000126588E9"/>
        <n v="7.000108998E9"/>
        <n v="7.000337292E9"/>
        <n v="7.000167886E9"/>
        <n v="7.000193179E9"/>
      </sharedItems>
    </cacheField>
    <cacheField name="Nomor WA" numFmtId="0">
      <sharedItems>
        <s v="085713086642"/>
        <s v="082313256124"/>
        <s v="087836197102"/>
        <s v="089515819690"/>
        <s v="085399527002"/>
        <s v="082322016171"/>
        <s v="089608882627"/>
        <s v="089662119850"/>
        <s v="085342840408"/>
        <s v="081328698419"/>
        <s v="087719811922"/>
        <s v="08999882330"/>
        <s v="6281357514433"/>
        <s v="085340567074"/>
        <s v="082323953038"/>
        <s v="085238383337"/>
        <s v="082355139889"/>
        <s v="085743571470"/>
        <s v="085740702984"/>
        <s v="082138175793"/>
        <s v="085712992243"/>
        <s v="082329681100"/>
        <s v="082324551642"/>
        <s v="0838-9183-0300"/>
        <s v="08813904359"/>
        <s v="085159559810"/>
        <s v="08996579665"/>
        <s v="0895422101144"/>
        <s v="085602502916"/>
        <s v="085395341807"/>
        <s v="085256386808"/>
        <s v="085395374324"/>
        <s v="081938900154"/>
        <s v="088809402034"/>
        <s v="081393894231"/>
        <s v="085840043140"/>
        <s v="085710424577"/>
        <s v="085725604967"/>
        <s v="085799588894"/>
        <s v="085817348167"/>
        <s v="088980051908"/>
        <s v="082286367473"/>
        <s v="085289003714"/>
        <s v="082220434981"/>
        <s v="085299366207"/>
        <s v="081393616229"/>
        <s v="085788337823"/>
        <s v="08976565808"/>
        <s v="081354992286"/>
        <s v="085729580804"/>
        <s v="087823687709"/>
        <s v="085156511988"/>
        <s v="083178920910"/>
        <s v="089604214025"/>
        <s v="088269026860"/>
        <s v="085198239824"/>
        <s v="089529796795"/>
        <s v="082113293786"/>
        <s v="089632991090"/>
        <s v="0895422032099"/>
        <s v="089664783413"/>
        <s v="085340348364"/>
        <s v="087775710810"/>
        <s v="085785333059"/>
        <s v="083838487111"/>
        <s v="082326731860"/>
        <s v="+6288221283922"/>
        <s v="085702647132"/>
        <s v="085647472150"/>
        <s v="081326793556"/>
        <s v="0895635413104"/>
        <s v="082333047987"/>
        <s v="087880657411"/>
        <s v="085343887057"/>
        <s v="085642225680"/>
        <s v="0895341077017"/>
        <s v="085648823789"/>
        <s v="082271337970"/>
        <s v="082291582572"/>
        <s v="082333952223"/>
        <s v="085216569995"/>
        <s v="081342973823"/>
        <s v="082135297868"/>
        <s v="082197933296"/>
        <s v="081330307316"/>
        <s v="085396857305"/>
        <s v="082135909910"/>
        <s v="082264140874"/>
        <s v="085242615796"/>
        <s v="085702115262"/>
        <s v="082323558624"/>
        <s v="082334453085"/>
        <s v="08135761188"/>
        <s v="082236786534"/>
        <s v="085875666255"/>
        <s v="08993882246"/>
        <s v="085154982120"/>
        <s v="085928110009"/>
        <s v="082314829012"/>
        <s v="081252164744"/>
        <s v="085954307048"/>
        <s v="081346229762"/>
        <s v="085741124616"/>
        <s v="082164694216"/>
        <s v="081394581595"/>
        <s v="085399807430"/>
        <s v="082192696090"/>
        <s v="085314164181"/>
        <s v="089514818386"/>
        <s v="081217709708"/>
        <s v="0895800035315"/>
        <s v="081548818552"/>
        <s v="082336965593"/>
        <s v="081370861174"/>
        <s v="085338093792"/>
        <s v="085803336883"/>
        <s v="085641941566"/>
        <s v="085786378412"/>
        <s v="082291417198"/>
        <s v="089651235056"/>
        <s v="087763041885"/>
        <s v="082221906886"/>
        <s v="082313120375"/>
        <s v="081395319346"/>
        <s v="85210525411"/>
        <s v="085785052191"/>
        <s v="081225927831"/>
        <s v="087883631248"/>
        <s v="082330534096"/>
        <s v="0895800010279"/>
        <s v="088225885341"/>
        <s v="085348490015"/>
        <s v="085142598969"/>
        <s v="087701239482"/>
        <s v="087855227678"/>
        <s v="085743218401"/>
        <s v="083143169280"/>
        <s v="0895334524192"/>
        <s v="0895630518511"/>
        <s v="082213822904"/>
        <s v="085944290514"/>
        <s v="0882008175204"/>
        <s v="081247023361"/>
        <s v="085711291583"/>
        <s v="085156243417"/>
        <s v="082273144150"/>
        <s v="085356190507"/>
        <s v="082219031814"/>
        <s v="085210494081"/>
        <s v="082293115940"/>
        <s v="08995241141"/>
        <s v="082257786101"/>
        <s v="081362286358"/>
        <s v="085601013562"/>
        <s v="08990872171"/>
        <s v="085701565762"/>
        <s v="089687924950"/>
        <s v="085786746890"/>
        <s v="082377155470"/>
        <s v="081330076170"/>
        <s v="085658784410"/>
        <s v="087898293493"/>
        <s v="089610501377"/>
        <s v="085733472739"/>
        <s v="087737317231"/>
        <s v="083162371393"/>
        <s v="082210660252"/>
        <s v="082127279439"/>
        <s v="083814983412"/>
        <s v="082239248295"/>
        <s v="085668083061"/>
        <s v="088215411711"/>
        <s v="082378459973"/>
        <s v="088221270774"/>
        <s v="085341982105"/>
        <s v="089689063702"/>
        <s v="082283876650"/>
        <s v="082213770205"/>
        <s v="085270650072"/>
        <s v="085741353335"/>
        <s v="087722577763"/>
        <s v="081214691510"/>
        <s v="085712135701"/>
        <s v="085394547098"/>
        <s v="082289932887"/>
        <s v="082277942032"/>
        <s v="085795340972"/>
        <s v="085641626270"/>
        <s v="081326371307"/>
        <s v="085692248442"/>
        <s v="082225385056"/>
        <s v="097878134167"/>
        <s v="0882019168035"/>
        <s v="089501944427"/>
        <s v="081910516934"/>
        <s v="08993552452"/>
        <s v="082145403397"/>
        <s v="085540312941"/>
        <s v="089627161085"/>
        <s v="082229822404"/>
        <s v="087883801612"/>
        <s v="087734403308"/>
        <s v="087830891937"/>
        <s v="082167852214"/>
        <s v="085216481820"/>
      </sharedItems>
    </cacheField>
    <cacheField name="Tanggal Lahir" numFmtId="14">
      <sharedItems containsSemiMixedTypes="0" containsDate="1" containsString="0">
        <d v="2000-09-22T00:00:00Z"/>
        <d v="1999-03-30T00:00:00Z"/>
        <d v="2002-06-07T00:00:00Z"/>
        <d v="1998-12-25T00:00:00Z"/>
        <d v="1995-02-14T00:00:00Z"/>
        <d v="1999-01-18T00:00:00Z"/>
        <d v="1997-11-13T00:00:00Z"/>
        <d v="1999-03-14T00:00:00Z"/>
        <d v="1994-09-04T00:00:00Z"/>
        <d v="1998-04-21T00:00:00Z"/>
        <d v="1998-01-30T00:00:00Z"/>
        <d v="2000-08-18T00:00:00Z"/>
        <d v="2000-04-28T00:00:00Z"/>
        <d v="2000-10-31T00:00:00Z"/>
        <d v="2001-11-30T00:00:00Z"/>
        <d v="1995-12-28T00:00:00Z"/>
        <d v="2001-05-20T00:00:00Z"/>
        <d v="1995-01-13T00:00:00Z"/>
        <d v="1999-04-12T00:00:00Z"/>
        <d v="1999-12-26T00:00:00Z"/>
        <d v="2000-02-28T00:00:00Z"/>
        <d v="2000-03-28T00:00:00Z"/>
        <d v="1999-03-18T00:00:00Z"/>
        <d v="1998-11-25T00:00:00Z"/>
        <d v="1997-11-05T00:00:00Z"/>
        <d v="1998-10-10T00:00:00Z"/>
        <d v="2002-10-09T00:00:00Z"/>
        <d v="2001-01-02T00:00:00Z"/>
        <d v="2001-07-27T00:00:00Z"/>
        <d v="1995-10-09T00:00:00Z"/>
        <d v="2001-11-19T00:00:00Z"/>
        <d v="2000-12-10T00:00:00Z"/>
        <d v="2000-01-13T00:00:00Z"/>
        <d v="2000-08-21T00:00:00Z"/>
        <d v="1998-07-11T00:00:00Z"/>
        <d v="1999-09-29T00:00:00Z"/>
        <d v="1995-09-22T00:00:00Z"/>
        <d v="1999-04-03T00:00:00Z"/>
        <d v="1995-06-23T00:00:00Z"/>
        <d v="2001-08-16T00:00:00Z"/>
        <d v="2000-06-22T00:00:00Z"/>
        <d v="2001-10-24T00:00:00Z"/>
        <d v="2001-10-12T00:00:00Z"/>
        <d v="1998-05-10T00:00:00Z"/>
        <d v="2000-08-09T00:00:00Z"/>
        <d v="2000-12-30T00:00:00Z"/>
        <d v="1998-01-31T00:00:00Z"/>
        <d v="1994-11-25T00:00:00Z"/>
        <d v="2000-07-18T00:00:00Z"/>
        <d v="1996-07-21T00:00:00Z"/>
        <d v="2001-03-28T00:00:00Z"/>
        <d v="1998-08-29T00:00:00Z"/>
        <d v="2000-09-30T00:00:00Z"/>
        <d v="2001-03-01T00:00:00Z"/>
        <d v="1998-01-01T00:00:00Z"/>
        <d v="2000-03-29T00:00:00Z"/>
        <d v="1998-09-07T00:00:00Z"/>
        <d v="2001-02-19T00:00:00Z"/>
        <d v="2000-01-15T00:00:00Z"/>
        <d v="1998-12-15T00:00:00Z"/>
        <d v="2000-06-08T00:00:00Z"/>
        <d v="2001-01-09T00:00:00Z"/>
        <d v="1992-01-25T00:00:00Z"/>
        <d v="2000-05-22T00:00:00Z"/>
        <d v="1999-12-31T00:00:00Z"/>
        <d v="1999-05-24T00:00:00Z"/>
        <d v="1997-12-31T00:00:00Z"/>
        <d v="1999-10-03T00:00:00Z"/>
        <d v="1989-03-03T00:00:00Z"/>
        <d v="2002-01-19T00:00:00Z"/>
        <d v="1995-02-10T00:00:00Z"/>
        <d v="2001-06-01T00:00:00Z"/>
        <d v="1998-04-01T00:00:00Z"/>
        <d v="2000-03-22T00:00:00Z"/>
        <d v="1983-04-03T00:00:00Z"/>
        <d v="1999-04-17T00:00:00Z"/>
        <d v="1999-09-28T00:00:00Z"/>
        <d v="2000-07-27T00:00:00Z"/>
        <d v="1992-05-12T00:00:00Z"/>
        <d v="1988-08-10T00:00:00Z"/>
        <d v="2002-04-24T00:00:00Z"/>
        <d v="2003-11-14T00:00:00Z"/>
        <d v="2001-07-12T00:00:00Z"/>
        <d v="2001-03-19T00:00:00Z"/>
        <d v="2001-06-07T00:00:00Z"/>
        <d v="2000-06-23T00:00:00Z"/>
        <d v="1998-12-31T00:00:00Z"/>
        <d v="1995-10-14T00:00:00Z"/>
        <d v="1998-07-24T00:00:00Z"/>
        <d v="2001-03-14T00:00:00Z"/>
        <d v="1994-05-26T00:00:00Z"/>
        <d v="2000-11-26T00:00:00Z"/>
        <d v="1999-10-08T00:00:00Z"/>
        <d v="1997-05-12T00:00:00Z"/>
        <d v="1998-08-16T00:00:00Z"/>
        <d v="2001-04-01T00:00:00Z"/>
        <d v="1996-08-26T00:00:00Z"/>
        <d v="2000-10-14T00:00:00Z"/>
        <d v="2001-10-07T00:00:00Z"/>
        <d v="2000-09-29T00:00:00Z"/>
        <d v="2000-07-19T00:00:00Z"/>
        <d v="2001-07-17T00:00:00Z"/>
        <d v="2001-10-16T00:00:00Z"/>
        <d v="1995-08-07T00:00:00Z"/>
        <d v="2002-10-23T00:00:00Z"/>
        <d v="2000-05-12T00:00:00Z"/>
        <d v="1989-02-05T00:00:00Z"/>
        <d v="1993-10-08T00:00:00Z"/>
        <d v="2003-01-08T00:00:00Z"/>
        <d v="1997-05-06T00:00:00Z"/>
        <d v="2000-06-26T00:00:00Z"/>
        <d v="1995-09-29T00:00:00Z"/>
        <d v="1996-04-13T00:00:00Z"/>
        <d v="2001-05-12T00:00:00Z"/>
        <d v="2000-10-07T00:00:00Z"/>
        <d v="1997-09-04T00:00:00Z"/>
        <d v="1999-10-22T00:00:00Z"/>
        <d v="1999-05-22T00:00:00Z"/>
        <d v="2000-11-10T00:00:00Z"/>
        <d v="1994-08-09T00:00:00Z"/>
        <d v="2000-03-02T00:00:00Z"/>
        <d v="1999-07-30T00:00:00Z"/>
        <d v="1996-11-20T00:00:00Z"/>
        <d v="1998-03-14T00:00:00Z"/>
        <d v="2001-05-03T00:00:00Z"/>
        <d v="1990-04-24T00:00:00Z"/>
        <d v="1982-07-22T00:00:00Z"/>
        <d v="2001-08-08T00:00:00Z"/>
        <d v="1998-06-09T00:00:00Z"/>
        <d v="1993-09-10T00:00:00Z"/>
        <d v="2001-12-06T00:00:00Z"/>
        <d v="2000-01-26T00:00:00Z"/>
        <d v="1996-08-07T00:00:00Z"/>
        <d v="1999-08-14T00:00:00Z"/>
        <d v="2000-07-22T00:00:00Z"/>
        <d v="1997-12-19T00:00:00Z"/>
        <d v="2000-10-26T00:00:00Z"/>
        <d v="2001-01-03T00:00:00Z"/>
        <d v="1999-10-15T00:00:00Z"/>
        <d v="2000-12-12T00:00:00Z"/>
        <d v="1979-01-20T00:00:00Z"/>
        <d v="2000-08-01T00:00:00Z"/>
        <d v="1997-12-13T00:00:00Z"/>
        <d v="1999-05-20T00:00:00Z"/>
        <d v="1994-09-23T00:00:00Z"/>
        <d v="1998-12-18T00:00:00Z"/>
        <d v="2000-12-25T00:00:00Z"/>
        <d v="1998-07-20T00:00:00Z"/>
        <d v="1982-08-17T00:00:00Z"/>
        <d v="1998-12-03T00:00:00Z"/>
        <d v="1996-01-29T00:00:00Z"/>
        <d v="1999-03-20T00:00:00Z"/>
        <d v="1994-07-29T00:00:00Z"/>
        <d v="2000-12-26T00:00:00Z"/>
        <d v="1998-12-11T00:00:00Z"/>
        <d v="1999-11-01T00:00:00Z"/>
        <d v="1994-08-16T00:00:00Z"/>
        <d v="1994-10-10T00:00:00Z"/>
        <d v="1992-05-30T00:00:00Z"/>
        <d v="2001-10-18T00:00:00Z"/>
        <d v="1997-06-12T00:00:00Z"/>
        <d v="1999-11-29T00:00:00Z"/>
        <d v="1995-12-07T00:00:00Z"/>
        <d v="1999-02-13T00:00:00Z"/>
        <d v="2001-03-10T00:00:00Z"/>
        <d v="1998-05-17T00:00:00Z"/>
        <d v="1996-07-30T00:00:00Z"/>
        <d v="2000-04-02T00:00:00Z"/>
        <d v="2001-06-15T00:00:00Z"/>
        <d v="2002-08-03T00:00:00Z"/>
        <d v="1995-08-30T00:00:00Z"/>
        <d v="1997-08-05T00:00:00Z"/>
        <d v="1995-06-08T00:00:00Z"/>
        <d v="1993-11-13T00:00:00Z"/>
        <d v="1994-10-05T00:00:00Z"/>
        <d v="2002-01-09T00:00:00Z"/>
        <d v="1994-04-13T00:00:00Z"/>
        <d v="1998-06-01T00:00:00Z"/>
        <d v="2000-10-28T00:00:00Z"/>
        <d v="2000-07-04T00:00:00Z"/>
        <d v="2000-04-04T00:00:00Z"/>
        <d v="1999-01-17T00:00:00Z"/>
        <d v="1998-11-11T00:00:00Z"/>
        <d v="1997-07-15T00:00:00Z"/>
        <d v="1996-01-06T00:00:00Z"/>
        <d v="1998-03-17T00:00:00Z"/>
        <d v="2002-06-23T00:00:00Z"/>
        <d v="2000-11-15T00:00:00Z"/>
        <d v="1998-03-25T00:00:00Z"/>
        <d v="2000-06-15T00:00:00Z"/>
        <d v="1999-06-01T00:00:00Z"/>
        <d v="2000-08-23T00:00:00Z"/>
        <d v="2002-05-10T00:00:00Z"/>
        <d v="2000-09-21T00:00:00Z"/>
        <d v="1993-09-17T00:00:00Z"/>
        <d v="2000-07-30T00:00:00Z"/>
        <d v="1999-10-10T00:00:00Z"/>
        <d v="2001-01-14T00:00:00Z"/>
        <d v="1998-01-06T00:00:00Z"/>
      </sharedItems>
    </cacheField>
    <cacheField name="Program Studi S-1/D-IV" numFmtId="0">
      <sharedItems>
        <s v="Pendidikan Jasmani"/>
        <s v="Pendidikan Biologi"/>
        <s v="Pendidikan Bahasa dan Sastra Indonesia"/>
        <s v="Pendidikan Seni Tari"/>
        <s v="Pendidikan Jasmani, Kesehatan dan Rekreasi"/>
        <s v="S1 PENDIDIKAN IPA"/>
        <s v="S1 Pendidikan Biologi"/>
        <s v="S1 Sistem Informasi "/>
        <s v="Pendidikan Matematika"/>
        <s v="Pendidikan Sejarah"/>
        <s v="Bimbingan dan konseling"/>
        <s v="S-1 Pendidikan Sejarah"/>
        <s v="Pendidikan Akuntansi"/>
        <s v="S1 Pendidikan Bahasa dan Sastra Indonesia"/>
        <s v="Pendidikan Bahasa dan Sastra Indonesia "/>
        <s v="Akuntansi"/>
        <s v="S-1"/>
        <s v="Pendidikan Fisika "/>
        <s v="Pendidikan Bahasa Jawa "/>
        <s v="S1 Tadris Bahasa Inggris"/>
        <s v="Pendidikan Biologi "/>
        <s v="Pendidikan Informatika"/>
        <s v="Tadris matematika "/>
        <s v="S-1 Pendidikan Pancasila dan Kewarganegaraan (PPKn)"/>
        <s v="Pendidikan Ekonomi"/>
        <s v="Pendidikan Teknologi Informasi"/>
        <s v="Pendidikan Geografi"/>
        <s v="S1 Pendidikan Seni Tari"/>
        <s v="Matematika"/>
        <s v="Pendidikan Kimia"/>
        <s v="Teknik Informatika"/>
        <s v="Pendidikan Bahasa Indonesia"/>
        <s v="Pendidikan Ekonomi (Akuntansi) "/>
        <s v="Tadris Matematika"/>
        <s v="Pendidikan Pancasila dan Kewarganegaraan"/>
        <s v="Pendidikan kepelatihan olahraga "/>
        <s v="S-1 Pendidikan Ilmu Pengetahuan Alam"/>
        <s v="Pendidikan Pancasila dan Kewarganegaraan "/>
        <s v="Sejarah Peradaban Islam "/>
        <s v="S-1 Pendidikan Biologi"/>
        <s v="Pendidikan Jasmani Dan Kesehatan "/>
        <s v="Bimbingan dan Konseling Islam"/>
        <s v="Pendidikan Teknik Informatika dan Komputer"/>
        <s v="S1-Tadris IPA &amp; S2-Pendidikan IPA"/>
        <s v="PENDIDIKAN OLAHRAGA"/>
        <s v="S1-Pendidikan Sejarah"/>
        <s v="Pendidikan Matematika "/>
        <s v="S1- ILMU KEOLAHRAGAAN"/>
        <s v="S-1 Pendidikan IPA"/>
        <s v="Pendidikan IPA"/>
        <s v="PPKn"/>
        <s v="Pendidikan jasmani kesahatan dan Rekreasi"/>
        <s v="S1 Pendidikan Sains"/>
        <s v="PENDIDIKAN JASMANI KESEHATAN DAN REKREASI "/>
        <s v="S1 PGSD"/>
        <s v="Pendidikan Ilmu Pengetahuan Alam"/>
        <s v="Pendidikan Fisika"/>
        <s v="PENDIDIKAN BAHASA INGGRIS"/>
        <s v="BIMBINGAN KONSELING ISLAM"/>
        <s v="S1 Bimbingan dan Konseling"/>
        <s v="S-1 Pendidikan Jasmani Sekolah Dasar"/>
        <s v="Tadris Biologi "/>
        <s v="Pendidikan IPA "/>
        <s v="Pendidikan Seni Rupa"/>
        <s v="Pendidikan bahasa Inggris "/>
        <s v="Pendidikan teknologi informasi "/>
        <s v="Bahasa Inggris"/>
        <s v="S-1 PGSD"/>
        <s v="Sastra Inggris"/>
        <s v="Manajemen pendidikan islam"/>
        <s v="Pendidikan Seni Drama, Tari, dan Musik Konsentrasi Pendidikan Seni Musik"/>
        <s v="Pendidikan IPS"/>
        <s v="S1 Program Studi Pendidikan Keagamaan Katolik"/>
        <s v="S1 Pendidikan Fisika"/>
        <s v="S1. Pendidikan Biologi"/>
        <s v="Pendidikan Guru Sekolah Dasar"/>
        <s v="Pendidikan Agama Islam"/>
        <s v="S1"/>
        <s v="S1 Tadris IPS"/>
        <s v="Pendidikan Ilmu Pengetahuan Alam (IPA)"/>
        <s v="S1 Pendidikan Bahasa Inggris "/>
        <s v="Manajemen "/>
        <s v="Tadris Kimia"/>
        <s v="TADRIS FISIKA"/>
        <s v="S1 Pendidikan Kimia"/>
        <s v="Tadris IPA"/>
        <s v="EKONOMI"/>
        <s v="Tadris Ilmu Pengetahuan Alam"/>
        <s v="PENDIDIKAN BAHASA ARAB"/>
        <s v="S1 PENDIDIKAN AGAMA ISLAM"/>
        <s v="Pendidikan Guru Sekolah Dasar (PGSD)"/>
        <s v="Pendidikan Agama Islam "/>
        <s v="Pg-paud "/>
        <s v="S1-Pendidikan IPA "/>
        <s v="Pendidikan Sosiologi "/>
        <s v="GEOGRAFI"/>
        <s v="Fisika"/>
        <s v="Kimia"/>
        <s v="Sarjana Teknik Mesin"/>
        <s v="S2 Pendidikan Agama Islam "/>
        <s v="S1- Pendidikan Fisika "/>
        <s v="S-1 Pendidikan Kimia"/>
        <s v="S-1 Pendidikan Ekonomi"/>
        <s v="Pendidikan Geografi "/>
        <s v="Ekonomi Islam"/>
        <s v="S-1 Kimia"/>
        <s v="S1 - Ilmu Hadis"/>
        <s v="S-1 Tadris Matematika"/>
        <s v="D4 - Teknologi Rekayasa Kimia Industri"/>
        <s v="Biologi"/>
        <s v="AKUNTANSI PERPAJAKAN"/>
        <s v="Sarjana Pendidikan Agama Islam"/>
        <s v="Teknologi Hasil Perikanan"/>
        <s v="S1 - Pendidikan Biologi"/>
        <s v="S-1 Biologi"/>
        <s v="S1- Pendidikan Ekonomi"/>
        <s v="PENDIDIKAN GURU MI"/>
        <s v="Pendidikan Ilmu Pengetahuan Alam "/>
        <s v="Agribisnis"/>
        <s v="S1 - Pendidikan Guru Sekolah Dasar"/>
        <s v="Pendidikan Teknik Elektro"/>
        <s v="S1 PGSD "/>
      </sharedItems>
    </cacheField>
    <cacheField name="Asal Universitas S-1/D-IV" numFmtId="0">
      <sharedItems>
        <s v="UNIVERSITAS TUNAS PEMBANGUNAN SURAKARTA "/>
        <s v="Universitas Negeri Semarang"/>
        <s v="Universitas Muhammadiyah Surakarta"/>
        <s v="Universitas Halu Oleo"/>
        <s v="Universitas Muhammadiyah Purwokerto"/>
        <s v="Universitas Telkom"/>
        <s v="Universitas Dayanu Ikhsanuddin"/>
        <s v="Universitas Sebelas Maret "/>
        <s v="UNS"/>
        <s v="Universitas Sebelas Maret"/>
        <s v="Universitas Negeri Makassar"/>
        <s v="Universitas Tidar"/>
        <s v="Universitas Muhammadiyah Magelang"/>
        <s v="Universitas Negeri Yogyakarta"/>
        <s v="Universitas Jember"/>
        <s v="Universitas Islam Negeri Salatiga"/>
        <s v="UMS"/>
        <s v="STKIP NU INDRAMAYU"/>
        <s v="Universitas Ivet Semarang"/>
        <s v="Universitas Islam Negeri Alauddin Makassar"/>
        <s v="Institut Agama Islam Negeri (IAIN) Kendari"/>
        <s v="Universitas Slamet Riyadi Surakarta"/>
        <s v="Universitas Teknologi Yogyakarta"/>
        <s v="Universitas Islam Indonesia"/>
        <s v="Universitas Dinamika Bangsa"/>
        <s v="Universitas Sembilanbelas November Kolaka"/>
        <s v="Institut Agama Islam Negeri Kendari"/>
        <s v="Universitas Terbuka"/>
        <s v="Universitas Negeri Malang"/>
        <s v="Universitas Islam Negeri Sunan Ampel Surabaya "/>
        <s v="Universitas Islam Negeri Walisongo"/>
        <s v="Universitas Muhammadiyah Metro"/>
        <s v="Universitas Sriwijaya "/>
        <s v="Universitas Islam Negeri Sunan Ampel Surabaya"/>
        <s v="UIN Salatiga &amp; Universitas Negeri Semarang"/>
        <s v="Universitas Muhammadiyah Surakarta "/>
        <s v="Universitas Sebelas Maret (UNS)"/>
        <s v="universitas Riau"/>
        <s v="INSTITUT AGAMA ISLAM NEGERI TULUNGAGUNG"/>
        <s v="Universitas Negeri Surabaya"/>
        <s v="Universitas Negeri Makassar "/>
        <s v="Universitas PGRI Madiun"/>
        <s v="IAIN AMBON"/>
        <s v="STKIP PGRI Sumenep"/>
        <s v="S-1 Universitas Negeri Yogyakarta"/>
        <s v="Universitas Halu Oleo "/>
        <s v="Institut Agama Islam Negeri Kendari "/>
        <s v="Universitas Tidar "/>
        <s v="Universitas Muhammadiyah Kendari"/>
        <s v="IAIN Parepare "/>
        <s v="Universitas Kristen Satya Wacana"/>
        <s v="Universitas Muhammadiyah Gorontalo "/>
        <s v="Universitas islam negeri datokarama palu"/>
        <s v="Sekolah Tinggi Filsafat Driyarkara"/>
        <s v="Sekolah Tinggi Agama Katolik Negeri Pontianak"/>
        <s v="Universitas Muhammadiyah Sidoarjo"/>
        <s v="Universitas Sains Alquran"/>
        <s v="Universitas Negeri Medan"/>
        <s v="universitas islam negeri Mataram"/>
        <s v="Universitas Pancasakti Tegal"/>
        <s v="Universitas Islam Negeri Sunan Kalijaga"/>
        <s v="UIN Sunan Kudus "/>
        <s v="Universitas Terbuka "/>
        <s v="Universitas Islam Sultan Agung Semarang"/>
        <s v="UIN Mataram"/>
        <s v="IAIN Purwokerto"/>
        <s v="Universitas PGRI Semarang"/>
        <s v="UIN Sunan Gunung Djati Bandung"/>
        <s v="Universitas Negeri Semarang "/>
        <s v="UNIVERSITAS ISLAM NEGERI SAYYID ALI RAHMATULLAH TULUNGAGUNG"/>
        <s v="Universitas Muhammadiyah Semarang"/>
        <s v="UIN Salatiga"/>
        <s v="STAI Al-Barokah Sukabumi "/>
        <s v="UNIVERSITAS PANCA MARGA PROBOLINGGO"/>
        <s v="Institut Agama Islam Negeri Kudus"/>
        <s v="UNIVERSITAS DARUSSALAM GONTOR"/>
        <s v="SEKOLAH TINGGI AGAMA ISLAM (STAI) KUALA KAPUAS"/>
        <s v="Universitas Pendidikan Indonesia "/>
        <s v="UIN SUNAN AMPEL SURABAYA "/>
        <s v="Universitas Mataram "/>
        <s v="UNIVERSITAS ISLAM DARUL 'ULUM LAMONGAN"/>
        <s v="Universitas Mataram"/>
        <s v="Universitas Muhammadiyah Jakarta "/>
        <s v="Universitas Negeri Padang "/>
        <s v="Universitas Muhammadiyah Makassar"/>
        <s v="Universitas Pattimura"/>
        <s v="UIN SUMATERA UTARA"/>
        <s v="Universitas Islam Negeri Sultan Syarif Kasim Riau"/>
        <s v="universitas siliwangi"/>
        <s v="Universitas Islam Riau"/>
        <s v="Universitas Tadulako"/>
        <s v="UNiversitas Mpu Tantular jakarta"/>
        <s v="UIN Sunan Kalijaga Yogyakarta"/>
        <s v="Universitas Muhammadiyah Purworejo"/>
        <s v="Universitas Jambi"/>
        <s v="STKIP PGRI BANDAR LAMPUNG"/>
        <s v="STAI Al-Azhary Cianjur"/>
        <s v="Universitas Islam Lamongan"/>
        <s v="UIN Walisongo Semarang"/>
        <s v="STAI Sabili Bandung"/>
        <s v="UIN Syarif Hidayatullah Jakarta"/>
        <s v="Universitas Syiah Kuala "/>
        <s v="UIN Imam Bonjol Padang"/>
        <s v="UNIVERSITAS BENGKULU"/>
        <s v="UIN Sunan Kudus"/>
        <s v="Universitas Kristen Indonesja Toraja"/>
        <s v="Universitas Islam Nahdlatul Ulama Jepara"/>
        <s v="Universitas Diponegoro"/>
        <s v="Universitas Syiah Kuala"/>
        <s v="POLITEKNIK UNGGUL LP3M"/>
        <s v="IAIN Pekalongan"/>
        <s v="Universitas Sriwijaya"/>
        <s v="UNISNU JEPARA"/>
        <s v="Universitas Cokroaminoto Palopo"/>
        <s v="Universitas Bengkulu "/>
        <s v="Universitas Samudra"/>
        <s v="Universitas Sultan Agung Semarang"/>
        <s v="Universitas Islam Negeri Sunan Gunung Djati Bandung"/>
        <s v="Universitas Trunojoyo Madura "/>
        <s v="Universitas Islam 45 Bekasi"/>
      </sharedItems>
    </cacheField>
    <cacheField name="Bidang Studi PPG (sesuai yg tertulis di Serdik)" numFmtId="0">
      <sharedItems>
        <s v="Pendidikan Jasmani, Olahraga, dan Kesehatan (PJOK)"/>
        <s v="Biologi"/>
        <s v="Bahasa Indonesia"/>
        <s v="Seni Budaya"/>
        <s v="Ilmu Pengetahuan Alam (IPA)"/>
        <s v="Informatika"/>
        <s v="Matematika"/>
        <s v="Sejarah"/>
        <s v="Bimbingan dan Konseling"/>
        <s v="Akuntansi dan Keuangan"/>
        <s v="Pendidikan Guru Sekolah Dasar (PGSD)"/>
        <s v="Bahasa Jawa"/>
        <s v="Bahasa Inggris"/>
        <s v="Pendidikan Pancasila dan Kewarganegaraan (PKn)"/>
        <s v="Ekonomi"/>
        <s v="Geografi"/>
        <s v="Fisika"/>
        <s v="Kimia"/>
        <s v="Lainnya"/>
        <s v="Agama Islam"/>
        <s v="Pendidikan Guru PAUD (PG-PAUD)"/>
        <s v="Kimia Analisis"/>
      </sharedItems>
    </cacheField>
    <cacheField name="Angkatan PPG" numFmtId="0">
      <sharedItems>
        <s v="PPG Calon Guru Gelombang 2 Tahun 2024"/>
        <s v="PPG Prajabatan Gelombang 2 Tahun 2022"/>
        <s v="PPG Prajabatan Gelombang 1 Tahun 2024"/>
        <s v="PPG Prajabatan Gelombang 1 Tahun 2023"/>
        <s v="PPG Prajabatan Gelombang 2 Tahun 2023"/>
        <s v="PPG Prajabatan Gelombang 1 Tahun 2022"/>
        <s v="Lainnya"/>
      </sharedItems>
    </cacheField>
    <cacheField name="Tahun Lulus PPG&#10;(sesuai dengan tahun penerbitan Sertifikat Pendidik)" numFmtId="0">
      <sharedItems containsString="0" containsBlank="1" containsNumber="1" containsInteger="1">
        <n v="2025.0"/>
        <n v="2023.0"/>
        <n v="2024.0"/>
        <n v="2026.0"/>
        <m/>
      </sharedItems>
    </cacheField>
    <cacheField name="IPK saat S1" numFmtId="0">
      <sharedItems>
        <s v="3.57"/>
        <s v="3.49"/>
        <s v="3.79"/>
        <s v="3.28"/>
        <s v="3.35"/>
        <s v="3.45"/>
        <s v="3.36"/>
        <s v="3.05"/>
        <s v="3,57"/>
        <s v="3.72"/>
        <s v="3.66"/>
        <s v="3,65"/>
        <s v="3.69"/>
        <s v="3.63"/>
        <s v="3,67"/>
        <s v="3.38"/>
        <s v="3.42"/>
        <s v="3.82"/>
        <s v="3.55"/>
        <s v="3.71"/>
        <s v="3.62"/>
        <s v="3.74"/>
        <s v="3.77"/>
        <s v="3,71"/>
        <s v="3.8"/>
        <s v="3.59"/>
        <s v="3.58"/>
        <s v="3.46"/>
        <s v="3.93"/>
        <s v="3.92"/>
        <s v="3,45"/>
        <s v="3.11"/>
        <s v="3.70"/>
        <s v="3.73"/>
        <s v="3,74"/>
        <s v="3,77"/>
        <s v="3.67"/>
        <s v="3.56"/>
        <s v="3,58"/>
        <s v="3.40"/>
        <s v="3,8"/>
        <s v="3.87"/>
        <s v="3,78"/>
        <s v="3,6"/>
        <s v="3.43"/>
        <s v="IPK S1 3.89 &amp; IPK S2 3.97"/>
        <s v="3.30"/>
        <s v="3.60"/>
        <s v="3.41"/>
        <s v="2.65"/>
        <s v="3.34"/>
        <s v="3.64"/>
        <s v="3,76"/>
        <s v="3.44"/>
        <s v="3.53"/>
        <s v="2,75"/>
        <s v="3.16"/>
        <s v="3.17"/>
        <s v="3.78"/>
        <s v="3.85"/>
        <s v="3.75"/>
        <s v="3,88"/>
        <s v="3.54"/>
        <s v="3.10"/>
        <s v="3.47"/>
        <s v="3.37"/>
        <s v="3,33"/>
        <s v="3.68"/>
        <s v="3,42"/>
        <s v="3.76"/>
        <s v="2.96"/>
        <s v="3.88"/>
        <s v="3,12"/>
        <s v="3.52"/>
        <s v="3,75"/>
        <s v="3.89"/>
        <s v="3.4"/>
        <s v="3.19"/>
        <s v="2,89"/>
        <s v="3.90"/>
        <s v="3.39"/>
        <s v="2,95"/>
        <s v="3.04"/>
        <s v="2.84"/>
        <s v="3,28"/>
        <s v="3,63"/>
        <s v="3.84"/>
        <s v="3.31"/>
        <s v="3.20"/>
        <s v="3.23"/>
        <s v="3,86"/>
        <s v="3,13"/>
        <s v="3.91"/>
        <s v="4.00"/>
        <s v="3.51"/>
        <s v="3,62"/>
        <s v="3.65"/>
      </sharedItems>
    </cacheField>
    <cacheField name="IPK saat PPG" numFmtId="0">
      <sharedItems>
        <s v="3.88"/>
        <s v="3.94"/>
        <s v="3.86"/>
        <s v="4.00"/>
        <s v="3.98"/>
        <s v="4.0"/>
        <s v="3.97"/>
        <s v="3,68"/>
        <s v="3.84"/>
        <s v="3.95"/>
        <s v="3,73"/>
        <s v="3.96"/>
        <s v="-"/>
        <s v="4"/>
        <s v="3.91"/>
        <s v="3.85"/>
        <s v="3,94"/>
        <s v="3.87"/>
        <s v="3.90"/>
        <s v="3.93"/>
        <s v="3,97"/>
        <s v="3.83"/>
        <s v="3.50"/>
        <s v="3,85"/>
        <s v="3,8"/>
        <s v="3,93"/>
        <s v="3.82"/>
        <s v="90,13"/>
        <s v="3,91"/>
        <s v="3"/>
        <s v=" 86.66"/>
        <s v="3.25"/>
        <s v="3.89"/>
        <s v="Tidak ada Transkrip PPG, Hanya Sertifikat Pendidik "/>
        <s v="3.80"/>
        <s v="3.99"/>
        <s v="3.31"/>
        <s v="3,96"/>
        <s v="Tidak ada"/>
        <s v="3,25"/>
        <s v="Belum pernah PPG"/>
        <s v="3,65"/>
        <s v="3.7"/>
        <s v="LPTK tempat saya PPG (UPI) Tidak mengeluarkan transkrip nilai."/>
        <s v="Maaf tidak ada"/>
        <s v="3.70"/>
        <s v="3.39"/>
        <s v="3,22"/>
        <s v="3, 74 "/>
        <s v="3,15"/>
        <s v="129"/>
        <s v="3.00"/>
        <s v="Tidak ada transkrip nilai dari LPTK"/>
        <s v="3.35"/>
        <s v="3,7"/>
        <s v="0"/>
        <s v="."/>
        <s v="3.92"/>
        <s v="3.72"/>
        <s v="3.65"/>
        <s v="3,89"/>
        <s v="3,69"/>
        <s v="_"/>
        <s v="3,5"/>
        <s v="Tidak ada transkirp nilai"/>
        <s v="3.75"/>
        <s v="3,78"/>
      </sharedItems>
    </cacheField>
    <cacheField name="Domisili Anda saat ini? (Contoh : Kota Surakarta, Jawa Tengah)" numFmtId="0">
      <sharedItems>
        <s v="Sukoharjo, Jawa Tengah"/>
        <s v="Kabupaten Boyolali, Jawa Tengah"/>
        <s v="Sragen, Jawa Tengah"/>
        <s v="Banyumas, Jawa Tengah"/>
        <s v="Kota kendari, Sulawesi Tenggara"/>
        <s v="SURAKARTA"/>
        <s v="Kedungrandu RT 1 RW 3, Kecamatan Patikraja, Kabupaten Banyumas"/>
        <s v="Klaten, Jawa Tengah"/>
        <s v="Kota Baubau, Sulawesi Tenggara"/>
        <s v="Surakarta, Jawa Tengah "/>
        <s v="Wonogiri, Jawa Tengah"/>
        <s v="Kota Surakarta, Jawa Tengah"/>
        <s v="Kabupaten Karanganyar, Jawa Tengah"/>
        <s v="Kabupaten Maros"/>
        <s v="Boyolali, Jawa Tengah"/>
        <s v="Kabupaten Magelang"/>
        <s v="Desa Krenceng, Rt 02 Rw 01 Kec.Kejobong, Kab.Purbingga, Jawa Tengah"/>
        <s v="Kabupaten Kebumen, Jawa Tengah"/>
        <s v="Kabupaten Pati"/>
        <s v="Karanganyar, Jawa Tengah"/>
        <s v="Kabupaten Bondowoso, Jawa Timur"/>
        <s v="Kota Salatiga, Jawa Tengah"/>
        <s v="Boyolali, Jawa Tengah "/>
        <s v="Kabupaten Jepara, Jawa Tengah"/>
        <s v="Jepara, Jawa Tengah"/>
        <s v="Konawe Utara, Sulawesi Tenggara"/>
        <s v="Kabupaten Muna, Sulawesi Tenggara "/>
        <s v="Kabupaten Muna, Sulawesi Tenggara"/>
        <s v="Surakarta, Jawa Tengah"/>
        <s v="Lampung selatan, Lampung"/>
        <s v="Purworejo, Jawa Tengah"/>
        <s v="Kecamatan Susukan, Kabupaten Semarang, Jawa Tengah"/>
        <s v="Kabupaten Purworejo, Jawa Tengah"/>
        <s v="Banyudono, Boyolali, Jawa Tengah"/>
        <s v="Kabupaten Musi Banyuasin, Sumatera Selatan"/>
        <s v="Kec. Mawasangka Tengah, Kabupaten Buton Tengah, Prov. Sulawesi Tenggara."/>
        <s v="Kebumen, Jawa Tengah"/>
        <s v="Kota Rembang, Jawa Tengah"/>
        <s v="kota bangko kabupaten merangin provinsi jambi"/>
        <s v="Kab.grobogan"/>
        <s v="Kab. Ngawi, Jawa Timur"/>
        <s v="Kabupaten Magelang "/>
        <s v="Kediri, Jawa Timur "/>
        <s v="Lampung Timur, Lampung"/>
        <s v="Kab Sragen, Jawa Tengah "/>
        <s v="Sidoarjo"/>
        <s v="Kota Semarang, Jawa Tengah"/>
        <s v="Kota Surakarta"/>
        <s v="Kendari, Sulawesi Tenggara"/>
        <s v="Demak, Jawa Tengah"/>
        <s v="Kabupaten Grobogan, Jawa Tengah "/>
        <s v="KAB. PATI"/>
        <s v="Kabupaten Blora, Jawa Tengah"/>
        <s v="Kabupaten Jepara, Jawa Tengah "/>
        <s v="KABUPATEN KEDIRI, JAWA TIMUR"/>
        <s v="Kabupaten Kediri"/>
        <s v="Kabupaten Magelang, Jawa Tengah"/>
        <s v="Kabupaten Buton, Sulawesi Tenggara"/>
        <s v="Sukoharjo Jawa Tengah"/>
        <s v="Kabupaten Sleman, Daerah Istimewa Yogyakarta"/>
        <s v="Madiun, Jawa Timur"/>
        <s v="Desa Labone, Kec. Lasalepa, Kab. Muna, Sulawesi Tenggara"/>
        <s v="Kota Pekalongan, Jawa Tengah"/>
        <s v="RAHA, SULAWESI TENGGARA"/>
        <s v="Kota Baubau "/>
        <s v="KOTA AMBON"/>
        <s v="Kabupaten Sumenep, Jawa Timur"/>
        <s v="Kabupaten Bombana, Sulawesi Tenggara "/>
        <s v="Kabupaten Wonogiri, Jawa Tengah"/>
        <s v="Buton Tengah, Sulawesi Tenggara "/>
        <s v="Kabupaten Blora, Jawa Tengah "/>
        <s v="Kabupaten Sidoarjo, Jawa Timur"/>
        <s v="Kabupaten Bombana, Sulawesi Tenggara"/>
        <s v="Kudus, Jawa Tengah"/>
        <s v="OKU Timur, Sumatera Selatan "/>
        <s v="Kota palu, Sulawesi Tengah "/>
        <s v="Kota Kendari "/>
        <s v="Kabupaten Tulang Bawang, Lampung"/>
        <s v="Kota Blora, Jawa Tengah "/>
        <s v="Kota Gorontalo, Provinsi Gorontalo"/>
        <s v="Kota palu, sulawesi tengah"/>
        <s v="Kabupaten Pekalongan, Jawa Tengah"/>
        <s v="Kabupaten Sragen, Jawa Tengah "/>
        <s v="Banjarnegara, Jawa Tengah"/>
        <s v="Desa Kulidawa, Kabupaten Muna"/>
        <s v="Kecamatan Tongkuno Selatan, Kabupaten Muna"/>
        <s v="Monosari Donorojo Tegalrejo Magelang Jawa Tengah"/>
        <s v="Desa Kabawo, Kabupaten Muna, Sulawesi Tenggara"/>
        <s v="Malang, Jawa Timur"/>
        <s v="Sidoarjo, Jawa Timur"/>
        <s v="Kota Kudus, Jawa Tengah"/>
        <s v="Kab. Tulungagung, Jawa Timur"/>
        <s v="Medan"/>
        <s v="Kabupaten Tegal, Jawa Tengah"/>
        <s v="Kendari, Sulawesi Tenggara "/>
        <s v="Samarinda, Kalimantan Timur"/>
        <s v="Sumanding RT 13 RW 4 Kembang Jepara "/>
        <s v="Sumatera Selatan "/>
        <s v="Kota jepara, Jawa tengah"/>
        <s v="Lombok Timur, NUSA TENGGARA BARAT"/>
        <s v="Purwokerto Banyumas, Jawa Tengah"/>
        <s v="Brebes, Jawa Tengah "/>
        <s v="Kabupaten Garut, Jawa Barat"/>
        <s v="Kudus"/>
        <s v="KABUPATEN KEDIRI JAWA TIMUR"/>
        <s v="Semarang, Jawa Tengah"/>
        <s v="Jakarta Timur, DKI Jakarta "/>
        <s v="KOTA PROBOLINGGO, JAWA TIMUR"/>
        <s v="Kabupaten Kudus, Jawa Tengah"/>
        <s v="Kab. Mojokerto"/>
        <s v="Kapuas, Kalimantan Tengah"/>
        <s v="Kota Lubuklinggau, Sumatera Selatan "/>
        <s v="kota Surabaya "/>
        <s v="Desa Kawo, Lombok Tengah, NTB "/>
        <s v="GRESIK, JAWA TIMUR"/>
        <s v="Kota Lombok Timur, Nusa Tenggara Barat"/>
        <s v="Tangerang Selatan, Banten "/>
        <s v="Kota Muara Bulian, Jambi"/>
        <s v="Desa Toli-Toli, Kabupaten Bombana, provinsi Sulawesi Tenggara "/>
        <s v="Grobogan, Jawa Tengah"/>
        <s v="Kota Saparua, Maluku Tengah, Maluku"/>
        <s v="Kabupaten Banyuwangi, Jawa Timur"/>
        <s v="KABUPATEN MANDAILING NATAL, SUMATERA UTARA"/>
        <s v="Kota Pekanbaru, Riau"/>
        <s v="Kota tasikmalaya, Jawa Barat"/>
        <s v="Kota Bandung, Jawa Barat"/>
        <s v="Kabupaten Poso, Sulawesi Tengah"/>
        <s v="KOta Luwu Timur, Sulawesi Selatan"/>
        <s v="Kabupaten Nganjuk, Jawa Timur"/>
        <s v="Yogyarkarta "/>
        <s v="Kota Semarang, Jawa Tengah "/>
        <s v="Kabupaten Magelang, Jawa Tengah "/>
        <s v="Kota Pacitan, Jawa Timur"/>
        <s v="Kabupaten Bogor"/>
        <s v="Kota Jambi, Jambi"/>
        <s v="Kabupaten Banjarnegara, Jawa tengah"/>
        <s v="Way Petai, Kec. Sumber Jaya, Lampung Barat"/>
        <s v="Kabupaten Cianjur, Jawa Barat"/>
        <s v="Rembang, Jawa Tengah"/>
        <s v="Jepara, Jawa TengaJEPARA, JAWA TENGAH"/>
        <s v="Kabupaten Kendal, Jawa Tengah"/>
        <s v="Pekanbaru, Riau"/>
        <s v="Cimahi, Jawa Barat"/>
        <s v="Tuban, Jawa Timur"/>
        <s v="Aceh Besar, Provinsi Aceh"/>
        <s v="Kota Padang, Sumatera Barat"/>
        <s v="Kab. Rembang, Jawa Tengah"/>
        <s v="Kota Bengkulu, Bengkulu"/>
        <s v="Toraja,Sulawesi Selatan"/>
        <s v="Solok Selatan, Sumatera Barat"/>
        <s v="KABUPATEN SIMEULUE"/>
        <s v="Kab. Jepara"/>
        <s v="Kabupaten Pekalongan"/>
        <s v="Kabupaten Lombok Timur, Nusa Tenggara Barat"/>
        <s v="Tana Toraja, Sulawesi Selatan"/>
        <s v="Kota Payakumbuh, Sumatera Barat"/>
        <s v="Humbang Hasundutan, Sumatera Utara"/>
        <s v="Kab. Grobogan, Jawa Tengah"/>
        <s v="Mayong, Jepara, Jawa Tengah"/>
        <s v="DESA DORANG KABUPATEN JEPARA JAWA TENGAH"/>
        <s v="Kota Makassar, Sulawesi Selatan"/>
        <s v="Kabupaten Subang, Jawa Barat"/>
        <s v="KABUPATEN BIMA, NUSA TENGGARA BARAT"/>
        <s v="Jepara, Jawa Tengah "/>
        <s v="Jember, Jawa Timur"/>
        <s v="Kabupaten Ngawi, Jawa Timur"/>
        <s v="Kota Bekasi, Jawa Barat"/>
        <s v="Kabupaten Ogan Komering Ilir, Sumatera Selatan "/>
        <s v="Kota Tegal, Jawa Tengah"/>
        <s v="Kota Padangsidimpuan, Sumatera Utara"/>
      </sharedItems>
    </cacheField>
    <cacheField name="Berkedudukan sebagai calon PNS, PNS, PPPK, PPPK Paruh Waktu, prajurit Tentara Nasional Indonesia, atau anggota Kepolisian Negara Republik Indonesia;" numFmtId="0">
      <sharedItems>
        <s v="Tidak"/>
        <s v="Ya"/>
      </sharedItems>
    </cacheField>
    <cacheField name="Jabatan dan Lokasi TPP yang dilamar" numFmtId="0">
      <sharedItems>
        <s v="Tenaga pendampingan pembelajaran mata Pelajaran Penjasorkes"/>
        <s v="Tenaga pendampingan pembelajaran mata Pelajaran Ilmu Pengetahuan Alam (IPA) untuk mengajar mata pelajaran Biologi, Kimia, Fisika"/>
        <s v="Tenaga pendampingan pembelajaran mata Pelajaran Bahasa Indonesia"/>
        <s v="Tenaga pendampingan pembelajaran mata Pelajaran Seni, Budaya, dan Prakarya"/>
        <s v="Tenaga pendampingan pembelajaran mata pelajaran TIK"/>
        <s v="Tenaga pendampingan pembelajaran mata Pelajaran Matematika (umum)"/>
        <s v="Tenaga pendampingan pembelajaran mata Pelajaran Ilmu Pengetahuan Sosial (IPS) untuk mengajar mata pelajaran Sosiologi, Ekonomi, Geografi, dan Sejarah"/>
        <s v="Tenaga pendampingan pembelajaran mata Pelajaran Bimbingan dan Konseling"/>
        <s v="Tenaga pendampingan pembelajaran mata Pelajaran Bahasa Inggris"/>
        <s v="Tenaga pendampingan pembelajaran mata Pelajaran Pendidikan Pancasila"/>
        <s v="Kabupaten Buton Tengah - Tenaga pendampingan pembelajaran mata Pelajaran Pendidikan Pancasila"/>
        <s v="Kabupaten Jepara - Tenaga pendampingan pembelajaran mata Pelajaran Bahasa Inggris"/>
        <s v="Kabupaten Buton Tengah - Tenaga pendampingan pembelajaran mata pelajaran TIK"/>
        <s v="Kabupaten Buton Tengah - Tenaga pendampingan pembelajaran mata Pelajaran Bahasa Inggris"/>
        <s v="Kabupeten Jepara - Tenaga pendampingan pembelajaran mata pelajaran Pendidikan Agama Kristen"/>
        <s v="Kabupaten Buton Tengah - Tenaga pendampingan pembelajaran mata pelajaran Pendidikan Agama Islam"/>
        <s v="Kabupaten Buton Tengah - Tenaga pendampingan pembelajaran mata Pelajaran Seni, Budaya, dan Prakarya"/>
        <s v="Kabupaten Buton Tengah - Tenaga pendampingan pembelajaran mata pelajaran Pendidikan Agama Katolik"/>
        <s v="Kabupaten Buton Tengah - Tenaga pendampingan pembelajaran mata pelajaran Ekonomi"/>
        <s v="Kabupaten Buton Tengah - Tenaga pendampingan pembelajaran mata pelajaran FISIKA"/>
        <s v="Kabupaten Jepara - Tenaga pendampingan pembelajaran mata pelajaran Pendidikan Ilmu Pengetahuan Alam (IPA)"/>
        <s v="Kabupaten Jepara - Tenaga pendampingan pembelajaran mata pelajaran Pendidikan Agama Islam"/>
      </sharedItems>
    </cacheField>
    <cacheField name="Pilihan Lokasi Sekolah Nasional Terintegrasi" numFmtId="0">
      <sharedItems containsBlank="1">
        <s v="Kabupaten Jepara, Jawa Tengah"/>
        <s v="Kabupaten Buton Tengah, Sulawesi Tenggara"/>
        <m/>
      </sharedItems>
    </cacheField>
    <cacheField name="Sertifikat Pelatihan Peningkatan Komptenesi (5 tahun terakhir)" numFmtId="0">
      <sharedItems>
        <s v="https://drive.google.com/drive/folders/1dsYqEqelctlZxB4Hys2aTvWw_xo7AZBD?usp=drive_link "/>
        <s v="https://drive.google.com/drive/folders/16x0nmGx6I5WGw8jgQGGJwL-c62fCaeiM?usp=drive_link"/>
        <s v="https://drive.google.com/drive/folders/1sbX_gWwophHrTMrZOyC0f5Nbdw36cMSx"/>
        <s v="-"/>
        <s v="https://drive.google.com/file/d/1RTVKYZC70VNFZ0Li44B1okppAyidoSP2/view?usp=sharing"/>
        <s v="https://drive.google.com/drive/folders/1zI1VsvS3r7N2xgGHzHSOeXsPBlYpL9ku?usp=sharing"/>
        <s v="https://drive.google.com/file/d/1X90srqhGWSBgzBIWf55Q0lMEEvUwXmVt/view?usp=sharing"/>
        <s v="https://drive.google.com/drive/folders/1M6zYjueC4knG4C45THwrSOKv3fiE93TK?usp=sharing"/>
        <s v="https://drive.google.com/drive/folders/1W1SJkFGvffoQIz8_dEpLvZ7DVpQoENcq?usp=sharing"/>
        <s v="https://drive.google.com/drive/folders/14p8zvTWQB0cfS1KGcdo-A9IR61ZpUngs"/>
        <s v="https://drive.google.com/drive/folders/1e8cKyNE3L_Zkdzx_WNKYqXprhRNVOZaq?usp=sharing"/>
        <s v="https://drive.google.com/drive/folders/11lA10UXXoYhzvsfhUICgbtGtbGv8eSte"/>
        <s v="https://uns.id/sertifpendidikanthaariq"/>
        <s v="https://drive.google.com/drive/folders/1PUlPUxJ9ULoWvGmLXEt0GU-YNtECwhXO"/>
        <s v="https://drive.google.com/drive/folders/12b_894tcCUKoJy5WHk7I7pof-VbaAG9v?usp=sharing"/>
        <s v="https://drive.google.com/folderview?id=1-H0dgyCTkBx1Sx2sbwB_7BZN52kyclaR"/>
        <s v="https://drive.google.com/drive/folders/1m91u-ixafYRtV4PP1DwSgpzZITA4pMTK?usp=sharing"/>
        <s v="https://drive.google.com/drive/folders/1qirwr70MFDx3AkmSPCtOXtF91TmXq43v"/>
        <s v="https://drive.google.com/drive/folders/1qtGqu3dQCug1Ta3kijfkP0VPhlHpTTpT?usp=drive_link"/>
        <s v="https://drive.google.com/drive/folders/1L5fpaS1ICiKr9JtvjgoxgIawdl_9z-EH?usp=sharing"/>
        <s v="https://drive.google.com/drive/folders/13-I7mBQQA8ynEqdL74VxwPk3mvJOc4i4"/>
        <s v="https://drive.google.com/drive/folders/1adI29tKHJKq3bur8xGZSWfHHrhJWKmVY"/>
        <s v="https://drive.google.com/drive/folders/1tEAq9LnaQpzTD0-eTxuLY8gkiO9MuXKQ?usp=sharing"/>
        <s v="https://drive.google.com/drive/folders/1k_AcGyq3Q6qsc9WEwa0jYfv1W0X4zc2g?usp=sharing"/>
        <s v="https://drive.google.com/drive/folders/1gZ-dtO59v_zpZMFk_rlSncfOBy3CNMlI"/>
        <s v="https://drive.google.com/drive/folders/1bnp3dRme-Dr3vc9InIaUR0cB0yXpXWIB?usp=sharing"/>
        <s v="https://drive.google.com/drive/folders/1udkPKpK1nytH6b-EDpdcT6Od2JddCBv0?usp=drive_link"/>
        <s v="https://drive.google.com/drive/folders/106d7lnYeq5BLtiUnJLXPSLeoEJCTNUMm"/>
        <s v="https://drive.google.com/drive/folders/1KQEjYEuRliiWwNZ-UeRxx7vH3kFna984?usp=drive_link"/>
        <s v="https://drive.google.com/drive/folders/1Eg6r0rlH0F6MAdubmYPJPFh87S0nvJrm"/>
        <s v="https://drive.google.com/drive/folders/18oRqAvm67ggqMfNCM47RhToEBBLw5A_4?usp=sharing"/>
        <s v="https://drive.google.com/drive/folders/1zgl0YiZyomWwF6BEe19h0ZLsRC-Uf7It"/>
        <s v="https://drive.google.com/drive/folders/17MT469v6DaHmpoLFdWBe241N_dObmepV?usp=drive_link"/>
        <s v="https://drive.google.com/file/d/1wDAZ_wDIjpdbkq8h7kXvWAEEOa7ESmDe/view?usp=drivesdk"/>
        <s v="https://drive.google.com/drive/folders/1mjoMheW0r7Ofaf4cfqv62KvsYys3__xT"/>
        <s v="https://drive.google.com/drive/folders/14p8zvTWQB0cfS1KGcdo-A9IR61ZpUngs?usp=sharing"/>
        <s v="https://drive.google.com/file/d/1Oge2a8bGcTr_G7WIckjygM9_RiWe7iGW/view?usp=drive_link"/>
        <s v="https://drive.google.com/file/d/10j2MkzdpbRaZnGiceEXvNFNioXggv2oa/view?usp=drivesdk"/>
        <s v="https://drive.google.com/drive/folders/1wEPRgq-LJktmgSReVBVb_4qjO7jjp2A7?usp=sharing"/>
        <s v="https://drive.google.com/file/d/1frp5f7viKQmAZ4FGqYLgdVweGBRuM-xe/view?usp=drivesdk"/>
        <s v="Pengembangan pelajaran kurikulum merdeka berbasis deep learning "/>
        <s v="https://drive.google.com/drive/folders/1ccEHDmuRI-CaQCVHWlmbkSJaZSQVRxo1?usp=sharing"/>
        <s v="https://drive.google.com/drive/folders/1tqTpPQoGWEtiCT-mKwOtGeLfdy_v-npn?usp=sharing"/>
        <s v="https://drive.google.com/file/d/1fvxuC08fBawppDkd6tqKsyylKScIuoU7/view?usp=drivesdk"/>
        <s v="https://drive.google.com/drive/folders/16GwGT8p7LK41HG2eey6WNFgDG4WrNk9m?usp=sharing"/>
        <s v="https://drive.google.com/file/d/1mZaiMfFkLgfg4XOc-kQwjCkdCNMpvDMs/view?usp=drivesdk "/>
        <s v="https://drive.google.com/drive/folders/1oEwTcAljZevTWrYYCIZ2Ve4RKXCETdJg?usp=sharing"/>
        <s v="https://drive.google.com/drive/folders/1HhzMRvnjbxoaiiZE49d6huoyL_PJs3RL?usp=sharing"/>
        <s v="berhasil membangun edutech calonguru.id platform belajar &amp; tryout untuk anak-anak freshgraduate S.Pd, serta saya lampirkan cv saya https://drive.google.com/file/d/1paa984DOZkQwQXMQYNSvq6GhRpgpI1fo/view?usp=sharing"/>
        <s v="https://drive.google.com/file/d/1JqeYKkI0snm15XS8a9iG7uO-GmS7ru9g/view?usp=drivesdk"/>
        <s v="https://drive.google.com/drive/folders/1u4l7ODolDKuTT4UpSd-ix0QVQbpTp03x "/>
        <s v="https://drive.google.com/drive/folders/1zVhPj5QDepY0nUwUvPu9qCFAbXVxhHQ5"/>
        <s v="https://drive.google.com/drive/folders/1y1R3g_Ps-NBszB-H-tBdEOwX7mUKl9pJ"/>
        <s v="https://drive.google.com/drive/folders/1Xt6h7jx3czj4afAue1YgIAboBHeGM2uR"/>
        <s v="https://drive.google.com/drive/folders/1DYyHuJ2wcuaLyFmqxKbSEYLJbbMqgJUz?usp=sharing"/>
        <s v="https://s.id/berkassertifikatSNThendra"/>
        <s v="https://drive.google.com/drive/folders/1Xc0MRju7g1H4dMvg8kLe33DxXZIsG0ok"/>
        <s v="https://drive.google.com/drive/folders/19pK6PbUXZ16YntCxA1TVSeVpSrRQULn9?usp=sharing"/>
        <s v="https://drive.google.com/drive/folders/18vwhzoAAIqFRo5rULGhDu-kLtx3XV-QY"/>
        <s v="https://drive.google.com/file/d/1mWsPvV-wLUvQFuPoZ0oy-IU7zRHdrqM2/view?usp=drivesdk"/>
        <s v="https://drive.google.com/file/d/1Cp2XvZpha_BsmVKXrwzzbt50zrXWFIgd/view?usp=sharing"/>
        <s v="https://drive.google.com/drive/folders/1ZqAJMDrwcjCIBwezainJPSq-Af5FR8ad?usp=sharing"/>
        <s v="Tidak ada"/>
        <s v=" https://drive.google.com/drive/folders/1oDDFY2xrlyT8xOLSLtaWcTorLaV2gd-T?usp=sharing"/>
        <s v="https://drive.google.com/drive/folders/1KztHH-x7AAkCa0Y68fAPNtOjI1uXYp8N"/>
        <s v="https://drive.google.com/drive/folders/1RiA64zDPMGWcUQJbujjzdvuiiFbqOYv-"/>
        <s v="https://drive.google.com/drive/folders/1_Lxo5HWobtllKRhx4DoAPo3psCWgujfd"/>
        <s v="https://drive.google.com/drive/folders/1QCz4bH3wjl2517dnFzL0-0FyB0_Hr0eA?usp=sharing"/>
        <s v="https://drive.google.com/drive/u/0/folders/1wXlUMPMbMO0PPDAIm87fHTYI2gRiO5u_"/>
        <s v="https://drive.google.com/drive/folders/1Eea9hOlnFGbYLubLsrKFIDH0A0S4mwyr"/>
        <s v="https://drive.google.com/drive/folders/1p-kQdNiRgjOIiTD_RhX1uvRJKUvgJ4xc?usp=sharing"/>
        <s v="https://drive.google.com/drive/folders/1mnSHPVEjQdxRANgN3JMjVU82XqtfeJhp?usp=sharing"/>
        <s v="https://drive.google.com/drive/folders/1Jo5cOOJOGSkcnrln3SZE_oV49sGq04i6?usp=drive_link"/>
        <s v="https://drive.google.com/drive/folders/1UYBeT19vfcK88TXH2vxKfNkkOJm3Yxon?usp=sharing"/>
        <s v="https://drive.google.com/drive/folders/1LTWCeJsS3uOTO0e7hqMI7AzpaE9Twr0Q "/>
        <s v="https://drive.google.com/drive/folders/1aYXA4C27v4RjA_Uci2XyWDLUHMd94gOA?usp=sharing"/>
        <s v="https://drive.google.com/drive/folders/1D4s0ysl23nOrJgQmY_nJosQ0JjPXaT2X"/>
        <s v="https://drive.google.com/drive/folders/1uiFCL4Z40gteEeW8JX4SV-y9TpDFELEc"/>
        <s v="https://drive.google.com/drive/folders/1zr9jpWWKJhLxyFvydPkYe9rMQodbRowa?usp=sharing"/>
        <s v="https://drive.google.com/file/d/14nqA5xOhaV7LTMonONLJ2-rWSCf3FYn0/view?usp=sharing"/>
        <s v="https://drive.google.com/drive/folders/1ndrLT3x5BYcWVV2mZSLe8u0fR4zUiFTP"/>
        <s v="https://drive.google.com/drive/folders/1FWmxvG1wvGsYFwBfDwOLmVkwH5i5gSik"/>
        <s v="https://drive.google.com/file/d/1-lG7m3YIWvMtVFoWqOY1Riq3aCDpb8XH/view?usp=drivesdk"/>
        <s v="https://drive.google.com/drive/folders/1ImdPZJI12fytqEYqcUZifUZ2g9G3zYFB?usp=drive_link"/>
        <s v="https://drive.google.com/drive/folders/1SZ1ZPD_q15yjwwsA-5ciCU9QFu3qcg6p?usp=sharing"/>
        <s v="https://drive.google.com/drive/folders/1XsMCUlchwcIlnTpW3i2f_44hqHIdj6Qd"/>
        <s v="https://drive.google.com/drive/folders/1p02hk2pCEFDBH0h7NzeD-PxmMvx7B-cD?usp=sharing"/>
        <s v="https://drive.google.com/file/d/1jmPnpkdUj4CdcXFPl_twQqpmV-vll49A/view?usp=drivesdk"/>
        <s v="https://drive.google.com/file/d/19Ubd3X6n9vO7MExQwm9X1dhc9Im7DoJY/view?usp=drivesdk"/>
        <s v="https://drive.google.com/drive/folders/1UNoT23QcdTdF_3ir_V4cXeO4FjtCrwLB?usp=sharing"/>
        <s v="https://drive.google.com/file/d/1pS04i2xTIU-TSFKGGeDCkV-lka3IOZG-/view?usp=drivesdk"/>
        <s v="https://drive.google.com/drive/folders/1FqKaaNX2nrXgqKMSZe5uRYiMZoC--UGS?usp=drive_link"/>
        <s v="https://drive.google.com/file/d/1MZapdCM3BI0aEDf1zUk79aECGn5lhx0U/view?usp=drivesdk"/>
        <s v="https://drive.google.com/file/d/1q2WATHk4Ogu6nNhq0EnQlwkB49xuDrUM/view?usp=drive_link"/>
        <s v="https://drive.google.com/drive/folders/13mZOYxtPxMB3lu4cg9nGsyp06JExoD3V"/>
        <s v="https://drive.google.com/file/d/1828YPcHKu6psAeNtu5uNmkT3uRrX203z/view?usp=drivesdk"/>
        <s v="https://drive.google.com/file/d/1q2WATHk4Ogu6nNhq0EnQlwkB49xuDrUM/view?usp=sharing"/>
        <s v="https://drive.google.com/drive/folders/1Yk_3znP-E_7NeJzSXSYZoZ4RQmCFsPVZ?usp=sharing"/>
        <s v="https://drive.google.com/file/d/1Q1G14BzAhbQSQoSiLSt9YJjxUYVzcP6x/view?usp=drivesdk "/>
        <s v="https://drive.google.com/drive/folders/1HSEr75Zc8RhUxysY7jW4NqvKaxmcwt7C?usp=sharing"/>
        <s v="https://drive.google.com/file/d/1tEeQRo0wNeGKuciO9W-2k-w4rrEA90mB/view?usp=drivesdk"/>
        <s v="https://drive.google.com/drive/folders/1mPwEHOmEtm1mnwgvhXtqIN7Ec_tO0qIR"/>
        <s v="https://drive.google.com/drive/project/1ypNhOfZ1ErOar424uG5L-X1688R0hlne?usp=sharing"/>
        <s v="https://drive.google.com/drive/folders/1hdzssX16IwtOVDMzPJYkcQjPZRYFPj5T?usp=sharing"/>
        <s v="https://drive.google.com/file/d/1KCjaHp7aBGdze2qoC9en5wf8eGI0n-zF/view?usp=drivesdk"/>
        <s v="https://drive.google.com/drive/folders/1W6SEKzHFkTmZeAxP_qWGJrfnGW2l_S8w?usp=drive_link"/>
        <s v="https://drive.google.com/drive/folders/157g7GPU2uWmVoir8HYWvwo04DYx70Q40?usp=drive_link"/>
        <s v="https://drive.google.com/drive/folders/1xHnwtPpiVK8lvJBgar1ydRN9UUdDr1Yq?hl=ID"/>
        <s v="https://drive.google.com/file/d/1ZxhM7GdDCe-RzJJ4vTn8VM15XtiEYoDy/view?usp=drive_link"/>
        <s v="tidak ada "/>
        <s v="https://drive.google.com/file/d/1ch7lfLBpgDwfd6eUCsp62QmQis-una8H/view?usp=drivesdk"/>
        <s v="https://drive.google.com/drive/folders/1_JjDTlCQ95Z2HSt2cr6Z-dG-f-XTqN5-"/>
        <s v="https://drive.google.com/drive/folders/1EQcbBqenLkSz0J9gJhtDto86pLrpaCuh?usp=sharing"/>
        <s v="https://drive.google.com/drive/folders/1IaQW-dcaYjHZUYV21uzLtWwjnRkNPlKR?usp=sharing"/>
        <s v="https://drive.google.com/drive/folders/19ZaeMbjpdH449ZYhMj6QlN3JF3TdnMn3?usp=sharing"/>
        <s v="https://drive.google.com/drive/folders/11AM3M-pMv6xsy4fEdku3wpgYdWZ-b-S9"/>
        <s v="https://drive.google.com/drive/folders/1ICeef0wQTCT9S8mdkQaRK57ifVIK1OcE?usp=sharing"/>
        <s v="https://drive.google.com/drive/folders/1-bEcGrl_eMrn6Y-BA6XicqyOiP1cPSgk?usp=sharing"/>
        <s v="https://drive.google.com/drive/folders/1GqJj_gTolCzY7IGi_gOauHlV5h4RcNxN"/>
        <s v="https://drive.google.com/drive/folders/1cegUgtvsI39sI0sj-raJPktHprolj2xl"/>
        <s v="https://drive.google.com/file/d/1b4bKuE3zYG0664rNvgYGLLQmJEAvlKdh/view?usp=drivesdk"/>
        <s v="https://drive.google.com/file/d/135s2eY1pnAEWfIfOiMIwnJXlWbqMIkCP/view?usp=sharing"/>
        <s v="https://drive.google.com/drive/folders/1BOLsbpZenoUTbTOk1887z8HGqXUo-DJ1"/>
        <s v="https://drive.google.com/drive/folders/1I6nLkdMZqvJAU2L43X-kVh_2_sopTxj3"/>
        <s v="https://drive.google.com/drive/folders/1LVjY_dM104LYW2SS6hI4p3y_74uBxRxg"/>
        <s v="https://drive.google.com/drive/folders/11TfA6roqNDL6OMfdjoFtc2YIMcUaqF6D?usp=sharing"/>
        <s v="https://drive.google.com/drive/folders/1WxNebxIxkO-FMfKaVDq0uLdP2F8Kp-nT?usp=sharing"/>
        <s v="https://drive.google.com/drive/folders/1YSuJjYatX6HeWWXX2IyrLBKYKqMxmqqH"/>
        <s v="https://drive.google.com/drive/folders/1QNufrZxxerCm2AkkS7Wgw_FZ8T9yjmy3"/>
        <s v="https://drive.google.com/file/d/1aPeTRXqQ99p9K_WWsJwflL0YYD7NrQtE/view?usp=drivesdk"/>
        <s v="https://drive.google.com/drive/folders/1U8I5vPnWwIsN2f8oExY0XJlhTyhNt1PA"/>
        <s v="https://drive.google.com/drive/folders/1VJy4PG02osf5uSvbOyUlKDU0QFevurqG?usp=sharing"/>
        <s v="https://drive.google.com/file/d/1XEWV9G_a3_JgM6mZMc5JldsOl8U470Wu/view?usp=sharing"/>
        <s v="https://drive.google.com/drive/folders/1BbNrhkBUeXGFB07Zu5rb0FC2-93aesfT?usp=sharing"/>
        <s v="https://drive.google.com/drive/folders/1ZuK6Alx0u8gVjOrN2gq-JmTFqgKbIK3s?usp=sharing"/>
        <s v="https://drive.google.com/drive/folders/12LUaQK14lrvAZLtekJDARU0MW4QyLkG5"/>
        <s v="https://drive.google.com/drive/folders/1qeMHbczXXxItu4qFzgGkONP6OQwnrXHl?usp=sharing"/>
        <s v="Mengikuti Pelatihan Seminar dan Lokakarya (Semiloka) Pendidikan Nasional Provinsi NTB dengan tema 'Strategi Mewujudkan Pendidikan Berkelas Dunia di Provinsi Nusa Tenggara Barat'"/>
        <s v="https://drive.google.com/drive/folders/1ToPxf64AlmpbPv5EB4LXPa-Ox2OwTg_V?usp=sharing"/>
        <s v="https://drive.google.com/drive/folders/12khkzgkqTtm8ioLxgimKuN7ckMlN-Ggm"/>
        <s v="https://drive.google.com/file/d/1Rh1b__zKa2ZQ_SzOjR0o3j4HYCMsynEu/view?usp=drivesdk"/>
        <s v="https://drive.google.com/drive/folders/1mDUGkIBhY1Wv5ag4XB8fO_0Bm-afpdlu"/>
        <s v="https://drive.google.com/file/d/1QpeKV6N66-DavRPQAc3vY6xsCgrW2E4B/view?usp=sharing"/>
        <s v="https://drive.google.com/drive/folders/1N2jay7_7fD6CXuUJXVyquYkJ893pc3oG?usp=sharing"/>
        <s v="https://drive.google.com/file/d/1h8qOTCelbwxtVvhCSeGdIZbKFlPC9Dh5/view?usp=drive_link"/>
        <s v="https://drive.google.com/drive/folders/1IKDXa-KVd8FNR0pkQjvYi7FSMJeSDV_I"/>
      </sharedItems>
    </cacheField>
    <cacheField name="Video Microteaching" numFmtId="0">
      <sharedItems>
        <s v="https://drive.google.com/file/d/1iCxSV9hd262CkcTCjL23f6n7t7EoV6ur/view?usp=sharing "/>
        <s v="https://drive.google.com/drive/folders/1LUwVcKfRJZTw2XbLLprTSDJ04eWDmd0c?usp=sharing"/>
        <s v="https://drive.google.com/drive/folders/1nSG76BaQdtMG-CDvZEJRGPQJe22CUPnC"/>
        <s v="https://drive.google.com/drive/folders/1yCvx2arxXyITby30A4zMMaHb1zIP3NMt?hl=ID "/>
        <s v="https://drive.google.com/drive/folders/1v7ET-0MLyK3nfkDv6QSCOQu7jdaH58zl"/>
        <s v="https://drive.google.com/drive/folders/1zI1VsvS3r7N2xgGHzHSOeXsPBlYpL9ku?usp=sharing"/>
        <s v="https://drive.google.com/drive/folders/1sDPOjTor3XOExzch1Qzi6KmtuS5XvMav?usp=drive_link"/>
        <s v="https://drive.google.com/drive/folders/1M6zYjueC4knG4C45THwrSOKv3fiE93TK?usp=sharing"/>
        <s v="https://drive.google.com/drive/folders/1w3AotyxcLiwjWuZcnqdtSFTGCadiF0xD?usp=sharing"/>
        <s v="https://drive.google.com/drive/folders/14tm61sfbexmy9YMN6u3Mp_YaYsqT-5st"/>
        <s v="https://drive.google.com/drive/folders/15ZPYQ3Clfe0EygnIfgBgzYEpRIik_sBB?usp=sharing"/>
        <s v="https://drive.google.com/drive/folders/11lA10UXXoYhzvsfhUICgbtGtbGv8eSte"/>
        <s v="https://uns.id/veditukinthaariq"/>
        <s v="https://drive.google.com/drive/folders/1GuUofoo8Ml4RxgfNRLC35L22Cqhy-kvo?usp=drive_link"/>
        <s v="https://drive.google.com/drive/folders/1cJkn_IoYOOXnOYMya1m1-G4ZZwiFqF5_"/>
        <s v="https://drive.google.com/file/d/16I25Hub_4HCCCCFxaPj0dOUzgE7zysB3/view?usp=sharing"/>
        <s v="https://drive.google.com/folderview?id=1-GJrqYOfO4bnWQzG1X4FXH_EjpFWvBSi"/>
        <s v="https://drive.google.com/file/d/1ZM2qaVqkQD-_tnv9zBhxAM7nrL9WyS0c/view?usp=drive_link"/>
        <s v="https://drive.google.com/drive/folders/1PzS9P01UHo8ahunVVv6jD4ARfGViRjOG"/>
        <s v="https://drive.google.com/drive/folders/19wdv2SGiikjLmsRGeg6Us3PtGVYARdEH?usp=sharing"/>
        <s v="https://drive.google.com/drive/folders/18L-lFRallenmFr2eSdMYor8T3gFby5iv?usp=sharing"/>
        <s v="https://drive.google.com/drive/folders/1lbHZOdolmlsxx6yX2iLAARnS1OT7OdSP"/>
        <s v="https://drive.google.com/drive/folders/1IBUHZ570KJFy5CmkAqk3hdSbP9e0B9cp"/>
        <s v="https://drive.google.com/file/d/14HJ3UJHAzqXiOJWas24_Koh5HDncUtR-/view?usp=sharing"/>
        <s v="https://drive.google.com/drive/folders/1hp2AsPIKeEgMhUWbzwgDRHlp34wSTNCN?usp=sharing"/>
        <s v="https://drive.google.com/drive/folders/1ziBRYwAgtkkyPnTwpaQQlUVLoINNFHrH"/>
        <s v="https://drive.google.com/drive/folders/18O0MONVMBSmYlQuiTTTxKi2Ty4RuE13V?usp=sharing"/>
        <s v="https://drive.google.com/file/d/1Eaqx9EWaqZ9QKFvtgEjSf1OH0v-fotPS/view?usp=drive_link"/>
        <s v="https://drive.google.com/drive/folders/1PQQxwZNzVypS3yGp4a0HX6Wmibz9ALEQ"/>
        <s v="https://drive.google.com/drive/folders/1yVRF9S8gmJh2aANEg8KX6ndxm6WfzhOc?usp=sharing"/>
        <s v="https://drive.google.com/file/d/1L2HeacFitfJzYYLnhEHSiZpRNZi6DIfH/view?usp=drivesdk"/>
        <s v="https://drive.google.com/file/d/11wzIy8pLPUhf9NFE6RP2ma53wXYu3e4C/view?usp=drivesdk"/>
        <s v="https://drive.google.com/drive/folders/1SNu-qFtK02OmLkQZ1AWo5DDVTH46tRqo"/>
        <s v="https://drive.google.com/file/d/1zV2figavABF53g88ty1zBwjNJ4TwwTWj/view?usp=drivesdk"/>
        <s v="https://drive.google.com/drive/folders/1ZemobWCxQpWbWK-4F6mIDlYPJB6PQgHU"/>
        <s v="https://drive.google.com/drive/folders/19MRaOM80DF038NWPqHaqqcWNbEgyOpsX"/>
        <s v="https://drive.google.com/drive/folders/1YHV5XDphM0hO8XmD0XXIw26hn__uS09N"/>
        <s v="https://drive.google.com/file/d/1iq8cDdVfuoJxTaGIJK-5C0uFxCjY3984/view?usp=drivesdk"/>
        <s v="https://drive.google.com/drive/folders/17MT469v6DaHmpoLFdWBe241N_dObmepV?usp=drive_link"/>
        <s v="https://drive.google.com/file/d/1hhvZIEChyA9oW7HYA2tM058Q0lahrG6T/view?usp=sharing"/>
        <s v="https://drive.google.com/drive/folders/1mjoMheW0r7Ofaf4cfqv62KvsYys3__xT"/>
        <s v="https://drive.google.com/drive/folders/14tm61sfbexmy9YMN6u3Mp_YaYsqT-5st?usp=sharing"/>
        <s v="https://drive.google.com/drive/folders/1v9Rl1ZkNsT6Jw6hEo64E-fGeNru0Mo2a?usp=sharing"/>
        <s v="https://drive.google.com/file/d/1wXg4JCK74uFkX830RohLlRR_dRCpabfJ/view?usp=sharing"/>
        <s v="https://drive.google.com/file/d/11F5pPmxQ30JyYcnGJHbV6ofW54-DPLlK/view?usp=drivesdk"/>
        <s v="https://drive.google.com/file/d/1K8Bi3qh64CvDS9EXYN8fxBMknWkIhU7a/view?usp=drive_link"/>
        <s v="https://drive.google.com/file/d/10vZFJJ6HLCd0q9kJFe38K6ug4wCZSDnp/view?usp=sharing"/>
        <s v="https://drive.google.com/file/d/1EYnoMc565zoK0J826IOUtHJ9sB9Z2CQo/view?usp=drivesdk"/>
        <s v="https://drive.google.com/file/d/1WoZ2dEnTCug0Ziv3_iuegw3MELqpmkZC/view?usp=drivesdk"/>
        <s v="https://drive.google.com/drive/folders/1ZMdpKDuNX2Ug5GuQm0IKJcqbtSXsXuoq?usp=sharing "/>
        <s v="https://drive.google.com/drive/folders/1eQb9Ydk0eATBDcczvp7yz_FB4O4O3AS3"/>
        <s v="https://youtu.be/ggULze_hHGY?si=3LHoSa1RXTS34FsR"/>
        <s v="https://drive.google.com/drive/folders/1Ox-0TUCz6hG9Myk2xhpFEEvKdlv8dm0C?usp=sharing"/>
        <s v="https://drive.google.com/file/d/1XKpWEV3EZ7UQ8B2bUYrKN3HfbjZtr2ZC/view?usp=drivesdk"/>
        <s v="https://drive.google.com/drive/folders/137kIPlKQmFYB8LTfhzVwbj1J2Vc6niis?usp=sharing"/>
        <s v="https://drive.google.com/file/d/1TmBNpVmZwK0wgwjA5wKHVM0mU3d3fWmw/view?usp=drivesdk "/>
        <s v="https://drive.google.com/file/d/1nT111QsyrXyp_zYgfzUpVxBvNOXr5vjm/view?usp=drivesdk"/>
        <s v="https://drive.google.com/drive/folders/14FG_yPqAGC6X1onGD48pZn4hF_PPEfMz?usp=sharing"/>
        <s v="https://drive.google.com/file/d/1XqoJbX6jTFwvy6oafg-KztlO_gpV_jlC/view?usp=sharing"/>
        <s v="https://youtu.be/yymDyHaEmW0?si=6tkWnWhAcI23Xxf8"/>
        <s v="https://drive.google.com/file/d/1UUanyQLNkOSugUWXDQLx6cbMy9rhomU-/view?usp=sharing "/>
        <s v="https://drive.google.com/drive/folders/1DvcSMjkGajB_4DTsRI2BJi9k6R619G3v"/>
        <s v="https://drive.google.com/drive/folders/1jt4YLBNVmmQlbLqan48uzpTgjZJgPJtc"/>
        <s v="https://drive.google.com/drive/folders/1DUcWJvg3MRjkBfV1Wb2SOf09W0KOXuia"/>
        <s v="https://drive.google.com/drive/folders/1GaI6YVgutsBMNIGY3HaluvXIH5nka1r3"/>
        <s v="https://drive.google.com/drive/folders/1BunhS9ZC30KIV72NDCiDcLA3-Ud7Jkt9"/>
        <s v="https://drive.google.com/drive/folders/1Rs9HB-oZ3H5yNrDt9DFHXgAhgSOFkiIK?usp=sharing"/>
        <s v="https://youtu.be/RtFvDOOgoqM"/>
        <s v="https://drive.google.com/drive/folders/18vJaaPkf_N1kQFEIOq34K1CHZlOV1Yxr"/>
        <s v="https://drive.google.com/drive/folders/1LzuVejBMa0nJuaBNUC6Wmo059tSnk3PX?usp=drive_link"/>
        <s v="https://drive.google.com/file/d/1fI_gpiFidC35PhUgS4AL5664hKzkHvrn/view?usp=drivesdk"/>
        <s v="https://drive.google.com/drive/folders/1ltUU36tlXxgfeMDDdoLQOBEN6rzRAnT4"/>
        <s v="https://drive.google.com/file/d/1q-2IZ9iExO_p1ito2WG__QJ0JhY5ERou/view?usp=drivesdk"/>
        <s v="https://drive.google.com/drive/folders/1ow4-6NaDSh-0U4S7plIc-icO8HYC61WV?usp=sharing"/>
        <s v="https://drive.google.com/file/d/1-BbTbD6dRGBlX3AWGJ92R7ATswHSzRJr/view?usp=drivesdk"/>
        <s v="-"/>
        <s v="https://drive.google.com/drive/folders/18yBJOjtpw6PsG4DRETVg2yP5SJnmcY39?usp=sharing"/>
        <s v="https://drive.google.com/drive/folders/1-40u8UNH_SNeIkwr8FZ6hdjDyNuH11WZ"/>
        <s v="https://drive.google.com/file/d/1xC1-O8NQibAtMRCBDo8VBwZEXn2Edt3L/view?usp=drivesdk"/>
        <s v="https://drive.google.com/file/d/1YlN9LWOGX_duy7lpVzaDTpDDBGlh7HwO/view?usp=drivesdk"/>
        <s v=" https://www.youtube.com/watch?v=jM1e_5OwKnw"/>
        <s v="https://drive.google.com/file/d/1peyjAV00fNYAk1KhW_TI0Z-Tyzfr-pjB/view?usp=drive_link"/>
        <s v="https://drive.google.com/file/d/12O1DB7FIoqIZRTC1SggA8lB7Wtp7A1WW/view?usp=drivesdk"/>
        <s v="https://drive.google.com/file/d/143JHDzse3sObZEzbFHQZvZdWWfCEdKTl/view?usp=drivesdk"/>
        <s v="https://drive.google.com/file/d/10gR1poUJUv4Bp7RvR9-QMDkoqIoCFID6/view?usp=drivesdk"/>
        <s v="https://drive.google.com/file/d/14w0SrHcah5KVYYJRxX4GoYuo6Arj4xmT/view?usp=drivesdk"/>
        <s v="https://drive.google.com/file/d/125S5BykyAsUYhePZcozF54aMpBkwCf9m/view?usp=drivesdk"/>
        <s v="https://drive.google.com/drive/folders/11IqJDpjcTXnE4CSXbzC3pwb5BIKVYs--?usp=drive_link"/>
        <s v="https://drive.google.com/drive/folders/1QCz4bH3wjl2517dnFzL0-0FyB0_Hr0eA?usp=sharing"/>
        <s v="https://drive.google.com/drive/folders/19r7Cl5nUN2M2MKhSE7bGX8tAGaPZ57JC"/>
        <s v="https://youtu.be/37xNnZIRYh8?si=ZntzwVImPe4feJBs"/>
        <s v="https://drive.google.com/drive/folders/1YLcx8j3x4rEq2EPc1oUEnY0ns2CZx521"/>
        <s v="https://drive.google.com/file/d/1esCIwzUph4H8JVvdlxBZpkGt2mgfGEOw/view?usp=sharing"/>
        <s v="https://drive.google.com/file/d/1cmV4eplHOudpvjZyn_HVJK6lNiw9g58G/view?usp=drivesdk"/>
        <s v="https://drive.google.com/file/d/1Y1HflIYtf8a__N_hRkDkNxk37uHu01vn/view?usp=drive_link"/>
        <s v="https://drive.google.com/file/d/16iPyUf7iTQQhSLQ91kRa-Q5r3R0NU1Zz/view?usp=drive_link"/>
        <s v="Link video utuh: https://drive.google.com/file/d/1hJZR1L1EfV2_QwLe63GQkuq7F1y_SEjQ/view?usp=drivesdk Link Video potong: https://drive.google.com/file/d/1pC-5PPO96WmgmPD63ulKwXOSpWLxgzJw/view?usp=drivesdk"/>
        <s v="https://drive.google.com/file/d/1W9Fy8z1hWSMDv7tcpLGtmPPvb85l4l67/view?usp=drivesdk"/>
        <s v="https://drive.google.com/file/d/1-SETGpp9B0XD1g83-CBJArNMGexKzuCJ/view?usp=drivesdk"/>
        <s v="https://drive.google.com/file/d/1g0DJjf0-Ir1o_hN675z6JetJWDctZMtK/view?usp=drive_link"/>
        <s v="https://youtu.be/O5RQVJUPqL4?feature=shared"/>
        <s v="https://drive.google.com/file/d/1oidTQvbYYr9E_r5QpJQ4_ChE2QZYGqwu/view?usp=drivesdk"/>
        <s v="https://drive.google.com/file/d/1LqTRWW3H2LxmnAH_IaS6gp1Fb_Cf23vf/view?usp=drivesdk"/>
        <s v="https://drive.google.com/file/d/1-hu-TQKdbX2yJqHvYDuEs4clAxm-Zpym/view?usp=drivesdk "/>
        <s v="https://drive.google.com/file/d/15q8UosXFDYh3syfvPaoLfg-s64HJpX-M/view?usp=drivesdk"/>
        <s v="https://drive.google.com/file/d/1-Po-XTK9UlujepB_GgEvK8kp6CHoC-3E/view?usp=drivesdk"/>
        <s v="https://drive.google.com/drive/folders/1PqLz8RYnnSg7ZDxnd7U7A6x_JUgroK7k"/>
        <s v="https://drive.google.com/file/d/1W12YEq3GjE_L-y-bTkeot7UzdvOLJSjt/view?usp=sharing"/>
        <s v="https://drive.google.com/file/d/1-4bh_3Gsx8QMHDML1RTcjQU860Yb8vUF/view?usp=drivesdk"/>
        <s v="https://drive.google.com/file/d/1egvuICb9Fe5dZ-cPpgczoxhMGrxXWj7x/view?usp=sharing"/>
        <s v="https://drive.google.com/drive/folders/10gdRNvHaesOYapEBw9VjuyApTvEMW3oo "/>
        <s v="https://drive.google.com/file/d/1czFk9KIDKjBbNttApLuhEDIHMjlZgs_J/view?usp=drivesdk"/>
        <s v="https://drive.google.com/file/d/1Csp-KkryWS8OW0y5WtdeB1RAF5D19SxY/view?usp=sharing"/>
        <s v="https://drive.google.com/file/d/1ZP7zckiKpLuo6ihpZfeBTDIdqQ5XkoCD/view?usp=drive_link"/>
        <s v="https://drive.google.com/file/d/1hzKaO3nYD5NWhwX-5DNSbiKnTHiwK7T3/view?usp=sharing"/>
        <s v="https://drive.google.com/file/d/18IhcwPWDtcUg9_pBLGWNVBKS261-qceu/view?usp=drivesdk"/>
        <s v="https://drive.google.com/file/d/1BRliNG08XfeSGbcZmOIvGmwpGeM8FGuB/view?usp=drivesdk"/>
        <s v="https://drive.google.com/file/d/1h63cWRCshoOEWZoma2HqgpkbKwWhXdk_/view?usp=sharing"/>
        <s v="https://youtu.be/oP0RAgZwB20?si=hO9OzKPNJI9RBPI1"/>
        <s v="https://drive.google.com/file/d/1GQENiDMv0dD3I-c0kM8Drtvu50DBv0Vv/view?usp=sharing"/>
        <s v="https://drive.google.com/file/d/1yLn3_MYhL5-OebQhFTTWudj9syRpa_F4/view?usp=drivesdk"/>
        <s v="https://drive.google.com/file/d/1inWgsc02ZaqNB70EC2EVK0FdqyB57gDq/view?usp=drivesdk"/>
        <s v="https://drive.google.com/file/d/1CFs00UBUQCekRLavWxUV47wLbsqjWAt5/view?usp=sharing"/>
        <s v="https://drive.google.com/file/d/1MDgO8wyA5Ky-V_4yvxhKBLDemJPoL33Z/view?usp=drivesdk"/>
        <s v="https://drive.google.com/file/d/19VmPXQZthQlw0DZ-snxETmPub7V5d3RE/view?usp=sharing"/>
        <s v="https://drive.google.com/file/d/1jg3ondnuMEA_8KcnO4YcAhgyhFZDh5Ht/view?usp=sharing"/>
        <s v="https://youtu.be/f2RscZki_bA?si=RiXSuUHxcZqgXa9p"/>
        <s v="https://drive.google.com/drive/folders/1ivwzR2JDK4q_x0tqQolTURpCN7w-aTLV?usp=sharing"/>
        <s v="https://youtu.be/yymDyHaEmW0?si=jEo8ZHrAz__mlaUj"/>
        <s v="https://drive.google.com/file/d/1mMPCCJucrwhVb1pZFfaBG31bjo_eTeLu/view?usp=drivesdk"/>
        <s v="https://drive.google.com/file/d/1-73woSPD2luYwLob-jUd24ImGpWn3Os5/view?usp=drive_link"/>
        <s v="https://drive.google.com/file/d/1pM2_9_ydITQwkfilNCICdwxqTh-anOk_/view?usp=drivesdk"/>
        <s v="https://drive.google.com/file/d/1FO1apaLrvm6OonO-6m8-hbivpRlxH__O/view?usp=sharing"/>
        <s v="https://drive.google.com/file/d/1zUFHU7edYhhn5rtoUV5i6yHLXhfx_YPt/view?usp=drivesdk"/>
        <s v="https://drive.google.com/file/d/1xOPDBiutDsUcljQkrhY4_4Ho6vGNem5I/view?usp=drivesdk"/>
        <s v="https://drive.google.com/file/d/1kebzPEnjn8cLYmp2y7HRyvi4KUEM7GYg/view?usp=sharing"/>
        <s v="https://drive.google.com/drive/folders/1MSCACZOM7BzVsQwuJ0JlJxgh0BU8L-UG"/>
        <s v="https://drive.google.com/file/d/1ar4kGy1qfg_uktfh803TTJLH1ex1jIjx/view?usp=sharing"/>
        <s v="https://drive.google.com/file/d/10nhWSrB9Ujt_hKAXf4doFhwHicSA0Cgt/view?usp=drivesdk "/>
        <s v="https://drive.google.com/file/d/1e3MIskV95w9vhLcemJFBqQ339QT6D07m/view?usp=drivesdk"/>
        <s v="https://drive.google.com/drive/folders/1HSEr75Zc8RhUxysY7jW4NqvKaxmcwt7C?usp=sharing"/>
        <s v="https://drive.google.com/file/d/1fgjFP7heZob1byrZ08PNTEvBkkmy4XS3/view?usp=drivesdk"/>
        <s v="https://drive.google.com/file/d/1-TaIQ-qTH3qR6Y29OSSEaY-clgJR9eLz/view?usp=drivesdk"/>
        <s v="https://drive.google.com/file/d/1AfQy3sXG0vwWQZi-bW91KmA1x5v2byR0/view?usp=drivesdk"/>
        <s v="https://drive.google.com/file/d/1PsEE8P50ldpBgaiCWhSJgB8M5EUIE9P9/view?usp=sharing"/>
        <s v="https://drive.google.com/file/d/1HOO4AhlgFuNZ7xAZC4wNngOPjGlzNUe2/view?usp=sharing"/>
        <s v="https://drive.google.com/drive/folders/13TzkmruK-0Q2-WN0ppe31VLzRKgKDuYM"/>
        <s v="https://drive.google.com/file/d/1NLVMd2lRd_IZi1QxIH1kT4Jf11wOMHje/view?usp=drivesdk"/>
        <s v="https://drive.google.com/drive/folders/10h0bICv1sbwM8H39qnDBJjpkWu_Bj5lc?usp=share_link"/>
        <s v="https://drive.google.com/drive/folders/1h5D1OR-dlUErQydDQd5Q2HbzWDvq1noG?usp=drive_link"/>
        <s v="https://drive.google.com/drive/folders/1PIdrEpmJ5Ts3AH6xgUsmMf4tQamCydq8?usp=sharing"/>
        <s v="https://drive.google.com/file/d/1yC0TberpZjYSJT8tMqZe7xjRzz9PNz6L/view?usp=sharing"/>
        <s v="https://drive.google.com/drive/my-drive?hl=ID"/>
        <s v="https://drive.google.com/file/d/18x7LbrNM7kH5UuTFMQO0X7fNmqaZ7MP4/view?usp=drive_link"/>
        <s v="https://drive.google.com/file/d/1e3QMm77HgNls5npfBunclbid-2paBVp5/view?usp=sharing"/>
        <s v="https://drive.google.com/file/d/1K14cG90SuffnJXjKhSAEWNFBzQd_EaEV/view?usp=drive_link"/>
        <s v="https://drive.google.com/file/d/1ejoFKKYvBRZady_u6WBtR887yBw_aqnX/view?usp=drivesdk"/>
        <s v="https://drive.google.com/file/d/17NLrI4FRBXVVXFTkiFWHEn8bkZGr1-yx/view?usp=drivesdk"/>
        <s v="https://drive.google.com/file/d/1cIgg449V7hr7PwJdcH9hBPLNw7NVBI61/view?usp=drivesdk"/>
        <s v="https://drive.google.com/drive/folders/1x4MdjO2kQbaHin0MZOtOv52o2Nc0rj9s "/>
        <s v="https://drive.google.com/file/d/19VB4oC8gH9T2JoGpnp6RBho_vfo-ZthB/view?usp=sharing"/>
        <s v="https://drive.google.com/file/d/1K86AVWNyVATp4KXXM8v8zL54rKLVnO3R/view?usp=sharing"/>
        <s v="https://drive.google.com/file/d/172f0M3H2gpFfR__p6zpeCKTzUdDjy8Bp/view?usp=drivesdk"/>
        <s v="https://drive.google.com/drive/folders/13EBQ6zkg47_cYMeEfaosw1H8pEf7UVeF?usp=sharing"/>
        <s v="https://drive.google.com/drive/folders/11AM3M-pMv6xsy4fEdku3wpgYdWZ-b-S9"/>
        <s v="https://www.youtube.com/watch?v=Y7RSD79zK0M"/>
        <s v="https://drive.google.com/file/d/1Wm6uIxCaBKd1xLMMABx5TWhmf1ceuDef/view?usp=drive_link"/>
        <s v="https://drive.google.com/file/d/1zjqleX_QHQweZRqUCYtwKhGBDTpjIHzs/view?usp=drivesdk"/>
        <s v="https://drive.google.com/file/d/1sTg0GXfA0ou2D4E9TCTn9o4nXdvK1QW9/view?usp=sharing"/>
        <s v="https://youtu.be/p6vnqpID7e8?feature=shared"/>
        <s v="https://drive.google.com/file/d/1iSiR6l-NAhQDC8BDga9qElowr2pmcdmq/view?usp=drivesdk"/>
        <s v="https://drive.google.com/file/d/1umtXJUYRtnAmBG3GAHtW9vh-Klt3ydSg/view?usp=drivesdk"/>
        <s v="https://drive.google.com/file/d/16Anw84sKT-kWKagGdVplXbaZzuZUNtCB/view?usp=drivesdk"/>
        <s v="https://drive.google.com/file/d/1MCBD--uL26st95zUhkgQjZsGVv2OFcCm/view?usp=drivesdk"/>
        <s v="https://drive.google.com/file/d/1jfu9QLcFkUIRToh11Ezjc2rHHgjxXIzl/view?usp=drivesdk"/>
        <s v="https://drive.google.com/file/d/15DvaHVYPeSBauHFW_AUm0GxGrFWrx0UA/view?usp=drivesdk"/>
        <s v="https://drive.google.com/file/d/1TSMxPbSYCE-wGzRrKrkCo5WhXMY4oK6Y/view?usp=drivesdk"/>
        <s v="https://drive.google.com/file/d/1Z0OtvaaPj_hoVvHlUmcOKq1RJZ8us2f0/view?usp=sharing "/>
        <s v="https://drive.google.com/file/d/1mqHsEuBiuAkI9IQqrp9iBb4ZzPvSo2Hw/view?usp=drivesdk"/>
        <s v="https://drive.google.com/file/d/1-E6elHxJDXxCqW0udD7ymA9ux653j06c/view?usp=drivesdk"/>
        <s v="https://drive.google.com/file/d/1n2WAyt9F20OXDGt_kHtZrYIWrFHd46Gv/view?usp=drive_link"/>
        <s v="https://youtu.be/hacGCThujds?si=TyXtnwvGHmLHWeEi"/>
        <s v="https://drive.google.com/drive/folders/1q5MXF6g_jehPTrF_zsdYxpbD_t6As1he?usp=sharing"/>
        <s v="https://drive.google.com/drive/folders/1jF5iXvAak7HvSCd1b7rBtYYGGnJAKMtV?usp=sharing"/>
        <s v="https://youtu.be/s8eTiNsgjME?si=Q4fka42_T56GGDeF"/>
        <s v="https://drive.google.com/drive/folders/12gvXc4u-CJvLa9dRi4J6Dv223OV0Uy_c"/>
        <s v="https://drive.google.com/file/d/1Fk2iDKXorKUI_KKNxIOx6us3Z02nTHO1/view?usp=drivesdk"/>
        <s v="https://drive.google.com/file/d/1Ufyc9tWS1ANuf-f0gjQrhNhNSwyNN7Ih/view?usp=drivesdk"/>
        <s v="https://drive.google.com/drive/u/1/folders/12y91230r5HxHxaki4ppVhWjU1psogudU"/>
        <s v="https://drive.google.com/drive/folders/1gvYo2u1WJg-VnSw1byRSjpOT3TklJbdK?usp=sharing"/>
        <s v="https://drive.google.com/file/d/1BBFQYrvyABa77U-eHoNHLElDztglLySm/view?usp=sharing"/>
        <s v="https://drive.google.com/drive/folders/1BbNrhkBUeXGFB07Zu5rb0FC2-93aesfT?usp=sharing"/>
        <s v="https://drive.google.com/file/d/1IwfRx5q1pQ71fp6NaZXiPECFmywaw67T/view?usp=drivesdk"/>
        <s v="https://drive.google.com/file/d/1ety0eqKXa3XiT4hbU_OfMRCPP9DjozpX/view?usp=sharing"/>
        <s v="https://drive.google.com/file/d/1H1b60SDS_e2nuExReA8tKk_zKU2XFb0P/view?usp=sharing"/>
        <s v="https://drive.google.com/drive/folders/18xJQ-3eECT_D55nBI5qwt1501GH2FG3T"/>
        <s v="https://drive.google.com/drive/folders/1OklC5H6FRFDLospoDAPORQMtrGaZiUSx"/>
        <s v="https://drive.google.com/file/d/17FdJmY2Q_rOwdCw03xhjj_qUQHZs8Ubh/view?usp=drivesdk"/>
        <s v="https://drive.google.com/file/d/1TaOLElal1yMWcoRJCkSbcKTQjb-0XBpq/view?usp=drivesdk"/>
        <s v="https://drive.google.com/drive/folders/1YILji-NEk9EOr82JBqJsQHRVAbvbUghJ"/>
        <s v="https://drive.google.com/file/d/1RQT-PNJMzKqPTQ6YxYdTfSZAVuSsTTcE/view"/>
        <s v="https://drive.google.com/file/d/1r9JITidVHNof3WzYhgjA9Q3Vf5GMZNES/view?usp=sharing"/>
        <s v="https://www.youtube.com/watch?v=_aocPMqz-bA&amp;t=352s"/>
        <s v="https://youtu.be/YU--_bdMJB8?si=2NrVWMbImfOQM6Fu"/>
        <s v="https://drive.google.com/file/d/1YRPk_1GTpiCqHQHPgNtic-hvtdop6C8g/view?usp=drivesdk"/>
        <s v="https://youtu.be/E2hjZFZTX5U"/>
        <s v="https://drive.google.com/file/d/14KQVmfuC8MSj2Rmmu4-PodxAX09NV-2t/view?usp=sharing"/>
      </sharedItems>
    </cacheField>
    <cacheField name="Kategori Pendaftar" numFmtId="0">
      <sharedItems>
        <s v="Alumni PPG Calon Guru / Prajabatan FKIP UNS"/>
        <s v="Alumni PPG Calon Guru / Prajabatan FKIP UHO"/>
        <s v="Alumni S1 FKIP UNS yang telah lulus PPG Calon Guru/Prajabatan bukan di FKIP UNS"/>
        <s v="Lainnya"/>
      </sharedItems>
    </cacheField>
    <cacheField name="NIM PPG&#10;(dapat dilihat pada web: https://valid.fkip.uns.ac.id)" numFmtId="0">
      <sharedItems containsBlank="1">
        <s v="X942408406"/>
        <s v="X9022084121"/>
        <s v="X942408195"/>
        <s v="X902308613"/>
        <m/>
        <s v="X902308868"/>
        <s v="X902308871"/>
        <s v="X942408242"/>
        <s v="X9023083636"/>
        <s v="X902308362"/>
        <s v="X902308141"/>
        <s v="X942408310"/>
        <s v="X942408364"/>
        <s v="X9023083681"/>
        <s v="X942408172"/>
        <s v="X902308022"/>
        <s v="X9023083600"/>
        <s v="X902308432"/>
        <s v="X902308789"/>
        <s v="X902308627"/>
        <s v="X902308431"/>
        <s v="X942408355"/>
        <s v="X9023083406"/>
        <s v="X942408324"/>
        <s v="X9023083372"/>
        <s v="X942408276"/>
        <s v="X9022082584"/>
        <s v="X9023083785"/>
        <s v="X9023083767"/>
        <s v="X942402465"/>
        <s v="X902308151"/>
        <s v="X942408116"/>
        <s v="X9022082724"/>
        <s v="X942408360"/>
        <s v="X9023083402"/>
        <s v="X942408503"/>
        <s v="X9022083742"/>
        <s v="X942408442"/>
        <s v="X902308232"/>
        <s v="X942408473"/>
        <s v="X942408433"/>
        <s v="X942408006"/>
        <s v="X942408378"/>
        <s v="X942408109"/>
        <s v="X902308315"/>
        <s v="X9022083743"/>
        <s v="X902308400"/>
        <s v="X902308930"/>
        <s v="x942408143"/>
        <s v="X9022082692"/>
        <s v="X9023083808"/>
        <s v="X9022083854"/>
        <s v="X9023083515"/>
        <s v="X942408257"/>
        <s v="X9022084170"/>
        <s v="X902308388"/>
        <s v="X902308518"/>
        <s v="X902308152"/>
        <s v="X902308100"/>
        <s v="X9023083789"/>
      </sharedItems>
    </cacheField>
    <cacheField name="NIM S1" numFmtId="0">
      <sharedItems containsBlank="1">
        <s v="D0418008"/>
        <s v="-"/>
        <s v="2501417040"/>
        <m/>
        <s v="4001417039"/>
        <s v="1501070008"/>
        <s v="1202174075"/>
        <s v="K4416037"/>
        <s v="3.66"/>
        <s v="K3118009"/>
        <s v="K4419061"/>
        <s v="1892041011"/>
        <s v="1910301058"/>
        <s v="1601020011"/>
        <s v="K4418039"/>
        <s v="K2318059"/>
        <s v="K4217052"/>
        <s v="160210402005"/>
        <s v="23030150077"/>
        <s v="A420170009"/>
        <s v="1888201031"/>
        <s v="19510009"/>
        <s v="K7616051"/>
        <s v="5171311001"/>
        <s v="M0113045"/>
        <s v="8020190094"/>
        <s v="7101416128"/>
        <s v="A710190095"/>
        <s v="D0214289"/>
        <s v="K6414038"/>
        <s v="06061181520096"/>
        <s v="A810190102"/>
        <s v="S1 di UMS"/>
        <s v="K1318043"/>
        <s v="0"/>
        <s v="1905112400"/>
        <s v="4001416025"/>
        <s v="18862011A000969"/>
        <s v="K3212026"/>
        <s v="21916141"/>
        <s v="E02419007"/>
        <s v="A310200151"/>
        <s v="18320045"/>
        <s v="181810201033"/>
        <s v="17614043"/>
        <s v="K4516029"/>
        <s v="K7116200"/>
      </sharedItems>
    </cacheField>
    <cacheField name="Program Studi S1" numFmtId="0">
      <sharedItems containsBlank="1">
        <s v="PENDIDIKAN JASMANI"/>
        <s v="-"/>
        <s v="Pendidikan Seni Tari "/>
        <m/>
        <s v="PENDIDIKAN IPA"/>
        <s v="S1 Pendidikan Biologi"/>
        <s v="S1 Sistem Informasi"/>
        <s v="Pendidikan Sejarah "/>
        <s v="Pendidikan Biologi"/>
        <s v="Bimbingan dan konseling"/>
        <s v="Pendidikan Sejarah"/>
        <s v="Pendidikan Akuntansi"/>
        <s v="Pendidikan Bahasa dan Sastra Indonesia"/>
        <s v="Akuntansi"/>
        <s v="Pendidikan fisika"/>
        <s v="Pendidikan Bahasa Jawa"/>
        <s v="S1 Tadris Bahasa Inggris"/>
        <s v="Pendidikan Biologi "/>
        <s v="Universitas Slamet Riyadi Surakarta"/>
        <s v="Pendidikan Ekonomi"/>
        <s v="Pendidikan Teknologi Informasi"/>
        <s v="Matematika"/>
        <s v="Teknik Informatika"/>
        <s v="Pendidikan Ekonomi (Akuntansi) "/>
        <s v="Pendidikan Teknik Informatika"/>
        <s v="Pendidikan  kepelatihan olahraga "/>
        <s v="PPKn "/>
        <s v="Pendidikan Jasmani dan Kesehatan"/>
        <s v="Pendidikan Olahraga"/>
        <s v="S1 di UMS"/>
        <s v="Pendidikan Matematika"/>
        <s v="0"/>
        <s v="pendidikan jasmani keshatan dan rekreasi"/>
        <s v="S1 Bimbingan dan Konseling"/>
        <s v="Pendidikan Seni Rupa"/>
        <s v="Sastra Inggris"/>
        <s v="Pendidikan Bahasa dan Sastra Indonesia "/>
        <s v="Fisika"/>
        <s v="PENDIDIKAN KIMIA"/>
        <s v="S1 PGSD FKIP UNS"/>
      </sharedItems>
    </cacheField>
    <cacheField name="LPTK PPG" numFmtId="0">
      <sharedItems containsBlank="1">
        <s v="UNIVERSITAS SEBELAS MARET SURAKARTA"/>
        <s v="-"/>
        <s v="Universitas Sebelas Maret"/>
        <s v="Universitas Sebelas Maret (UNS)"/>
        <m/>
        <s v="Universitas Sebelas Maret "/>
        <s v="Universias Sebelas Maret (UNS)"/>
        <s v="Uns"/>
        <s v="Fakultas Ilmu Pendidikan dan Keguruan Universitas Sebelas Maret"/>
        <s v="Universitas Negeri Makassar"/>
        <s v="UNS "/>
        <s v="Universitas Jember"/>
        <s v="Universitas Negeri Semarang"/>
        <s v="Universitas Sebelas Maret Surakarta (UNS)"/>
        <s v="Universitas Negeri Sebelas Maret"/>
        <s v="Universitas sebelas Maret Surakarta "/>
        <s v="Universitas Muhammadiyah Surakarta "/>
        <s v="Universitas Muhammadiyah Surakarta"/>
        <s v="0"/>
        <s v="Universitas PGRI Adi Buana Surabaya"/>
        <s v="Universitas Negeri Gorontalo"/>
        <s v="Universitas Negeri Malang"/>
        <s v="UNIVERSITAS NEGERI SEBELAS MARET (UNS)"/>
        <s v="Universitas Tidar"/>
      </sharedItems>
    </cacheField>
    <cacheField name="NIM PPG" numFmtId="0">
      <sharedItems containsBlank="1">
        <s v="X942408406"/>
        <s v="-"/>
        <s v="X902308613"/>
        <s v="A3S224349"/>
        <s v="X902308868"/>
        <s v="X942408242"/>
        <s v="A3S224039"/>
        <s v="X9023083636"/>
        <s v="X902308362"/>
        <s v="X942408364"/>
        <s v="X9023083681"/>
        <s v="A3S223077"/>
        <s v="A3S224310"/>
        <s v="X942408172"/>
        <s v="X9023083600"/>
        <s v="240211920199"/>
        <s v="2201022236"/>
        <s v="X902308431"/>
        <s v="X9023083406"/>
        <s v="A3S224280"/>
        <s v="A3S224286"/>
        <s v="A3S223076"/>
        <s v="A3S223069"/>
        <s v="X9022084096"/>
        <s v="X942408276"/>
        <s v="x942408116"/>
        <s v="A3S224207"/>
        <s v="A3S224276"/>
        <s v="X942408360"/>
        <s v="X942408503"/>
        <s v="A922240049"/>
        <s v="X942408006"/>
        <m/>
        <s v="PPG di UNS"/>
        <s v="A941230031"/>
        <s v="0"/>
        <s v="X942408143"/>
        <s v="X9022082692"/>
        <s v="A3S224355"/>
        <s v="A3S224248"/>
        <s v="A3S224250"/>
        <s v="AS2521443"/>
        <s v="A3S224234"/>
        <s v="A3S224325 "/>
        <s v="2450700083"/>
        <s v="A3S223182"/>
        <s v="X9023083767"/>
        <s v="X9023083515"/>
        <s v="121172410091"/>
        <s v="121172410111"/>
        <s v="X942408257"/>
        <s v="233129711676"/>
        <s v="X902308152"/>
        <s v="A3S224237"/>
        <s v="2470307567"/>
      </sharedItems>
    </cacheField>
    <cacheField name="Upload Scan Sertifikat Pendidik (serdik)" numFmtId="0">
      <sharedItems containsBlank="1">
        <m/>
        <s v="https://drive.google.com/open?id=1-YUnvwdNiYug1XyXP1s5OcnNyLH_tN69"/>
        <s v="https://drive.google.com/open?id=1ArTrUXGa5_LwDpsgC7-ab0pmArpupKhp"/>
        <s v="https://drive.google.com/open?id=1JuEq4djty-y8fLohK7DzB44mwckUib5b"/>
        <s v="https://drive.google.com/open?id=1bDNTo08NetCUDF1bVK6Max1FqTNZPTWV"/>
        <s v="https://drive.google.com/open?id=1qSuSI31VSIYpGGFUa8mK2rYS5II8WDLd"/>
        <s v="https://drive.google.com/open?id=1bljDvqw0hCR-1KQfSqBqY7fgf1IBh9mz"/>
        <s v="https://drive.google.com/open?id=1Aejyf_GILUbTtV5qiNfaM6kisjoRwbMV"/>
        <s v="https://drive.google.com/open?id=19Zu3BViff_1_VoM_S3prAdYok3iTGWuE"/>
        <s v="https://drive.google.com/open?id=1T8fL4JQu_dZTEF-gygT-D1RFT_vRfKlB"/>
        <s v="https://drive.google.com/open?id=1lXk4bE7aW9KN7NbwtBqFemMU4a7AezXR"/>
        <s v="https://drive.google.com/open?id=1aqkog-PXiYotxzfxmceQCfuMHI427cBp"/>
        <s v="https://drive.google.com/open?id=1HF3ICibnE4CSQlskdawFSKMvSxyCwRxK"/>
        <s v="https://drive.google.com/open?id=105NaJyJ8n3Hpra3k3TXydc_dL3Jd0sl5"/>
        <s v="https://drive.google.com/open?id=1FYmGInbC4EY_QQZME-rwgBsRPczS9zfe"/>
        <s v="https://drive.google.com/open?id=1q3GU7OsjVFtPwbqyy_aj5GpohsFF_3bw"/>
        <s v="https://drive.google.com/open?id=1DkBa6amopGHRrlDn_4AkPPFgIwhhSafj"/>
        <s v="https://drive.google.com/open?id=1yiLLIgF2KMyVwTOkhP0MajWm-p4tQ4n4"/>
        <s v="https://drive.google.com/open?id=1711mTM3smZ4rITMESesub-4mmPJ0UDcw"/>
        <s v="https://drive.google.com/open?id=1FteXGy1njf_MSQW8lISmToYwMYKO1xro"/>
        <s v="https://drive.google.com/open?id=1osLL5d1pBdGxz1ZVasyTcF7HZI61Y9Kf"/>
        <s v="https://drive.google.com/open?id=1zXWnoCqXR5XITAp2qAPn0ONGjbWx-S4H"/>
        <s v="https://drive.google.com/open?id=113ibsSp7KQHgHwNRfFKp_PkZCWJRH8i-"/>
        <s v="https://drive.google.com/open?id=116okbm8MGbF0d7thx609Gr72ySX_6pOB"/>
        <s v="https://drive.google.com/open?id=1MGegiW77lhLdCHKPCybauY-FXUKI2rDs"/>
        <s v="https://drive.google.com/open?id=1Zypl-X1KCQMVY7FSa3h0krvuioNzNP71"/>
        <s v="https://drive.google.com/open?id=1TyHTEJgn2IGyLDTEmzt_EBAEENFKub6d"/>
        <s v="https://drive.google.com/open?id=1bFUJ2Qt4v56uhI32hQ2Cv95ucKLoP4MF"/>
        <s v="https://drive.google.com/open?id=1y6TdiYDHlTqqV5zCA5fhfaZCRJu-iV02"/>
        <s v="https://drive.google.com/open?id=1-Wn5XUd-SaWXtzXivToimWAhKmVjOIve"/>
        <s v="https://drive.google.com/open?id=1e1BnOFWjJWkpXp0QWDjDOrERBYvo68Xx"/>
        <s v="https://drive.google.com/open?id=1w5UG_iPw5oVqoNTW21govm8wMFJiDQvF"/>
        <s v="https://drive.google.com/open?id=1YSxUo6otlpnmQDm2V2_VyILCo96nBpQ1"/>
        <s v="https://drive.google.com/open?id=1N6zbpCJ1tfnv8iIDpu8YUaVtAb3NFRNv"/>
        <s v="https://drive.google.com/open?id=1pl-X1oB5tn088a2znovqUykPSku-87ra"/>
        <s v="https://drive.google.com/open?id=1Sa3m1E248jbKo6mNiEQ--47DLK3YRc9s"/>
        <s v="https://drive.google.com/open?id=1o9nod8kmC_gokMKK38rh2YfoxHydqneD"/>
        <s v="https://drive.google.com/open?id=1wnAGa_ZOP4sX5bhQJCKGTnTIC5pjRHH6"/>
        <s v="https://drive.google.com/open?id=1vW5UTUaNOhJUK3zusOjr2AE5BtCVDS5H"/>
        <s v="https://drive.google.com/open?id=1_eKchie8AK4JPg7bK13FqM0WGnXoz7Cd"/>
        <s v="https://drive.google.com/open?id=19eR_aYZGb-0a2r-q_mX5F2e_byiiyeRc"/>
        <s v="https://drive.google.com/open?id=1li1CUEKu0XCU_tmEhaP6CafX3qmhIcTC"/>
        <s v="https://drive.google.com/open?id=13efrdOnk2YAnhyQB6NFga0E7riHni7kP"/>
        <s v="https://drive.google.com/open?id=1bQ2oUUyz-zVSwvLfgbV2C4EUHFznG4lN"/>
        <s v="https://drive.google.com/open?id=1FuEIuashz6ALfptPp9CGgDxXt8_yKzSU"/>
        <s v="https://drive.google.com/open?id=1jRcrwMfTcopD0C_6SPZkfaTiQHZhLkNF"/>
        <s v="https://drive.google.com/open?id=13P6r4zQNdHQhEhzdp5sXcgPjBG4UxDx4"/>
        <s v="https://drive.google.com/open?id=1G7JeTDOXhNKnbYw9oBGqiYFj6TZ6Azby"/>
        <s v="https://drive.google.com/open?id=12RM0lxmy7p964fkSebYx6A8aM2ovSq5L"/>
        <s v="https://drive.google.com/open?id=1aZKVu9Rru1OdgFnWpc8OVCpjt16nxE_b"/>
        <s v="https://drive.google.com/open?id=1db97Hf6tsA3nNb8sTNo7QUalo4U5BhQg"/>
        <s v="https://drive.google.com/open?id=1N5NFhx2jM62H_yO-Ykp0V4CSgnLC6Dea"/>
        <s v="https://drive.google.com/open?id=1RTN4mAERHAcq58SpAPuIjbfR-L_WYOUA"/>
        <s v="https://drive.google.com/open?id=10wpPpWUpfiijLrJDVPy5z3WmnT4r58x1"/>
        <s v="https://drive.google.com/open?id=1hR5ji0xooSwVqpUU3y0A1mqqXOUK43An"/>
        <s v="https://drive.google.com/open?id=1KqQqtWMwtcAdCTMzKdmYxgBwUEYjNKEm"/>
        <s v="https://drive.google.com/open?id=1UBd0WIAKYjvMwStxghV0L83GR7Mrz1Jo"/>
        <s v="https://drive.google.com/open?id=1sLL6XZkL0ktgl7fN5JZX9kb8BzpiTTkN"/>
        <s v="https://drive.google.com/open?id=1uAmBjxEuNzTxY2jczSJIhVC3UOy-Q789"/>
        <s v="https://drive.google.com/open?id=1uxpIjLCj4hCUQ9jmqUlozThXy9-ey5jX"/>
        <s v="https://drive.google.com/open?id=12CcefKKtmukTuQohEcxYNxXehY5d7v-n"/>
        <s v="https://drive.google.com/open?id=1H8DJtB-4-coeIgzOA1w8WR0R1W5sgzkK"/>
        <s v="https://drive.google.com/open?id=1clQt07YYNZaakzi5VJWcsmUiqsYJe2nr"/>
        <s v="https://drive.google.com/open?id=1A6si8rghPSrxwUZuTEOSbhu1zyKJezWM"/>
        <s v="https://drive.google.com/open?id=14t-X2PJ0VOz1A4g7P67HoD-MaarDNsc9"/>
        <s v="https://drive.google.com/open?id=1xzXrgHy0HdPQgmM8QN5DogdaH8l96dNI"/>
        <s v="https://drive.google.com/open?id=1W_uGv6WL8v3Kkoxc7iIV-SP5vN8tyjyA"/>
        <s v="https://drive.google.com/open?id=1s1noQshHV2IknPd7Vd6ta41HxEXXbfr2"/>
        <s v="https://drive.google.com/open?id=1mJdWUCeuEe0iKRyrN5QgFC_irfLKPMA3"/>
        <s v="https://drive.google.com/open?id=1d4RviYiyN_TRkmaDv1hYUjnlOS9igtHu"/>
        <s v="https://drive.google.com/open?id=13V3059FOOduRJ53LVmxxKPEQPGSmn6je"/>
        <s v="https://drive.google.com/open?id=1r9DxO4KR12KclEKsdfjWmAiruYBt71bj"/>
        <s v="https://drive.google.com/open?id=1POiHSH4J9zDSHQoLnIiTZEEZesCGlMLz"/>
        <s v="https://drive.google.com/open?id=10biL2L-Yv12WNuw04xgno9JseVyuPRZh"/>
        <s v="https://drive.google.com/open?id=1v0OvSZeu0kAF5sP-dxp4DA3fI3GPwDUf"/>
        <s v="https://drive.google.com/open?id=1Ly0YqjhuygZ9yiU9FdUIthfmXv-qtJiQ"/>
        <s v="https://drive.google.com/open?id=1lPLcJeflAkOP4t5DkRolkpH8Hh6VBEyL"/>
        <s v="https://drive.google.com/open?id=1BNPA1Mbkwluk1NfmGRRYFVZPuP-F0Fmx"/>
        <s v="https://drive.google.com/open?id=10RytqU2OVz93cUkyObN9Lrv3Oip_nEsg"/>
        <s v="https://drive.google.com/open?id=1ob8mAKiXrDZQtJQapkC2gNfYon89bQnI"/>
        <s v="https://drive.google.com/open?id=1Tero7wxuYRFJD15Nwjf-mpzKUdENWFSi"/>
        <s v="https://drive.google.com/open?id=1_ll002soiNKTF6O2F27UQ_I69o44QfBf"/>
        <s v="https://drive.google.com/open?id=1EB8Kp8OO2zPVtEV1dJpG4G1jCKeuSklr"/>
        <s v="https://drive.google.com/open?id=19fbpFT8OlpIPyOGAInadGmE2ynkwlMLY"/>
        <s v="https://drive.google.com/open?id=1xmKdsFkyKUkzWAbg-R1yzR_XaY1XjXvI"/>
        <s v="https://drive.google.com/open?id=1i_sH4jbEtFWxETz7lmRSkOaoSntBuCCz"/>
        <s v="https://drive.google.com/open?id=1pM1_X0C_jQsuTqGqi2D3eSXNsP4xNaJw"/>
        <s v="https://drive.google.com/open?id=1iLdDNZ6ANl2FKkpWWiXnOy-Tl9n4nbB8"/>
        <s v="https://drive.google.com/open?id=16EKHoQ5475nyv19gcDcfnP-16ybQtLT0"/>
        <s v="https://drive.google.com/open?id=1Cyurd1ZvCSFr1U4lskqFG3frCKt99MqG"/>
        <s v="https://drive.google.com/open?id=1TgwuwuWlYxW5jVg63xTjNp4EjRcVIYLZ"/>
        <s v="https://drive.google.com/open?id=1Xd9_Yr4qRCbs8Z0iCMh80sXdD-fdy-uo"/>
        <s v="https://drive.google.com/open?id=1VSSFaaetKiXfd6oW5roZUcV2Alz1TWT6"/>
        <s v="https://drive.google.com/open?id=1ohGzY9pciuHjhKeMf0vQ2feF5sdfgp6x"/>
        <s v="https://drive.google.com/open?id=1J8OAdMjhPRtHAMg7vDIHtyEv0aiqdH_h"/>
        <s v="https://drive.google.com/open?id=1iZZIF5e2BkfyUFnJGT3B92ar2kDNglwL"/>
        <s v="https://drive.google.com/open?id=1lrU4ShOquWmqIzS5iBgCbvHXEUf9E1df"/>
        <s v="https://drive.google.com/open?id=1G82mubitOC75LkF0OYYL2raNHg4eLDtC"/>
        <s v="https://drive.google.com/open?id=1fae4WmLqP1XdYuAlsYtFW5_mWBLKSA44"/>
        <s v="https://drive.google.com/open?id=1-w7scFcE8qym4j-hQPmOCVhxry3kEsLd"/>
        <s v="https://drive.google.com/open?id=1btBLZWSKfK9MPITXSmTW6gOHMCx4aD-r"/>
        <s v="https://drive.google.com/open?id=1Orzqacb8lKen18Nrq3LaKEvCREiBJ0rc"/>
        <s v="https://drive.google.com/open?id=1JavX3mO9GfTMU-C6KqrRXGfiwjoDNqKz"/>
        <s v="https://drive.google.com/open?id=1-qpeRkS0Q-TPeZcROOw6NtIbIoUD1a0B"/>
        <s v="https://drive.google.com/open?id=1df6urVhm4uFc1l_rndZHRqK7hzVxKsai"/>
        <s v="https://drive.google.com/open?id=15nBEECaPsPF7RGV7lfrtYc6ezQYG9vZ1"/>
        <s v="https://drive.google.com/open?id=1y1yaJwBBFrz2NGUrkwC_hsCp89B64vEP"/>
        <s v="https://drive.google.com/open?id=1dpbml_nZxhR3E34nBD3P7nFXK_L6iFI_"/>
      </sharedItems>
    </cacheField>
    <cacheField name="Hasil Seleksi" numFmtId="0">
      <sharedItems containsBlank="1">
        <m/>
        <s v="Lolos Administrasi"/>
        <s v="Tidak Lolos Administrasi"/>
      </sharedItems>
    </cacheField>
    <cacheField name="Keterangan" numFmtId="0">
      <sharedItems containsBlank="1">
        <m/>
        <s v="Usia lebih dari 32 Tahun"/>
        <s v="Tidak linear"/>
        <s v="IPK Kurang dari 3.25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108" sheet="Olah Arip"/>
  </cacheSource>
  <cacheFields>
    <cacheField name="Pilihan Lokasi Sekolah Nasional Terintegrasi" numFmtId="0">
      <sharedItems>
        <s v="Kabupaten Buton Tengah, Sulawesi Tenggara"/>
        <s v="Kabupaten Jepara, Jawa Tengah"/>
      </sharedItems>
    </cacheField>
    <cacheField name="Jabatan dan Lokasi TPP yang dilamar" numFmtId="0">
      <sharedItems>
        <s v="Tenaga pendampingan pembelajaran mata Pelajaran Bahasa Indonesia"/>
        <s v="Tenaga pendampingan pembelajaran mata Pelajaran Bahasa Inggris"/>
        <s v="Tenaga pendampingan pembelajaran mata Pelajaran Bimbingan dan Konseling"/>
        <s v="Tenaga pendampingan pembelajaran mata Pelajaran Ilmu Pengetahuan Alam (IPA) untuk mengajar mata pelajaran Biologi, Kimia, Fisika"/>
        <s v="Tenaga pendampingan pembelajaran mata Pelajaran Ilmu Pengetahuan Sosial (IPS) untuk mengajar mata pelajaran Sosiologi, Ekonomi, Geografi, dan Sejarah"/>
        <s v="Tenaga pendampingan pembelajaran mata Pelajaran Matematika (umum)"/>
        <s v="Tenaga pendampingan pembelajaran mata Pelajaran Penjasorkes"/>
        <s v="Tenaga pendampingan pembelajaran mata Pelajaran Pendidikan Pancasila"/>
        <s v="Tenaga pendampingan pembelajaran mata Pelajaran Seni, Budaya, dan Prakarya"/>
        <s v="Tenaga pendampingan pembelajaran mata pelajaran TIK"/>
        <s v="Tenaga pendampingan pembelajaran mata Pelajaran Pendidikan Agama Islam"/>
        <s v="Tenaga pendampingan pembelajaran mata Pelajaran Pendidikan Agama Katolik"/>
        <s v="Tenaga pendampingan pembelajaran mata Pelajaran Pendidikan Agama Kristen"/>
      </sharedItems>
    </cacheField>
    <cacheField name="Nama Lengkap (disertai gelar)" numFmtId="0">
      <sharedItems containsBlank="1">
        <s v="Farida Sapo, S.Pd.,Gr."/>
        <s v="Fita Wardani, S.Pd., Gr."/>
        <s v="Mita Ayu Wulandari. S.Pd."/>
        <s v="Nursia. M, S.Pd., Gr"/>
        <s v="Sartika,S.Pd., Gr."/>
        <s v="ALFIATY SAID"/>
        <s v="Ach. Isbat Fauzi, S.Pd., Kons., Gr."/>
        <s v="SARNI SIYAUTA"/>
        <s v="Puspa Indah Sulistyaningrum "/>
        <s v="Samsifar, S. Pd"/>
        <s v="Shabrina, S.Pd., M.Pd., Gr."/>
        <s v="Wa Ode SaputryNingrat, S.Pd., Gr"/>
        <s v="WH. HANAT THAHIRAH A., S.Pd, Gr."/>
        <s v="Parif, S.Pd., Gr."/>
        <s v="Wahyu Nugroho, S.Pd., Gr"/>
        <s v="Devianti S. Pd., Gr"/>
        <s v="Enny Maharani, S.Pd.,Gr"/>
        <s v="Resky Nur Fatimah, S.Pd.,Gr."/>
        <s v="Rosliana,S.Pd"/>
        <s v="Siti Harniani, S. Pd"/>
        <s v="Susi Susanti, S.Pd.,Gr"/>
        <s v="FATCHUR RAHMAN S.Pd., Gr."/>
        <s v="Sitti Zahra Riarana Arqam, S.Pd.Gr"/>
        <s v="Usman Adi Prabowo, S.Pd."/>
        <s v="Winggar H, S.Pd., Gr."/>
        <s v="Allika Fadiyah Hasna, S.Pd., Gr"/>
        <s v="Fadlilah Nurul Fajri Handayani., S.Pd., Gr. "/>
        <s v="Firda Aulia Shalihah, S.Pd., Gr."/>
        <s v="Fuad Hanafi, S.Pd., Gr. "/>
        <s v="Nuning Wijayanti, S.Pd., Gr."/>
        <s v="Nur Awaliyah, S.Pd"/>
        <s v="Asmilda Nur Rahmawati S. Pd., Gr. "/>
        <s v="Muhammad Ali Najich., M.Pd"/>
        <s v="Abiana Elfarabi S.Pd., Gr"/>
        <s v="Atni Dwi Hasmara Yekti, S.Pd., Gr."/>
        <s v="Dhiarrafii Bintang Matahari, M.Pd., Gr."/>
        <s v="Fikri Ahmad Kamal, S.Pd., M.Pd., Gr."/>
        <s v="Fitri Nurhayani, S.Pd"/>
        <s v="Hendra Ramadhan, S.Pd., Gr"/>
        <s v="Imam Setiawan, S.Pd., Gr., M.Pd."/>
        <s v="Imron Arya Kamaludin, S.Pd., Gr."/>
        <s v="Marsyanda Alfina Choirunnisa', S.Pd"/>
        <s v="Puspita Diana Arumawati, M.Pd., Gr."/>
        <s v="Rizqi Nur Fitriani "/>
        <s v="SILMI KURNIA SA'ADAH, S.Pd."/>
        <s v="Sisna Marvilia Ayuningrum, S.Pd., Gr."/>
        <s v="SYAHNADIN NURIDHA, S. Pd., Gr"/>
        <s v="Syifa Dwi Novita, S.Pd., Gr."/>
        <s v="Wisma Puteri Mustika, S.Pd., Gr."/>
        <s v="Fajriatul 'Azizah"/>
        <s v="Laila Magfirul Muniroh, S.Pd,. Gr"/>
        <s v="Moch. Adib Irham Ali"/>
        <s v="Moch. Adib Irham Ali, S.Pd"/>
        <s v="Muhammad Ath Thaariq Aziizi, S.Pd, Gr."/>
        <s v="Nur Pratiwi Yuga Hapsari, S.Pd,.Gr"/>
        <s v="Nurchabibah, S.Pd."/>
        <s v="NURIL MUSTOFA, S.E., Gr."/>
        <s v="RAKA KUMARA JATI"/>
        <s v="Sri Wulandari, S.Hum., Gr."/>
        <s v="Triantini, S. Pd., Gr. "/>
        <s v="UTARA SETIA NUGRAHA, S. Pd., Gr. "/>
        <s v="Yoneka Noorca Erlangga, S. Pd., Gr."/>
        <s v="Devy Rizki Agustina, S.Pd.Gr."/>
        <s v="Khoiruddin Adi Nugroho, S.Pd."/>
        <s v="Muhammad Ponco Prasetyo, S.Pd., Gr"/>
        <s v="Mukhlis Siska Nur Anggraini, S. Pd"/>
        <s v="Seno setiyawan"/>
        <s v="Aditya Maulana Hasan, S.Pd., Gr."/>
        <s v="Alief Mustaghfiroh Suciyani Arifin, S.Pd., Gr."/>
        <s v="Bastian Wijayanto, S.Pd., Gr."/>
        <s v="Mudawamatul Khasanah, S. Pd. G.r."/>
        <s v="Muhid Bayyan, S.Pd. "/>
        <s v="Adam Baharddudin, S.Or"/>
        <s v="Ade Rahmad Hardani S.Pd.,G.r"/>
        <s v="Afri Lianto, S.Pd., Gr."/>
        <s v="Bekti Aji Wibowo S.Pd., Gr."/>
        <s v="Diyana Ratna Sari, S.Pd, Gr."/>
        <s v="Rizky Adi Nugroho S.Pd.,Gr."/>
        <s v="Zaenudin,S.Pd.Gr."/>
        <s v="Nala Pawitri Andanawarih, S.Pd.,Gr"/>
        <s v="Nila Safitri, S.Pd., Gr."/>
        <s v="Suci Suryaning Tyas S.Pd,Gr"/>
        <s v="Candra Adi Rahmat, S.Kom., Gr"/>
        <s v="Intania Eka Yanti, S.Kom., Gr."/>
        <s v="Listia Nuraini, S.Pd.,Gr"/>
        <s v="MOCHAMAD MISBAKHUDIN, S.Pd."/>
        <s v="Muhammad Royyan, S.Pd.,Gr."/>
        <s v="Nurul Khoiriyah, S.Pd., Gr."/>
        <s v="Rudy Aziz Septyawan, S.Pd., Gr."/>
        <s v="muh. andy afdal., M.Pd., Gr"/>
        <s v="Nuzulia Fitriana, S.Pd., M.Pd."/>
        <s v="Dewi Inda Musni, S.Pd., Gr."/>
        <s v="Seno Setiyawan, S.Si, Gr"/>
        <s v="Talitha Nabilah, S.Pd. Gr."/>
        <s v="Fajar Ady Widyanto, S.Pd., Gr."/>
        <s v="Muhammad Mukammil, S.Pd., Gr"/>
        <s v="Vira Oktaviana, S.Pd.Gr"/>
        <s v="Cahyo Tomi Prakoso, S.Pd., Gr."/>
        <m/>
        <s v="Putri dinda meura intan"/>
        <s v="Monica Synthia Oktaviani,S.Pd"/>
        <s v="Nurul Khairunnisa, S.Pd."/>
        <s v="Riska Aprilia"/>
        <s v="ENDAH EKA HANDAYANI, S.S., Gr. "/>
        <s v="Nurul Fatha, S.S."/>
      </sharedItems>
    </cacheField>
    <cacheField name="Tanggal Lahir" numFmtId="14">
      <sharedItems containsDate="1" containsString="0" containsBlank="1">
        <d v="2001-10-12T00:00:00Z"/>
        <d v="2000-01-13T00:00:00Z"/>
        <d v="1995-12-28T00:00:00Z"/>
        <d v="2000-12-10T00:00:00Z"/>
        <d v="1988-08-10T00:00:00Z"/>
        <d v="2001-03-19T00:00:00Z"/>
        <d v="2001-07-12T00:00:00Z"/>
        <d v="1999-09-28T00:00:00Z"/>
        <d v="2001-06-07T00:00:00Z"/>
        <d v="1992-05-12T00:00:00Z"/>
        <d v="2002-04-24T00:00:00Z"/>
        <d v="2001-05-20T00:00:00Z"/>
        <d v="2000-10-31T00:00:00Z"/>
        <d v="2001-01-09T00:00:00Z"/>
        <d v="2000-07-27T00:00:00Z"/>
        <d v="2001-06-01T00:00:00Z"/>
        <d v="2000-08-09T00:00:00Z"/>
        <d v="1995-10-09T00:00:00Z"/>
        <d v="1994-09-04T00:00:00Z"/>
        <d v="2001-11-19T00:00:00Z"/>
        <d v="2003-11-14T00:00:00Z"/>
        <d v="1995-02-14T00:00:00Z"/>
        <d v="2000-06-23T00:00:00Z"/>
        <d v="2000-03-22T00:00:00Z"/>
        <d v="2001-01-02T00:00:00Z"/>
        <d v="2000-06-08T00:00:00Z"/>
        <d v="1998-11-25T00:00:00Z"/>
        <d v="2002-06-07T00:00:00Z"/>
        <d v="2001-11-30T00:00:00Z"/>
        <d v="1997-11-05T00:00:00Z"/>
        <d v="2000-08-18T00:00:00Z"/>
        <d v="2000-03-29T00:00:00Z"/>
        <d v="2000-07-18T00:00:00Z"/>
        <d v="2000-06-22T00:00:00Z"/>
        <d v="1999-04-17T00:00:00Z"/>
        <d v="2000-01-15T00:00:00Z"/>
        <d v="1998-01-30T00:00:00Z"/>
        <d v="1997-12-31T00:00:00Z"/>
        <d v="1998-10-10T00:00:00Z"/>
        <d v="2000-02-28T00:00:00Z"/>
        <d v="1999-03-30T00:00:00Z"/>
        <d v="2000-03-28T00:00:00Z"/>
        <d v="1998-04-01T00:00:00Z"/>
        <d v="2001-03-01T00:00:00Z"/>
        <d v="1999-01-18T00:00:00Z"/>
        <d v="1997-11-13T00:00:00Z"/>
        <d v="1999-10-03T00:00:00Z"/>
        <d v="1995-01-13T00:00:00Z"/>
        <d v="1999-12-26T00:00:00Z"/>
        <d v="1998-04-21T00:00:00Z"/>
        <d v="2000-04-28T00:00:00Z"/>
        <d v="1998-07-11T00:00:00Z"/>
        <d v="1995-09-22T00:00:00Z"/>
        <d v="2002-10-09T00:00:00Z"/>
        <d v="2001-02-19T00:00:00Z"/>
        <d v="2001-03-28T00:00:00Z"/>
        <d v="1998-05-10T00:00:00Z"/>
        <d v="2000-09-30T00:00:00Z"/>
        <d v="2001-08-16T00:00:00Z"/>
        <d v="1998-08-29T00:00:00Z"/>
        <d v="1999-12-31T00:00:00Z"/>
        <d v="2000-05-22T00:00:00Z"/>
        <d v="1983-04-03T00:00:00Z"/>
        <d v="1995-06-23T00:00:00Z"/>
        <d v="2000-08-21T00:00:00Z"/>
        <d v="1998-01-31T00:00:00Z"/>
        <d v="1989-03-03T00:00:00Z"/>
        <d v="1996-07-21T00:00:00Z"/>
        <d v="1992-01-25T00:00:00Z"/>
        <d v="1999-05-24T00:00:00Z"/>
        <d v="1998-01-01T00:00:00Z"/>
        <d v="1999-04-12T00:00:00Z"/>
        <d v="1998-12-15T00:00:00Z"/>
        <d v="2002-01-19T00:00:00Z"/>
        <d v="2000-09-22T00:00:00Z"/>
        <d v="1994-11-25T00:00:00Z"/>
        <d v="1998-12-25T00:00:00Z"/>
        <d v="1999-03-18T00:00:00Z"/>
        <d v="1999-04-03T00:00:00Z"/>
        <d v="2001-10-24T00:00:00Z"/>
        <d v="1999-03-14T00:00:00Z"/>
        <d v="1999-09-29T00:00:00Z"/>
        <d v="1995-02-10T00:00:00Z"/>
        <d v="2001-07-27T00:00:00Z"/>
        <d v="2000-12-30T00:00:00Z"/>
        <d v="1998-09-07T00:00:00Z"/>
        <d v="1998-12-31T00:00:00Z"/>
        <d v="1995-10-14T00:00:00Z"/>
        <d v="1998-07-24T00:00:00Z"/>
        <d v="2001-03-14T00:00:00Z"/>
        <d v="1994-05-26T00:00:00Z"/>
        <d v="2000-11-26T00:00:00Z"/>
        <d v="1999-10-08T00:00:00Z"/>
        <d v="1997-05-12T00:00:00Z"/>
        <m/>
        <d v="2000-09-29T00:00:00Z"/>
        <d v="2000-10-14T00:00:00Z"/>
        <d v="1998-08-16T00:00:00Z"/>
        <d v="2001-04-01T00:00:00Z"/>
        <d v="1996-08-26T00:00:00Z"/>
        <d v="2001-10-07T00:00:00Z"/>
      </sharedItems>
    </cacheField>
    <cacheField name="Program Studi S-1/D-IV" numFmtId="0">
      <sharedItems containsBlank="1">
        <s v="Pendidikan Bahasa Indonesia"/>
        <s v="Pendidikan Bahasa dan Sastra Indonesia"/>
        <s v="Pendidikan Bahasa dan Sastra Indonesia "/>
        <s v="PENDIDIKAN BAHASA INGGRIS"/>
        <s v="S1 Bimbingan dan Konseling"/>
        <s v="BIMBINGAN KONSELING ISLAM"/>
        <s v="Pendidikan Biologi"/>
        <s v="Pendidikan Biologi "/>
        <s v="Pendidikan Fisika"/>
        <s v="Pendidikan Kimia"/>
        <s v="Pendidikan Akuntansi"/>
        <s v="S1-Pendidikan Sejarah"/>
        <s v="Matematika"/>
        <s v="Pendidikan Matematika"/>
        <s v="Tadris Matematika"/>
        <s v="Tadris matematika "/>
        <s v="Pendidikan Jasmani Kesehatan dan Rekreasi "/>
        <s v="Pendidikan Jasmani, Kesehatan dan Rekreasi"/>
        <s v="S-1 Pendidikan Jasmani Sekolah Dasar"/>
        <s v="S1 Pendidikan Bahasa dan Sastra Indonesia"/>
        <s v="S1 Tadris Bahasa Inggris"/>
        <s v="Bimbingan dan konseling"/>
        <s v="Bimbingan dan Konseling Islam"/>
        <s v="S-1 Pendidikan Ilmu Pengetahuan Alam"/>
        <s v="Pendidikan Ilmu Pengetahuan Alam"/>
        <s v="S1-Tadris IPA &amp; S2-Pendidikan IPA"/>
        <s v="S-1 Pendidikan IPA"/>
        <s v="S1 Pendidikan Biologi"/>
        <s v="S1 Pendidikan Sains"/>
        <s v="Pendidikan Fisika "/>
        <s v="PENDIDIKAN IPA"/>
        <s v="S-1 Pendidikan Biologi"/>
        <s v="S1 PENDIDIKAN IPA"/>
        <s v="Akuntansi"/>
        <s v="Pendidikan Sejarah"/>
        <s v="S-1 Pendidikan Sejarah"/>
        <s v="Pendidikan Ekonomi"/>
        <s v="Pendidikan Geografi"/>
        <s v="Sejarah Peradaban Islam "/>
        <s v="Pendidikan Ekonomi (Akuntansi) "/>
        <s v="Pendidikan Matematika "/>
        <s v="S1 PGSD"/>
        <s v="S-1 Pendidikan Pancasila dan Kewarganegaraan (PPKn)"/>
        <s v="Pendidikan Pancasila dan Kewarganegaraan"/>
        <s v="PPKn"/>
        <s v="Pendidikan Pancasila dan Kewarganegaraan "/>
        <s v="S1- ILMU KEOLAHRAGAAN"/>
        <s v="Pendidikan Jasmani Dan Kesehatan "/>
        <s v="S-1"/>
        <s v="PENDIDIKAN OLAHRAGA"/>
        <s v="Pendidikan jasmani kesahatan dan Rekreasi"/>
        <s v="Pendidikan Jasmani"/>
        <s v="Pendidikan kepelatihan olahraga "/>
        <s v="Pendidikan Seni Tari"/>
        <s v="Pendidikan Bahasa Jawa "/>
        <s v="S1 Pendidikan Seni Tari"/>
        <s v="Teknik Informatika"/>
        <s v="S1 Sistem Informasi "/>
        <s v="Pendidikan Teknologi Informasi"/>
        <s v="Pendidikan Informatika"/>
        <s v="Pendidikan Teknik Informatika dan Komputer"/>
        <s v="Tadris Biologi "/>
        <s v="Pendidikan IPA "/>
        <s v="Pendidikan Seni Rupa"/>
        <m/>
        <s v="Manajemen pendidikan islam"/>
        <s v="S-1 PGSD"/>
        <s v="Pendidikan bahasa Inggris "/>
        <s v="Pendidikan teknologi informasi "/>
        <s v="Bahasa Inggris"/>
        <s v="Sastra Inggris"/>
      </sharedItems>
    </cacheField>
    <cacheField name="IPK saat S1">
      <sharedItems containsBlank="1" containsMixedTypes="1" containsNumber="1">
        <s v="3.66"/>
        <s v="3.46"/>
        <s v="3.38"/>
        <s v="3.30"/>
        <s v="3.58"/>
        <s v="3.17"/>
        <s v="3.75"/>
        <s v="3.85"/>
        <s v="3.67"/>
        <n v="3.88"/>
        <s v="3.40"/>
        <s v="3.36"/>
        <s v="3.42"/>
        <s v="3.63"/>
        <s v="3.41"/>
        <s v="3.16"/>
        <s v="3.60"/>
        <n v="3.77"/>
        <s v="3.71"/>
        <n v="3.57"/>
        <s v="3.59"/>
        <s v="3.78"/>
        <s v="3.35"/>
        <s v="3.53"/>
        <n v="3.71"/>
        <s v="3.82"/>
        <s v="3.79"/>
        <n v="3.67"/>
        <s v="3.74"/>
        <n v="3.65"/>
        <n v="3.6"/>
        <n v="3.58"/>
        <s v="3.92"/>
        <s v="3.69"/>
        <s v="IPK S1 3.89 &amp; IPK S2 3.97"/>
        <s v="3.49"/>
        <s v="3.62"/>
        <s v="3.45"/>
        <s v="3.72"/>
        <n v="3.45"/>
        <s v="3.77"/>
        <n v="3.8"/>
        <n v="3.74"/>
        <n v="3.78"/>
        <s v="3.70"/>
        <s v="3.87"/>
        <s v="3.34"/>
        <n v="2.75"/>
        <s v="3.11"/>
        <s v="3.93"/>
        <s v="3.56"/>
        <s v="3.64"/>
        <s v="2.65"/>
        <s v="3.55"/>
        <n v="3.76"/>
        <s v="3.57"/>
        <s v="3.28"/>
        <s v="3.73"/>
        <s v="3.05"/>
        <s v="3.44"/>
        <s v="3.8"/>
        <s v="3.43"/>
        <s v="3.54"/>
        <s v="3.10"/>
        <s v="3.47"/>
        <s v="3.37"/>
        <m/>
        <s v="3.68"/>
        <n v="3.33"/>
      </sharedItems>
    </cacheField>
    <cacheField name="Bidang Studi PPG (sesuai yg tertulis di Serdik)" numFmtId="0">
      <sharedItems containsBlank="1">
        <s v="Bahasa Indonesia"/>
        <s v="Bahasa Inggris"/>
        <s v="Bimbingan dan Konseling"/>
        <s v="Ilmu Pengetahuan Alam (IPA)"/>
        <s v="Fisika"/>
        <s v="Kimia"/>
        <s v="Pendidikan Guru Sekolah Dasar (PGSD)"/>
        <s v="Akuntansi dan Keuangan"/>
        <s v="Sejarah"/>
        <s v="Matematika"/>
        <s v="Pendidikan Jasmani, Olahraga, dan Kesehatan (PJOK)"/>
        <s v="Biologi"/>
        <s v="Ekonomi"/>
        <s v="Geografi"/>
        <s v="Pendidikan Pancasila dan Kewarganegaraan (PKn)"/>
        <s v="Seni Budaya"/>
        <s v="Bahasa Jawa"/>
        <s v="Informatika"/>
        <m/>
      </sharedItems>
    </cacheField>
    <cacheField name="IPK saat PPG">
      <sharedItems containsBlank="1" containsMixedTypes="1" containsNumber="1">
        <s v="4.0"/>
        <s v="4.00"/>
        <s v="3.25"/>
        <s v="3.89"/>
        <s v="Tidak ada Transkrip PPG, Hanya Sertifikat Pendidik "/>
        <s v=" 86.66"/>
        <s v="3.95"/>
        <s v="-"/>
        <n v="4.0"/>
        <s v="3.80"/>
        <s v="3.82"/>
        <s v="3.96"/>
        <s v="3.86"/>
        <n v="3.73"/>
        <n v="3.68"/>
        <n v="3.93"/>
        <n v="3.97"/>
        <s v="3.93"/>
        <s v="3.97"/>
        <s v="3.98"/>
        <s v="3.94"/>
        <s v="3.84"/>
        <s v="3.85"/>
        <n v="3.94"/>
        <n v="3.85"/>
        <n v="3.8"/>
        <n v="3.0"/>
        <s v="3.90"/>
        <s v="3.91"/>
        <n v="90.13"/>
        <s v="3.50"/>
        <n v="3.91"/>
        <s v="3.88"/>
        <s v="3.83"/>
        <s v="3.87"/>
        <s v="3.99"/>
        <s v="3.31"/>
        <m/>
        <n v="3.96"/>
      </sharedItems>
    </cacheField>
    <cacheField name="Video Microteaching" numFmtId="0">
      <sharedItems containsBlank="1">
        <s v="https://drive.google.com/file/d/1wXg4JCK74uFkX830RohLlRR_dRCpabfJ/view?usp=sharing"/>
        <s v="https://drive.google.com/drive/folders/1SNu-qFtK02OmLkQZ1AWo5DDVTH46tRqo"/>
        <s v="https://drive.google.com/file/d/16I25Hub_4HCCCCFxaPj0dOUzgE7zysB3/view?usp=sharing"/>
        <s v="https://drive.google.com/drive/folders/1QCz4bH3wjl2517dnFzL0-0FyB0_Hr0eA?usp=sharing"/>
        <s v="https://drive.google.com/file/d/11wzIy8pLPUhf9NFE6RP2ma53wXYu3e4C/view?usp=drivesdk"/>
        <s v="https://drive.google.com/file/d/1peyjAV00fNYAk1KhW_TI0Z-Tyzfr-pjB/view?usp=drive_link"/>
        <s v="https://drive.google.com/file/d/14w0SrHcah5KVYYJRxX4GoYuo6Arj4xmT/view?usp=drivesdk"/>
        <s v="https://drive.google.com/file/d/10gR1poUJUv4Bp7RvR9-QMDkoqIoCFID6/view?usp=drivesdk"/>
        <s v="https://drive.google.com/drive/folders/1-40u8UNH_SNeIkwr8FZ6hdjDyNuH11WZ"/>
        <s v="https://drive.google.com/file/d/125S5BykyAsUYhePZcozF54aMpBkwCf9m/view?usp=drivesdk"/>
        <s v=" https://www.youtube.com/watch?v=jM1e_5OwKnw"/>
        <s v="https://drive.google.com/file/d/12O1DB7FIoqIZRTC1SggA8lB7Wtp7A1WW/view?usp=drivesdk"/>
        <s v="https://drive.google.com/folderview?id=1-GJrqYOfO4bnWQzG1X4FXH_EjpFWvBSi"/>
        <s v="https://drive.google.com/drive/folders/1GuUofoo8Ml4RxgfNRLC35L22Cqhy-kvo?usp=drive_link"/>
        <s v="https://drive.google.com/drive/folders/1jt4YLBNVmmQlbLqan48uzpTgjZJgPJtc"/>
        <s v="https://drive.google.com/file/d/1xC1-O8NQibAtMRCBDo8VBwZEXn2Edt3L/view?usp=drivesdk"/>
        <s v="https://drive.google.com/file/d/1YlN9LWOGX_duy7lpVzaDTpDDBGlh7HwO/view?usp=drivesdk"/>
        <s v="https://drive.google.com/file/d/1K8Bi3qh64CvDS9EXYN8fxBMknWkIhU7a/view?usp=drive_link"/>
        <s v="https://drive.google.com/drive/folders/1yVRF9S8gmJh2aANEg8KX6ndxm6WfzhOc?usp=sharing"/>
        <s v="https://drive.google.com/drive/folders/1w3AotyxcLiwjWuZcnqdtSFTGCadiF0xD?usp=sharing"/>
        <s v="https://drive.google.com/file/d/1L2HeacFitfJzYYLnhEHSiZpRNZi6DIfH/view?usp=drivesdk"/>
        <s v="https://drive.google.com/file/d/143JHDzse3sObZEzbFHQZvZdWWfCEdKTl/view?usp=drivesdk"/>
        <s v="https://drive.google.com/drive/folders/1v7ET-0MLyK3nfkDv6QSCOQu7jdaH58zl"/>
        <s v="https://drive.google.com/drive/folders/11IqJDpjcTXnE4CSXbzC3pwb5BIKVYs--?usp=drive_link"/>
        <s v="https://drive.google.com/file/d/1-BbTbD6dRGBlX3AWGJ92R7ATswHSzRJr/view?usp=drivesdk"/>
        <s v="https://drive.google.com/file/d/1Eaqx9EWaqZ9QKFvtgEjSf1OH0v-fotPS/view?usp=drive_link"/>
        <s v="https://drive.google.com/drive/folders/1DvcSMjkGajB_4DTsRI2BJi9k6R619G3v"/>
        <s v="https://drive.google.com/file/d/14HJ3UJHAzqXiOJWas24_Koh5HDncUtR-/view?usp=sharing"/>
        <s v="https://drive.google.com/drive/folders/1nSG76BaQdtMG-CDvZEJRGPQJe22CUPnC"/>
        <s v="https://drive.google.com/drive/folders/1cJkn_IoYOOXnOYMya1m1-G4ZZwiFqF5_"/>
        <s v="https://drive.google.com/drive/folders/1hp2AsPIKeEgMhUWbzwgDRHlp34wSTNCN?usp=sharing"/>
        <s v="https://drive.google.com/drive/folders/11lA10UXXoYhzvsfhUICgbtGtbGv8eSte"/>
        <s v="https://drive.google.com/file/d/1nT111QsyrXyp_zYgfzUpVxBvNOXr5vjm/view?usp=drivesdk"/>
        <s v="https://drive.google.com/drive/folders/1ZMdpKDuNX2Ug5GuQm0IKJcqbtSXsXuoq?usp=sharing "/>
        <s v="https://drive.google.com/drive/folders/1mjoMheW0r7Ofaf4cfqv62KvsYys3__xT"/>
        <s v="https://drive.google.com/drive/folders/18yBJOjtpw6PsG4DRETVg2yP5SJnmcY39?usp=sharing"/>
        <s v="https://youtu.be/yymDyHaEmW0?si=6tkWnWhAcI23Xxf8"/>
        <s v="https://drive.google.com/drive/folders/15ZPYQ3Clfe0EygnIfgBgzYEpRIik_sBB?usp=sharing"/>
        <s v="https://youtu.be/RtFvDOOgoqM"/>
        <s v="https://drive.google.com/drive/folders/1ziBRYwAgtkkyPnTwpaQQlUVLoINNFHrH"/>
        <s v="https://drive.google.com/drive/folders/18L-lFRallenmFr2eSdMYor8T3gFby5iv?usp=sharing"/>
        <s v="https://drive.google.com/file/d/1q-2IZ9iExO_p1ito2WG__QJ0JhY5ERou/view?usp=drivesdk"/>
        <s v="https://drive.google.com/drive/folders/1LUwVcKfRJZTw2XbLLprTSDJ04eWDmd0c?usp=sharing"/>
        <s v="https://drive.google.com/drive/folders/1lbHZOdolmlsxx6yX2iLAARnS1OT7OdSP"/>
        <s v="https://drive.google.com/drive/folders/1ow4-6NaDSh-0U4S7plIc-icO8HYC61WV?usp=sharing"/>
        <s v="https://drive.google.com/drive/folders/137kIPlKQmFYB8LTfhzVwbj1J2Vc6niis?usp=sharing"/>
        <s v="https://drive.google.com/drive/folders/1zI1VsvS3r7N2xgGHzHSOeXsPBlYpL9ku?usp=sharing"/>
        <s v="https://drive.google.com/drive/folders/1sDPOjTor3XOExzch1Qzi6KmtuS5XvMav?usp=drive_link"/>
        <s v="https://drive.google.com/drive/folders/18vJaaPkf_N1kQFEIOq34K1CHZlOV1Yxr"/>
        <s v="https://drive.google.com/file/d/1ZM2qaVqkQD-_tnv9zBhxAM7nrL9WyS0c/view?usp=drive_link"/>
        <s v="https://drive.google.com/drive/folders/19wdv2SGiikjLmsRGeg6Us3PtGVYARdEH?usp=sharing"/>
        <s v="https://drive.google.com/drive/folders/14tm61sfbexmy9YMN6u3Mp_YaYsqT-5st"/>
        <s v="https://drive.google.com/drive/folders/14tm61sfbexmy9YMN6u3Mp_YaYsqT-5st?usp=sharing"/>
        <s v="https://uns.id/veditukinthaariq"/>
        <s v="https://drive.google.com/drive/folders/1ZemobWCxQpWbWK-4F6mIDlYPJB6PQgHU"/>
        <s v="https://drive.google.com/drive/folders/1YHV5XDphM0hO8XmD0XXIw26hn__uS09N"/>
        <s v="https://drive.google.com/drive/folders/18O0MONVMBSmYlQuiTTTxKi2Ty4RuE13V?usp=sharing"/>
        <s v="https://drive.google.com/file/d/1XqoJbX6jTFwvy6oafg-KztlO_gpV_jlC/view?usp=sharing"/>
        <s v="https://youtu.be/ggULze_hHGY?si=3LHoSa1RXTS34FsR"/>
        <s v="https://drive.google.com/file/d/11F5pPmxQ30JyYcnGJHbV6ofW54-DPLlK/view?usp=drivesdk"/>
        <s v="https://drive.google.com/file/d/1XKpWEV3EZ7UQ8B2bUYrKN3HfbjZtr2ZC/view?usp=drivesdk"/>
        <s v="https://drive.google.com/file/d/1hhvZIEChyA9oW7HYA2tM058Q0lahrG6T/view?usp=sharing"/>
        <s v="https://drive.google.com/drive/folders/1Ox-0TUCz6hG9Myk2xhpFEEvKdlv8dm0C?usp=sharing"/>
        <s v="https://drive.google.com/drive/folders/1BunhS9ZC30KIV72NDCiDcLA3-Ud7Jkt9"/>
        <s v="https://drive.google.com/drive/folders/1GaI6YVgutsBMNIGY3HaluvXIH5nka1r3"/>
        <s v="-"/>
        <s v="https://drive.google.com/drive/folders/17MT469v6DaHmpoLFdWBe241N_dObmepV?usp=drive_link"/>
        <s v="https://drive.google.com/file/d/1zV2figavABF53g88ty1zBwjNJ4TwwTWj/view?usp=drivesdk"/>
        <s v="https://drive.google.com/file/d/1EYnoMc565zoK0J826IOUtHJ9sB9Z2CQo/view?usp=drivesdk"/>
        <s v="https://drive.google.com/drive/folders/1LzuVejBMa0nJuaBNUC6Wmo059tSnk3PX?usp=drive_link"/>
        <s v="https://drive.google.com/drive/folders/1eQb9Ydk0eATBDcczvp7yz_FB4O4O3AS3"/>
        <s v="https://drive.google.com/drive/folders/1DUcWJvg3MRjkBfV1Wb2SOf09W0KOXuia"/>
        <s v="https://drive.google.com/drive/folders/1Rs9HB-oZ3H5yNrDt9DFHXgAhgSOFkiIK?usp=sharing"/>
        <s v="https://drive.google.com/file/d/1TmBNpVmZwK0wgwjA5wKHVM0mU3d3fWmw/view?usp=drivesdk "/>
        <s v="https://drive.google.com/drive/folders/1PzS9P01UHo8ahunVVv6jD4ARfGViRjOG"/>
        <s v="https://drive.google.com/file/d/1UUanyQLNkOSugUWXDQLx6cbMy9rhomU-/view?usp=sharing "/>
        <s v="https://drive.google.com/file/d/1fI_gpiFidC35PhUgS4AL5664hKzkHvrn/view?usp=drivesdk"/>
        <s v="https://drive.google.com/file/d/1iCxSV9hd262CkcTCjL23f6n7t7EoV6ur/view?usp=sharing "/>
        <s v="https://drive.google.com/file/d/1WoZ2dEnTCug0Ziv3_iuegw3MELqpmkZC/view?usp=drivesdk"/>
        <s v="https://drive.google.com/drive/folders/1yCvx2arxXyITby30A4zMMaHb1zIP3NMt?hl=ID "/>
        <s v="https://drive.google.com/drive/folders/1IBUHZ570KJFy5CmkAqk3hdSbP9e0B9cp"/>
        <s v="https://drive.google.com/file/d/1iq8cDdVfuoJxTaGIJK-5C0uFxCjY3984/view?usp=drivesdk"/>
        <s v="https://drive.google.com/drive/folders/1v9Rl1ZkNsT6Jw6hEo64E-fGeNru0Mo2a?usp=sharing"/>
        <s v="https://drive.google.com/drive/folders/1M6zYjueC4knG4C45THwrSOKv3fiE93TK?usp=sharing"/>
        <s v="https://drive.google.com/drive/folders/19MRaOM80DF038NWPqHaqqcWNbEgyOpsX"/>
        <s v="https://drive.google.com/drive/folders/1ltUU36tlXxgfeMDDdoLQOBEN6rzRAnT4"/>
        <s v="https://drive.google.com/drive/folders/1PQQxwZNzVypS3yGp4a0HX6Wmibz9ALEQ"/>
        <s v="https://drive.google.com/file/d/10vZFJJ6HLCd0q9kJFe38K6ug4wCZSDnp/view?usp=sharing"/>
        <s v="https://drive.google.com/drive/folders/14FG_yPqAGC6X1onGD48pZn4hF_PPEfMz?usp=sharing"/>
        <s v="https://drive.google.com/drive/folders/19r7Cl5nUN2M2MKhSE7bGX8tAGaPZ57JC"/>
        <s v="https://youtu.be/37xNnZIRYh8?si=ZntzwVImPe4feJBs"/>
        <s v="https://drive.google.com/drive/folders/1YLcx8j3x4rEq2EPc1oUEnY0ns2CZx521"/>
        <s v="https://drive.google.com/file/d/1esCIwzUph4H8JVvdlxBZpkGt2mgfGEOw/view?usp=sharing"/>
        <s v="https://drive.google.com/file/d/1cmV4eplHOudpvjZyn_HVJK6lNiw9g58G/view?usp=drivesdk"/>
        <s v="https://drive.google.com/file/d/1Y1HflIYtf8a__N_hRkDkNxk37uHu01vn/view?usp=drive_link"/>
        <s v="https://drive.google.com/file/d/16iPyUf7iTQQhSLQ91kRa-Q5r3R0NU1Zz/view?usp=drive_link"/>
        <s v="https://drive.google.com/file/d/1pC-5PPO96WmgmPD63ulKwXOSpWLxgzJw/view?usp=drivesdk"/>
        <m/>
        <s v="https://drive.google.com/file/d/1LqTRWW3H2LxmnAH_IaS6gp1Fb_Cf23vf/view?usp=drivesdk"/>
        <s v="https://youtu.be/O5RQVJUPqL4?feature=shared"/>
        <s v="https://drive.google.com/file/d/1W9Fy8z1hWSMDv7tcpLGtmPPvb85l4l67/view?usp=drivesdk"/>
        <s v="https://drive.google.com/file/d/1-SETGpp9B0XD1g83-CBJArNMGexKzuCJ/view?usp=drivesdk"/>
        <s v="https://drive.google.com/file/d/1g0DJjf0-Ir1o_hN675z6JetJWDctZMtK/view?usp=drive_link"/>
        <s v="https://drive.google.com/file/d/1oidTQvbYYr9E_r5QpJQ4_ChE2QZYGqwu/view?usp=drivesdk"/>
      </sharedItems>
    </cacheField>
    <cacheField name="Nomor WA">
      <sharedItems containsBlank="1" containsMixedTypes="1" containsNumber="1" containsInteger="1">
        <s v="085289003714"/>
        <s v="081938900154"/>
        <s v="085238383337"/>
        <s v="082264140874"/>
        <s v="085395374324"/>
        <s v="085216569995"/>
        <s v="081330307316"/>
        <s v="082197933296"/>
        <s v="085648823789"/>
        <s v="085396857305"/>
        <s v="082333952223"/>
        <s v="081342973823"/>
        <s v="082355139889"/>
        <s v="085340567074"/>
        <s v="085340348364"/>
        <s v="082271337970"/>
        <s v="082291582572"/>
        <s v="085299366207"/>
        <s v="085395341807"/>
        <s v="085342840408"/>
        <s v="085256386808"/>
        <s v="082135297868"/>
        <s v="085399527002"/>
        <s v="082135909910"/>
        <s v="085343887057"/>
        <s v="0895422101144"/>
        <s v="089664783413"/>
        <s v="0838-9183-0300"/>
        <s v="087836197102"/>
        <s v="082323953038"/>
        <s v="08813904359"/>
        <s v="08999882330"/>
        <s v="085198239824"/>
        <s v="081354992286"/>
        <s v="088980051908"/>
        <s v="0895341077017"/>
        <s v="089632991090"/>
        <s v="087719811922"/>
        <s v="+6288221283922"/>
        <s v="085159559810"/>
        <s v="085712992243"/>
        <s v="082333047987"/>
        <s v="082313256124"/>
        <s v="082329681100"/>
        <s v="087880657411"/>
        <s v="089604214025"/>
        <s v="082322016171"/>
        <s v="089608882627"/>
        <s v="085702647132"/>
        <s v="085743571470"/>
        <s v="082138175793"/>
        <s v="081328698419"/>
        <n v="6.281357514433E12"/>
        <s v="081393894231"/>
        <s v="085710424577"/>
        <s v="08996579665"/>
        <s v="082113293786"/>
        <s v="087823687709"/>
        <s v="082220434981"/>
        <s v="083178920910"/>
        <s v="085817348167"/>
        <s v="085156511988"/>
        <s v="083838487111"/>
        <s v="085785333059"/>
        <s v="085642225680"/>
        <s v="085799588894"/>
        <s v="088809402034"/>
        <s v="085788337823"/>
        <s v="085647472150"/>
        <s v="085729580804"/>
        <s v="087775710810"/>
        <s v="082326731860"/>
        <s v="088269026860"/>
        <s v="085740702984"/>
        <s v="0895422032099"/>
        <s v="081326793556"/>
        <s v="085713086642"/>
        <s v="08976565808"/>
        <s v="089515819690"/>
        <s v="082324551642"/>
        <s v="085725604967"/>
        <s v="082286367473"/>
        <s v="089662119850"/>
        <s v="085840043140"/>
        <s v="0895635413104"/>
        <s v="085602502916"/>
        <s v="081393616229"/>
        <s v="089529796795"/>
        <s v="085242615796"/>
        <s v="085702115262"/>
        <s v="082323558624"/>
        <s v="082334453085"/>
        <s v="08135761188"/>
        <s v="082236786534"/>
        <s v="085875666255"/>
        <s v="08993882246"/>
        <m/>
        <s v="081346229762"/>
        <s v="081252164744"/>
        <s v="085154982120"/>
        <s v="085928110009"/>
        <s v="082314829012"/>
        <s v="085954307048"/>
      </sharedItems>
    </cacheField>
    <cacheField name="Hasil" numFmtId="0">
      <sharedItems containsBlank="1">
        <s v="Lolos Administrasi"/>
        <s v="Tidak Lolos Administrasi"/>
        <m/>
      </sharedItems>
    </cacheField>
    <cacheField name=" " numFmtId="0">
      <sharedItems containsBlank="1">
        <m/>
        <s v="belum diumumkan"/>
        <s v="tidak linear"/>
        <s v="IPK S1 dibawah 3.25"/>
        <s v="Umur, IPK, dan tidak linear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F317" sheet="Form Responses 1"/>
  </cacheSource>
  <cacheFields>
    <cacheField name="Timestamp" numFmtId="164">
      <sharedItems containsDate="1" containsString="0" containsBlank="1">
        <d v="2026-07-28T22:08:22Z"/>
        <d v="2026-07-26T14:45:03Z"/>
        <d v="2026-07-26T14:46:08Z"/>
        <d v="2026-07-27T22:43:40Z"/>
        <d v="2026-07-26T15:00:13Z"/>
        <d v="2026-07-26T17:28:08Z"/>
        <d v="2026-07-28T08:31:26Z"/>
        <d v="2026-07-26T20:42:03Z"/>
        <d v="2026-07-30T20:51:26Z"/>
        <d v="2026-07-26T23:13:42Z"/>
        <d v="2026-07-27T01:14:28Z"/>
        <d v="2026-07-27T01:41:50Z"/>
        <d v="2026-07-27T07:28:13Z"/>
        <d v="2026-07-29T09:40:32Z"/>
        <d v="2026-07-28T15:12:03Z"/>
        <d v="2026-07-28T17:46:06Z"/>
        <d v="2026-07-27T19:07:15Z"/>
        <d v="2026-07-27T21:15:47Z"/>
        <d v="2026-07-27T21:35:43Z"/>
        <d v="2026-07-27T22:46:08Z"/>
        <d v="2026-07-28T03:51:58Z"/>
        <d v="2026-07-28T08:48:36Z"/>
        <d v="2026-07-28T10:31:28Z"/>
        <d v="2026-07-28T12:51:13Z"/>
        <d v="2026-07-28T12:54:11Z"/>
        <d v="2026-07-28T13:09:59Z"/>
        <d v="2026-07-28T13:35:08Z"/>
        <d v="2026-07-28T14:36:23Z"/>
        <d v="2026-07-28T17:45:03Z"/>
        <d v="2026-07-28T18:11:21Z"/>
        <d v="2026-07-28T20:16:06Z"/>
        <d v="2026-07-28T20:21:43Z"/>
        <d v="2026-07-28T20:34:12Z"/>
        <d v="2026-07-28T20:51:50Z"/>
        <d v="2026-07-28T20:59:43Z"/>
        <d v="2026-07-28T21:08:29Z"/>
        <d v="2026-07-28T21:17:09Z"/>
        <d v="2026-07-28T21:16:05Z"/>
        <d v="2026-07-28T21:22:41Z"/>
        <d v="2026-07-28T21:51:15Z"/>
        <d v="2026-07-28T21:52:03Z"/>
        <d v="2026-07-28T22:06:51Z"/>
        <d v="2026-07-28T22:09:38Z"/>
        <d v="2026-07-29T16:48:55Z"/>
        <d v="2026-07-28T22:38:25Z"/>
        <d v="2026-07-28T22:45:13Z"/>
        <d v="2026-07-28T22:46:31Z"/>
        <d v="2026-07-28T23:35:56Z"/>
        <d v="2026-07-29T06:53:59Z"/>
        <d v="2026-07-28T23:47:02Z"/>
        <d v="2026-07-28T23:54:41Z"/>
        <d v="2026-07-29T08:17:53Z"/>
        <d v="2026-07-29T09:06:36Z"/>
        <d v="2026-07-29T09:56:08Z"/>
        <d v="2026-07-29T10:10:45Z"/>
        <d v="2026-07-29T14:11:36Z"/>
        <d v="2026-07-29T14:48:54Z"/>
        <d v="2026-07-29T15:10:24Z"/>
        <d v="2026-07-29T18:02:47Z"/>
        <d v="2026-07-29T18:40:36Z"/>
        <d v="2026-07-29T18:42:15Z"/>
        <d v="2026-07-29T19:08:03Z"/>
        <d v="2026-07-29T19:30:05Z"/>
        <d v="2026-07-29T19:45:38Z"/>
        <d v="2026-07-29T19:46:33Z"/>
        <d v="2026-07-29T22:45:42Z"/>
        <d v="2026-07-29T20:52:06Z"/>
        <d v="2026-07-29T21:19:54Z"/>
        <d v="2026-07-29T22:37:10Z"/>
        <d v="2026-07-29T22:03:13Z"/>
        <d v="2026-07-29T22:32:11Z"/>
        <d v="2026-07-29T22:58:30Z"/>
        <d v="2026-07-29T22:58:36Z"/>
        <d v="2026-07-29T22:59:57Z"/>
        <d v="2026-07-30T21:28:11Z"/>
        <d v="2026-07-29T23:39:38Z"/>
        <d v="2026-07-29T23:42:45Z"/>
        <d v="2026-07-30T09:05:50Z"/>
        <d v="2026-07-30T09:07:38Z"/>
        <d v="2026-07-30T09:22:14Z"/>
        <d v="2026-07-30T09:31:23Z"/>
        <d v="2026-07-30T13:59:41Z"/>
        <d v="2026-07-30T17:17:14Z"/>
        <d v="2026-07-30T18:41:27Z"/>
        <d v="2026-07-30T20:03:43Z"/>
        <d v="2026-07-30T20:24:54Z"/>
        <d v="2026-07-30T22:52:01Z"/>
        <d v="2026-07-30T23:04:49Z"/>
        <d v="2026-07-30T23:29:21Z"/>
        <d v="2026-07-31T16:06:44Z"/>
        <d v="2026-07-31T22:28:22Z"/>
        <d v="2026-08-01T07:32:53Z"/>
        <d v="2026-08-01T12:06:54Z"/>
        <d v="2026-08-02T16:00:14Z"/>
        <d v="2026-08-02T16:34:29Z"/>
        <d v="2026-08-02T19:54:26Z"/>
        <d v="2026-08-02T20:31:15Z"/>
        <d v="2026-08-02T20:49:28Z"/>
        <d v="2026-08-03T07:43:05Z"/>
        <d v="2026-08-03T10:52:44Z"/>
        <d v="2026-08-03T11:31:12Z"/>
        <d v="2026-08-03T14:24:22Z"/>
        <d v="2026-08-03T16:03:08Z"/>
        <d v="2026-08-03T17:53:37Z"/>
        <d v="2026-08-04T08:15:40Z"/>
        <d v="2026-08-07T00:13:41Z"/>
        <d v="2026-08-07T13:47:49Z"/>
        <d v="2026-08-09T11:30:18Z"/>
        <d v="2026-08-12T16:41:51Z"/>
        <d v="2026-08-28T14:16:41Z"/>
        <d v="2026-08-28T16:59:03Z"/>
        <d v="2026-08-28T18:45:32Z"/>
        <d v="2026-08-28T20:59:50Z"/>
        <d v="2026-08-28T21:16:40Z"/>
        <d v="2026-08-28T21:30:22Z"/>
        <d v="2026-08-28T21:39:04Z"/>
        <d v="2026-08-28T21:42:24Z"/>
        <d v="2026-08-28T23:20:47Z"/>
        <d v="2026-08-28T23:24:03Z"/>
        <d v="2026-08-29T06:07:03Z"/>
        <d v="2026-08-29T09:28:18Z"/>
        <d v="2026-08-29T09:44:47Z"/>
        <d v="2026-08-29T10:39:44Z"/>
        <d v="2026-08-29T13:29:59Z"/>
        <d v="2026-08-29T14:56:55Z"/>
        <d v="2026-08-29T14:57:24Z"/>
        <d v="2026-08-29T16:33:12Z"/>
        <d v="2026-08-29T16:36:45Z"/>
        <d v="2026-08-29T17:22:07Z"/>
        <d v="2026-08-29T18:56:23Z"/>
        <d v="2026-08-29T19:31:23Z"/>
        <d v="2026-08-29T22:47:24Z"/>
        <d v="2026-08-29T23:02:31Z"/>
        <d v="2026-08-29T23:26:40Z"/>
        <d v="2026-08-30T01:50:20Z"/>
        <d v="2026-08-30T02:03:31Z"/>
        <d v="2026-08-30T05:37:39Z"/>
        <d v="2026-08-30T08:34:08Z"/>
        <d v="2026-08-30T08:43:28Z"/>
        <d v="2026-08-30T08:46:42Z"/>
        <d v="2026-08-30T09:30:51Z"/>
        <d v="2026-08-30T09:50:41Z"/>
        <d v="2026-08-30T10:05:23Z"/>
        <d v="2026-08-30T10:43:41Z"/>
        <d v="2026-08-30T12:23:57Z"/>
        <d v="2026-08-30T12:44:48Z"/>
        <d v="2026-08-30T13:28:40Z"/>
        <d v="2026-08-30T14:07:31Z"/>
        <d v="2026-08-30T14:49:36Z"/>
        <d v="2026-08-30T14:51:38Z"/>
        <d v="2026-08-30T14:55:10Z"/>
        <d v="2026-08-30T15:07:02Z"/>
        <d v="2026-08-30T15:54:24Z"/>
        <d v="2026-08-30T16:15:17Z"/>
        <d v="2026-08-30T18:41:40Z"/>
        <d v="2026-08-30T19:16:11Z"/>
        <d v="2026-08-30T19:47:12Z"/>
        <d v="2026-08-30T20:33:08Z"/>
        <d v="2026-08-30T22:07:17Z"/>
        <d v="2026-08-30T23:05:24Z"/>
        <d v="2026-08-31T01:05:17Z"/>
        <d v="2026-08-31T09:17:34Z"/>
        <d v="2026-08-31T09:56:53Z"/>
        <d v="2026-08-31T11:18:32Z"/>
        <d v="2026-08-31T11:26:21Z"/>
        <d v="2026-08-31T11:36:46Z"/>
        <d v="2026-08-31T13:02:04Z"/>
        <d v="2026-08-31T16:18:48Z"/>
        <d v="2026-08-31T18:08:28Z"/>
        <d v="2026-08-31T20:39:56Z"/>
        <d v="2026-09-01T00:02:16Z"/>
        <d v="2026-09-01T01:17:15Z"/>
        <d v="2026-09-01T01:23:02Z"/>
        <d v="2026-09-01T09:22:14Z"/>
        <d v="2026-09-01T09:47:45Z"/>
        <d v="2026-09-01T10:02:53Z"/>
        <d v="2026-09-01T10:40:33Z"/>
        <d v="2026-09-01T13:22:20Z"/>
        <d v="2026-09-01T14:15:26Z"/>
        <d v="2026-09-01T14:36:58Z"/>
        <d v="2026-09-01T15:55:59Z"/>
        <d v="2026-09-01T16:50:37Z"/>
        <d v="2026-09-01T20:43:08Z"/>
        <d v="2026-09-01T20:43:25Z"/>
        <d v="2026-09-01T21:21:50Z"/>
        <d v="2026-09-01T21:50:04Z"/>
        <d v="2026-09-02T06:55:42Z"/>
        <d v="2026-09-02T07:38:40Z"/>
        <d v="2026-09-02T10:57:13Z"/>
        <d v="2026-09-02T11:13:23Z"/>
        <d v="2026-09-02T11:18:23Z"/>
        <d v="2026-09-02T11:59:43Z"/>
        <d v="2026-09-02T14:14:50Z"/>
        <d v="2026-09-02T14:53:02Z"/>
        <d v="2026-09-02T16:10:50Z"/>
        <d v="2026-09-02T17:01:03Z"/>
        <d v="2026-09-02T17:25:21Z"/>
        <d v="2026-09-02T17:51:52Z"/>
        <d v="2026-09-02T18:16:40Z"/>
        <d v="2026-09-02T18:44:12Z"/>
        <d v="2026-09-02T18:54:35Z"/>
        <d v="2026-09-02T19:47:25Z"/>
        <d v="2026-09-02T20:05:13Z"/>
        <d v="2026-09-02T20:07:14Z"/>
        <d v="2026-09-02T21:02:07Z"/>
        <d v="2026-09-02T21:29:01Z"/>
        <d v="2026-09-02T22:10:00Z"/>
        <d v="2026-09-02T22:17:02Z"/>
        <d v="2026-09-02T22:24:23Z"/>
        <d v="2026-09-02T22:30:54Z"/>
        <d v="2026-09-02T22:52:52Z"/>
        <d v="2026-09-02T22:53:34Z"/>
        <d v="2026-09-02T22:58:51Z"/>
        <d v="2026-09-02T23:32:48Z"/>
        <d v="2026-09-02T23:47:35Z"/>
        <d v="2026-09-02T23:53:42Z"/>
        <m/>
      </sharedItems>
    </cacheField>
    <cacheField name="Email Address" numFmtId="0">
      <sharedItems containsBlank="1">
        <s v="rrizkhyadhi21@gmail.com"/>
        <s v="puspitadianaarumawati@gmail.com"/>
        <s v="hanafifuad33@gmail.com"/>
        <s v="nalapawitri81@gmail.com"/>
        <s v="zahraarqam@gmail.com"/>
        <s v="ppg.syahnadinnuridha91@program.belajar.id"/>
        <s v="syiadwi13@gmail.com"/>
        <s v="intaniaeka@gmail.com"/>
        <s v="harnianisiti01.sa@gmail.com"/>
        <s v="adibirhamali@gmail.com"/>
        <s v="fitrinurhayani23@gmail.com"/>
        <s v="asmildanurrahmawati@gmail.com"/>
        <s v="thaariqholland@student.uns.ac.id"/>
        <s v="parifunm@gmail.com"/>
        <s v="nuningwijayanti248@gmail.com"/>
        <s v="ayum9003@gmail.com"/>
        <s v="whhanatthahiraha8@gmail.com"/>
        <s v="azizahfajriatul@gmail.com"/>
        <s v="afrilianto@student.uns.ac.id"/>
        <s v="ppg.lailamuniroh92@program.belajar.id"/>
        <s v="ppg.imronkamaludin02@program.belajar.id"/>
        <s v="rizqi.nurfitriani@student.uns.ac.id"/>
        <s v="nilasafitri3@gmail.com"/>
        <s v="firdaauliashalihah@gmail.com"/>
        <s v="nur116775@gmail.com"/>
        <s v="imamsetiawan101010@gmail.com"/>
        <s v="mustofanuril71@gmail.com"/>
        <s v="allikafh12@gmail.com"/>
        <s v="mroyyan2001@gmail.com"/>
        <s v="rosliana.1113@guru.smp.belajar.id"/>
        <s v="susiir1009@gmail.com"/>
        <s v="sartikasarti161@gmail.com"/>
        <s v="fitawardani1301@gmail.com"/>
        <s v="ppg.adityahasan00828@program.belajar.id"/>
        <s v="tiwikhapsari55@gmail.com"/>
        <s v="peserta.06995@ppg.belajar.id"/>
        <s v="chabibahnur7@gmail.com"/>
        <s v="ppg.sucityas99428@program.belajar.id"/>
        <s v="senosetiyawan23@gmail.com"/>
        <s v="yonekaoca16@gmail.com"/>
        <s v="atnidwihasmarayekti@gmail.com"/>
        <s v="mochadibirhamali@gmail.com"/>
        <s v="candraadi2410@gmail.com"/>
        <s v="peserta.00416@ppg.belajar.id"/>
        <s v="triantini98@gmail.com"/>
        <s v="peserta.08733@ppg.belajar.id"/>
        <s v="nurulkhoiriyah441@gmail.com"/>
        <s v="aliefmufirsa@gmail.com"/>
        <s v="sholawatmania61@gmail.com"/>
        <s v="abianaelfarabi@student.uns.ac.id"/>
        <s v="mudawamatul_khasanah@student.uns.ac.id"/>
        <s v="sriwulandari20010328@gmail.com"/>
        <s v="devyrizki64@gmail.com"/>
        <s v="utaranugraha@gmail.com"/>
        <s v="sisnamarv@gmail.com"/>
        <s v="aderahmadhardani@gmail.com"/>
        <s v="alinajich29@gmail.com"/>
        <s v="rudyazizseptyawan@gmail.com"/>
        <s v="rakakumara@gmail.com"/>
        <s v="ppg.fikrikamal01@program.belajar.id"/>
        <s v="bektiajiw46@gmail.com"/>
        <s v="fadlilahppg@gmail.com"/>
        <s v="wahyu.rvp007@gmail.com"/>
        <s v="muhidbayyan5@gmail.com"/>
        <s v="poncopras15@gmail.com"/>
        <s v="ppg.khoiruddinnugroho92@program.belajar.id"/>
        <s v="adambhrdn24@gmail.com"/>
        <s v="hendraramadhan31121997@gmail.com"/>
        <s v="wismpm99@gmail.com"/>
        <s v="bastianwijayanto78@gmail.com"/>
        <s v="diyanaratnasari190102@gmail.com"/>
        <s v="ppg.mochamadmisbakhudin58@program.belajar.id"/>
        <s v="marsyandaalfina@gmail.com"/>
        <s v="silmikrn@gmail.com"/>
        <s v="hwinggar@gmail.com"/>
        <s v="mukhlisanggraini34@guru.sd.belajar.id"/>
        <s v="dhiarrafiibintang@gmail.com"/>
        <s v="puspaindah164@gmail.com"/>
        <s v="devianti098@gmail.com"/>
        <s v="ennymaharani010601@gmail.com"/>
        <s v="shabrina.hanani@gmail.com"/>
        <s v="alfiatysaid1008@gmail.com"/>
        <s v="waodesaputry2404@gmail.com"/>
        <s v="fatchurrrahman14@gmail.com"/>
        <s v="sarnisiyauta01@gmail.com"/>
        <s v="kimisbat@gmail.com"/>
        <s v="samshifar9@gmail.com"/>
        <s v="ppg.usmanprabowo00628@program.belajar.id"/>
        <s v="dionikhwan357@gmail.com"/>
        <s v="afdalandhy17@gmail.com"/>
        <s v="nuzuliafitriana9@gmail.com"/>
        <s v="dewiindam27@gmail.com"/>
        <s v="omsenodotcom@gmail.com"/>
        <s v="talithan3@gmail.com"/>
        <s v="fajaradyw@gmail.com"/>
        <s v="muhammadmukammil2@gmail.com"/>
        <s v="viraoktaviana08@gmail.com"/>
        <s v="tompraks@gmail.com"/>
        <s v="nurulkhairunnisa12@gmail.com"/>
        <s v="riskaapriliamarsya147@gmail.com"/>
        <s v="endahrahma60@gmail.com"/>
        <s v="monicaokta228@gmail.com"/>
        <s v="nurulftha11@gmail.com"/>
        <s v="putridindameuraintan949@gmail.com"/>
        <s v="muhammadghozali217@gmail.com"/>
        <s v="khaafidhatulka@gmail.com"/>
        <s v="sofyansoleh19@gmail.com"/>
        <s v="ongkyalbert033@gmail.com"/>
        <s v="putrimaria451@gmail.com"/>
        <s v="azizahfajriatul@student.uns.ac.id"/>
        <s v="jumyafisika18@gmail.com"/>
        <s v="hikaru.qreina@gmail.com"/>
        <s v="nurfazria.m@gmail.com"/>
        <s v="rahmawatiputri593@gmail.com"/>
        <s v="roufjepara23@gmail.com"/>
        <s v="nadiyya.husna26@gmail.com"/>
        <s v="renildaariyani@gmail.com"/>
        <s v="samsulbahrinangalili@gmail.com"/>
        <s v="awmega12@gmail.com"/>
        <s v="afdalandhy22@gmail.com"/>
        <s v="arisetya20@gmail.com"/>
        <s v="alimdad573@gmail.com"/>
        <s v="badruntamam22@gmail.com"/>
        <s v="setyatya885@gmail.com"/>
        <s v="nurulazila117@gmail.com"/>
        <s v="aguspurwanto9898@gmail.com"/>
        <s v="ppg.rizqiramayanti03@program.belajar.id"/>
        <s v="ajengnurulwalidaenii@gmail.com"/>
        <s v="ratratih123@gmail.com"/>
        <s v="ppg.abdulrovii83@program.belajar.id"/>
        <s v="adheliaedusena@gmail.com"/>
        <s v="fikriahmadkamalmahbub@gmail.com"/>
        <s v="thomas443@guru.sd.belajar.id"/>
        <s v="annamargiana3255@gmail.com"/>
        <s v="noorfanika2@gmail.com"/>
        <s v="noorfanikatugas@gmail.com"/>
        <s v="syeh.aindalloh11@guru.smp.belajar.id"/>
        <s v="imamsayuti8670@gmail.com"/>
        <s v="kumoro.pr06@gmail.com"/>
        <s v="anggasenju1234@gmail.com"/>
        <s v="syeh.aindalloh.2301218@students.um.ac.id"/>
        <s v="elsygusmayanti038@gmail.com"/>
        <s v="novinurivanir@gmail.com"/>
        <s v="hidayatiruyatul22@gmail.com"/>
        <s v="rifkihermawan19@gmail.com"/>
        <s v="leny.wijayaanggraini@gmail.com"/>
        <s v="qotrunnadafitriadisvaadisva@gmail.com"/>
        <s v="silmikurnias@gmail.com"/>
        <s v="tahirfitridwiningtiasri80@gmail.com"/>
        <s v="aulia87571@gmail.com"/>
        <s v="remonpatty79@gmail.com"/>
        <s v="mfaisalrizqypratama915@gmail.com"/>
        <s v="jihannafira98@gmail.com"/>
        <s v="yusrainidaulay705@gmail.com"/>
        <s v="ramli.ramli13111994@gmail.com"/>
        <s v="ppg.destydiniardianty82@program.belajar.id"/>
        <s v="ohyossicahya@gmail.com"/>
        <s v="rinahardianti2@gmail.com"/>
        <s v="agus01065@gmail.com"/>
        <s v="nungky.rantatriana@gmail.com"/>
        <s v="taufikhidayat.03123@gmail.com"/>
        <s v="handikasetyadarma@gmail.com"/>
        <s v="cinta29rahmalia@gmail.com"/>
        <s v="kiswari.lusida@gmail.com"/>
        <s v="officialatriahanif@gmail.com"/>
        <s v="luzyhapsara4@gmail.com"/>
        <s v="putrinataliasidabutar9383@gmail.com"/>
        <s v="ppg.sofyanhidayatulloh10@program.belajar.id"/>
        <s v="achmadsabani98@gmail.com"/>
        <s v="riskadamay280@gmail.com"/>
        <s v="alvian160894@gmail.com"/>
        <s v="opikrina94@gmail.com"/>
        <s v="sutrisno051@guru.sd.belajar.id"/>
        <s v="putri_1905026033@student.walisongo.ac.id"/>
        <s v="zainulngage@gmail.com"/>
        <s v="novrianirahmah99@gmail.com"/>
        <s v="rdpr95@gmail.com"/>
        <s v="fanisadwi13@gmail.com"/>
        <s v="irwandidarwin01@gmail.com"/>
        <s v="elvitarahmamei@gmail.com"/>
        <s v="lutfikhakim30@gmail.com"/>
        <s v="ramlizzha9@gmail.com"/>
        <s v="daprianti596@gmail.com"/>
        <s v="fianazulfa11@gmail.com"/>
        <s v="reyneldaadmar47@gmail.com"/>
        <s v="afadholi43@gmail.com"/>
        <s v="nurramadanif@gmail.com"/>
        <s v="zahratul186@gmail.com"/>
        <s v="hatta.dinata1@gmail.com"/>
        <s v="deliepde93@gmail.com"/>
        <s v="trisuryo55@gmail.com"/>
        <s v="itishomul.hanif@gmail.com"/>
        <s v="turaekhanamin59@gmail.com"/>
        <s v="nralaam2@gmail.com"/>
        <s v="ppg.dindawulandari00@program.belajar.id"/>
        <s v="risaulisihite04@gmail.com"/>
        <s v="ermitaalawiyah@gmail.com"/>
        <s v="fitriawahyuwulansari330@gmail.com"/>
        <s v="ppg.alakhnah81@program.belajar.id"/>
        <s v="sitilistiyowati007@gmail.com"/>
        <s v="suryadwiprabowo@gmail.com"/>
        <s v="amalia.isfina17@gmail.com"/>
        <s v="wahyuniabdillah91@gmail.com"/>
        <s v="ppg.aiadawiyah01@program.belajar.id"/>
        <s v="marvelaintan@gmail.com"/>
        <s v="maulidiauswatun15@gmail.com"/>
        <s v="salmawati3april@gmail.com"/>
        <s v="maliyaimama@gmail.com"/>
        <s v="saviraputriwulandari@gmail.com"/>
        <s v="gipuspita6@gmail.com"/>
        <s v="anishusna.ah@gmail.com"/>
        <s v="septiannisme179@gmail.com"/>
        <s v="citraasmaradewi@gmail.com"/>
        <s v="nenengegif@gmail.com"/>
        <s v="dindapratiwi14.dp@gmail.com"/>
        <s v="syifasdnsidoagung@gmail.com"/>
        <m/>
      </sharedItems>
    </cacheField>
    <cacheField name="Nama Lengkap (disertai gelar)" numFmtId="0">
      <sharedItems containsBlank="1">
        <s v="Rizky Adi Nugroho S.Pd.,Gr."/>
        <s v="Puspita Diana Arumawati, M.Pd., Gr."/>
        <s v="Fuad Hanafi, S.Pd., Gr. "/>
        <s v="Nala Pawitri Andanawarih, S.Pd.,Gr"/>
        <s v="Sitti Zahra Riarana Arqam, S.Pd.Gr"/>
        <s v="SYAHNADIN NURIDHA, S. Pd., Gr"/>
        <s v="Syifa Dwi Novita, S.Pd., Gr."/>
        <s v="Intania Eka Yanti, S.Kom., Gr."/>
        <s v="Siti Harniani, S. Pd"/>
        <s v="Moch. Adib Irham Ali"/>
        <s v="Fitri Nurhayani, S.Pd"/>
        <s v="Asmilda Nur Rahmawati S. Pd., Gr. "/>
        <s v="Muhammad Ath Thaariq Aziizi, S.Pd, Gr."/>
        <s v="Parif, S.Pd., Gr."/>
        <s v="Nuning Wijayanti, S.Pd., Gr."/>
        <s v="Mita Ayu Wulandari. S.Pd."/>
        <s v="WH. HANAT THAHIRAH A., S.Pd, Gr."/>
        <s v="Fajriatul 'Azizah"/>
        <s v="Afri Lianto, S.Pd., Gr."/>
        <s v="Laila Magfirul Muniroh, S.Pd,. Gr"/>
        <s v="Imron Arya Kamaludin, S.Pd., Gr."/>
        <s v="Rizqi Nur Fitriani "/>
        <s v="Nila Safitri, S.Pd., Gr."/>
        <s v="Firda Aulia Shalihah, S.Pd., Gr."/>
        <s v="Nur Awaliyah, S.Pd"/>
        <s v="Imam Setiawan, S.Pd., Gr., M.Pd."/>
        <s v="NURIL MUSTOFA, S.E., Gr."/>
        <s v="Allika Fadiyah Hasna, S.Pd., Gr"/>
        <s v="Muhammad Royyan, S.Pd.,Gr."/>
        <s v="Rosliana,S.Pd"/>
        <s v="Susi Susanti, S.Pd.,Gr"/>
        <s v="Sartika,S.Pd., Gr."/>
        <s v="Fita Wardani, S.Pd., Gr."/>
        <s v="Aditya Maulana Hasan, S.Pd., Gr."/>
        <s v="Nur Pratiwi Yuga Hapsari, S.Pd,.Gr"/>
        <s v="Listia Nuraini, S.Pd.,Gr"/>
        <s v="Nurchabibah, S.Pd."/>
        <s v="Suci Suryaning Tyas S.Pd,Gr"/>
        <s v="Seno setiyawan"/>
        <s v="Yoneka Noorca Erlangga, S. Pd., Gr."/>
        <s v="Atni Dwi Hasmara Yekti, S.Pd., Gr."/>
        <s v="Moch. Adib Irham Ali, S.Pd"/>
        <s v="Candra Adi Rahmat, S.Kom., Gr"/>
        <s v="Farida Sapo, S.Pd.,Gr."/>
        <s v="Triantini, S. Pd., Gr. "/>
        <s v="Resky Nur Fatimah, S.Pd.,Gr."/>
        <s v="Nurul Khoiriyah, S.Pd., Gr."/>
        <s v="Alief Mustaghfiroh Suciyani Arifin, S.Pd., Gr."/>
        <s v="Zaenudin,S.Pd.Gr."/>
        <s v="Abiana Elfarabi S.Pd., Gr"/>
        <s v="Mudawamatul Khasanah, S. Pd. G.r."/>
        <s v="Sri Wulandari, S.Hum., Gr."/>
        <s v="Devy Rizki Agustina, S.Pd.Gr."/>
        <s v="UTARA SETIA NUGRAHA, S. Pd., Gr. "/>
        <s v="Sisna Marvilia Ayuningrum, S.Pd., Gr."/>
        <s v="Ade Rahmad Hardani S.Pd.,G.r"/>
        <s v="Muhammad Ali Najich., M.Pd"/>
        <s v="Rudy Aziz Septyawan, S.Pd., Gr."/>
        <s v="RAKA KUMARA JATI"/>
        <s v="Fikri Ahmad Kamal, S.Pd., M.Pd., Gr."/>
        <s v="Bekti Aji Wibowo S.Pd., Gr."/>
        <s v="Fadlilah Nurul Fajri Handayani., S.Pd., Gr. "/>
        <s v="Wahyu Nugroho, S.Pd., Gr"/>
        <s v="Muhid Bayyan, S.Pd. "/>
        <s v="Muhammad Ponco Prasetyo, S.Pd., Gr"/>
        <s v="Khoiruddin Adi Nugroho, S.Pd."/>
        <s v="Adam Baharddudin, S.Or"/>
        <s v="Hendra Ramadhan, S.Pd., Gr"/>
        <s v="Wisma Puteri Mustika, S.Pd., Gr."/>
        <s v="Bastian Wijayanto, S.Pd., Gr."/>
        <s v="Diyana Ratna Sari, S.Pd, Gr."/>
        <s v="MOCHAMAD MISBAKHUDIN, S.Pd."/>
        <s v="Marsyanda Alfina Choirunnisa', S.Pd"/>
        <s v="SILMI KURNIA SA'ADAH, S.Pd."/>
        <s v="Winggar H, S.Pd., Gr."/>
        <s v="Mukhlis Siska Nur Anggraini, S. Pd"/>
        <s v="Dhiarrafii Bintang Matahari, M.Pd., Gr."/>
        <s v="Puspa Indah Sulistyaningrum "/>
        <s v="Devianti S. Pd., Gr"/>
        <s v="Enny Maharani, S.Pd.,Gr"/>
        <s v="Shabrina, S.Pd., M.Pd., Gr."/>
        <s v="ALFIATY SAID"/>
        <s v="Wa Ode SaputryNingrat, S.Pd., Gr"/>
        <s v="FATCHUR RAHMAN S.Pd., Gr."/>
        <s v="SARNI SIYAUTA"/>
        <s v="Ach. Isbat Fauzi, S.Pd., Kons., Gr."/>
        <s v="Samsifar, S. Pd"/>
        <s v="Usman Adi Prabowo, S.Pd."/>
        <s v="Nursia. M, S.Pd., Gr"/>
        <s v="muh. andy afdal., M.Pd., Gr"/>
        <s v="Nuzulia Fitriana, S.Pd., M.Pd."/>
        <s v="Dewi Inda Musni, S.Pd., Gr."/>
        <s v="Seno Setiyawan, S.Si, Gr"/>
        <s v="Talitha Nabilah, S.Pd. Gr."/>
        <s v="Fajar Ady Widyanto, S.Pd., Gr."/>
        <s v="Muhammad Mukammil, S.Pd., Gr"/>
        <s v="Vira Oktaviana, S.Pd.Gr"/>
        <s v="Cahyo Tomi Prakoso, S.Pd., Gr."/>
        <s v="Nurul Khairunnisa, S.Pd."/>
        <s v="Riska Aprilia"/>
        <s v="ENDAH EKA HANDAYANI, S.S., Gr. "/>
        <s v="Monica Synthia Oktaviani,S.Pd"/>
        <s v="Nurul Fatha, S.S."/>
        <s v="Putri dinda meura intan"/>
        <s v="Muhammad Ghozali, S.Pd., Gr."/>
        <s v="Khaafidhatul Kalaamiyah S.Pd. Gr."/>
        <s v="Sofyan Soleh Nur Hidayatulloh, S.Pd., Gr."/>
        <s v="ONGKY ALBERT, S. Fil. "/>
        <s v="Maria Putri Ayeng, S.Pd."/>
        <s v="Fajriatul 'Azizah, S.Ak, Gr"/>
        <s v="JUMYANY SYNTHA MAOLA KADANG, S.Pd.,Gr"/>
        <s v="Nur Laili Afrida, S.Pd"/>
        <s v="Nur Fazria Masfufah, S.Pd., M.Pd"/>
        <s v="Putri Rahmawati, S.Pd., Gr."/>
        <s v="Muhammad Abdur Rouf, M.Pd., Gr"/>
        <s v="Nadiyyatul Husna, S.PD., Gr."/>
        <s v="Renilda Ariyani Saragih"/>
        <s v="samsul bahri S.Pd, Gr"/>
        <s v="Mega Asyha Widiyarti, S.Pd"/>
        <s v="Muh. Andy Afdal, S.Pd., M.Pd., Gr."/>
        <s v="Ari Setya Kusuma Ningrum,S.Pd.,Gr."/>
        <s v="Al Imdad Kholid Mawardi "/>
        <s v="M Badrun Tamam,S.M.,M.Pd.,Gr."/>
        <s v="Tri Wahyu Setyaningrum, S.Pd. Gr."/>
        <s v="NURUL AZILA ROMDANI"/>
        <s v="Agus Purwanto, S.Pd,. Gr"/>
        <s v="Rizqi Ramayanti, S.Pd., Gr. "/>
        <s v="Ajeng Nurul Walidaeni, S.Pd., Gr."/>
        <s v="Ratih Perwita Sari, S. Pd., Gr. "/>
        <s v="Abdul Rovi'i, S.Pd., Gr., M.Pd."/>
        <s v="Adhelia Rahma Sari, S.Pd., Gr., M.Sc"/>
        <s v="Thomas Faisal, S.Pd, Gr."/>
        <s v="MARGIANA, S.E., Gr"/>
        <s v="Noor Fanika, S.Pd., Gr"/>
        <s v="Noor Fanika, S.Pd., Gr."/>
        <s v="SYEH 'AINDALLOH, S.Pd., M.Pd."/>
        <s v="IMAM SAYUTI, S.Pd"/>
        <s v="Kumoro Prahastini "/>
        <s v="Angga Saputra, S.Pd"/>
        <s v="SYEH 'AINDALLOH,S.Pd., M.Pd."/>
        <s v="Elsy Gusmayanti,M.Pd"/>
        <s v="NOVI NUR IVANI RAHMAH, S.Pd, Gr"/>
        <s v="Ru'yatul Hidayati, S. Pd., Gr"/>
        <s v="Muhamad Rifki Hermawan"/>
        <s v="LENY ANGGRAINI WIJAYA, S.Pd.,Gr."/>
        <s v="QOTRUN NADA FITRI ADISVA,S.Pd,Gr"/>
        <s v="Fitri Dwi Ningtias, S.Pd., Gr."/>
        <s v="Aulia Isnaini Nurul Fadilah, S.Pd., Gr."/>
        <s v="Remon Patty ,S.Pd.Gr"/>
        <s v="M. Faisal Rizqy Pratama, S.Si., Gr."/>
        <s v="Wisnu Ega Pratama, S.Pd., Gr."/>
        <s v="YUSRAINI DAULAY, S. Pd, Gr"/>
        <s v="Ramli"/>
        <s v="Desty Dini Ardianty, S.Pd.,Gr"/>
        <s v="Yosi Cahyaningtiyas Fitri, S.Pd., Gr., M.Pd"/>
        <s v="Rina Hardianti, S.Si., Gr."/>
        <s v="Agus Susanto, ST, Gr"/>
        <s v="Nungky Ranta Triana S.Pd.,Gr"/>
        <s v="Taufik Hidayat, M.Pd "/>
        <s v="Handika Setya Darma, S.Pd., Gr."/>
        <s v="Cinta Rahmalia Ulfa, S.Pd., M.Pd. "/>
        <s v="Lusida Kiswari, S.Pd. Gr."/>
        <s v="Atria Hanif Dwi Rahayu, S.Pd.,Gr."/>
        <s v="Luzy hapsara"/>
        <s v="Putri Natalia Sidabutar, S. Pd., Gr. "/>
        <s v="Achmad Sa'bani S.Pd, Gr"/>
        <s v="Riska Damayanti, S.Pd.Gr"/>
        <s v="Alviansyah, S.Pd., M.Pd."/>
        <s v="Rina Opik, S.Pd., Gr."/>
        <s v="SUTRISNO, S.Pd.I., M.Pd."/>
        <s v="Dyah Putri Purnamasari, S. E., Gr."/>
        <s v="Zainul Arifin, S.Si., Gr."/>
        <s v="Novriani Rahmah, S.Pd, Gr"/>
        <s v="Rizki Dimas Puji Raharjo, S.Pd, Gr., M.M"/>
        <s v="Anisa Dwi Febriyanti, S.Ag"/>
        <s v="Irwandi, S.Pd, Gr."/>
        <s v="Rahma Mei Elvita, S.Pd.Gr"/>
        <s v="Lutfi Khakim, M.Pd"/>
        <s v="Desi Aprianti, S.Pd., Gr., M.Pd."/>
        <s v="Siti Alfiana Zulfa S.Pd, Gr"/>
        <s v="Reynelda Admar Bartha, S.Pd., Gr"/>
        <s v="Ahmad Fadholi, S.Pd., Gr."/>
        <s v="Nur Ramadani Fitri, S.Tr.T., Gr."/>
        <s v="ZAHRATUL JANNAH, S.Si."/>
        <s v="HATTA DINATA"/>
        <s v="Laela Noor Fa'izah, S.Pd, M.Pd. Gr"/>
        <s v="TRI SURYO HADI WIBOWO, S.Pd., M.Pd., Gr."/>
        <s v="I'tishomul Hanif, S.Pi., Gr."/>
        <s v="Turaekhan, S.Pd.,M.Pd."/>
        <s v="Nur Alam, S.Pd., Gr."/>
        <s v="Dinda Wulandari "/>
        <s v="Risauli J.Sihite S.Pd"/>
        <s v="Ermita Khusniyatul Alawiyah, S.Si., Gr."/>
        <s v="Fitria Wahyu Wulansari, S.Pd., Gr."/>
        <s v="Al Manunal Akhnah M.Pd"/>
        <s v="SITI LISTIYOWATI"/>
        <s v="Surya Dwi Prabowo, S.Pd., Gr."/>
        <s v="Isfina Amalia, S.Pd. Gr."/>
        <s v="Wahyuni Abdillah, S.Pd. Gr."/>
        <s v="Ai Siti Rabiah Adawiyah, S.Pd."/>
        <s v="Intan Marvela, S.Pd., Gr."/>
        <s v="Maulidia, Uswatun Khasanah, S.Pd"/>
        <s v="Gina Puspita, S.Pd.,Gr"/>
        <s v="Maliya Nur Imamah, S.Pd."/>
        <s v="Savira Putri Wulandari S.P. Gr"/>
        <s v="Anis Risalatul Husna, S.Pd., Gr."/>
        <s v="SEPTIAN DWI ANTO, M.Pd"/>
        <s v="Citra Asmara Dewi, S.Pd., Gr., M.Pd."/>
        <s v="Neneng Egi Febriyani, S.Pd., Gr. "/>
        <s v="Dinda Pratiwi, S.Pd., Gr"/>
        <s v="SYIFA' LANA, S.Pd.,Gr."/>
        <m/>
      </sharedItems>
    </cacheField>
    <cacheField name="PTK ID / SIMPKB ID">
      <sharedItems containsBlank="1" containsMixedTypes="1" containsNumber="1" containsInteger="1">
        <n v="7.000247262E9"/>
        <n v="7.00008667E9"/>
        <n v="7.000266546E9"/>
        <n v="7.000088952E9"/>
        <n v="7.00216115E8"/>
        <n v="7.000141094E9"/>
        <n v="7.000012366E9"/>
        <n v="7.000230682E9"/>
        <n v="7.000227911E9"/>
        <n v="7.000202065E9"/>
        <n v="7.000094807E9"/>
        <n v="7.000127861E9"/>
        <n v="7.000287279E9"/>
        <n v="7.000193855E9"/>
        <n v="7.000180386E9"/>
        <n v="7.000115177E9"/>
        <s v="whhanatthahiraha8@gmail.com"/>
        <n v="7.000058324E9"/>
        <n v="7.000158269E9"/>
        <n v="7.000133033E9"/>
        <n v="7.00012434E9"/>
        <n v="7.000128901E9"/>
        <n v="7.000130658E9"/>
        <n v="7.000237077E9"/>
        <n v="7.000046967E9"/>
        <n v="7.000157175E9"/>
        <n v="7.000330445E9"/>
        <n v="7.000166435E9"/>
        <n v="7.000291731E9"/>
        <n v="2.02200123884E11"/>
        <n v="7.000239728E9"/>
        <n v="7.000143754E9"/>
        <n v="7.000145964E9"/>
        <n v="7.00014757E9"/>
        <n v="2.02500039736E11"/>
        <n v="7.000116289E9"/>
        <n v="7.000019417E9"/>
        <n v="7.000181406E9"/>
        <n v="7.000110408E9"/>
        <n v="7.000229318E9"/>
        <n v="7.00015249E9"/>
        <n v="7.000305558E9"/>
        <n v="7.000242161E9"/>
        <n v="7.000053135E9"/>
        <s v="reskynurfatimah45@gmail.com"/>
        <n v="7.00012574E9"/>
        <n v="7.000166234E9"/>
        <n v="7.000043958E9"/>
        <n v="7.000112279E9"/>
        <n v="7.000060591E9"/>
        <n v="7.00027015E9"/>
        <n v="7.000024673E9"/>
        <n v="7.000211281E9"/>
        <n v="7.000286251E9"/>
        <n v="7.000270364E9"/>
        <n v="7.000016192E9"/>
        <n v="7.000198128E9"/>
        <n v="7.00026836E9"/>
        <n v="7.000142556E9"/>
        <n v="7.000243397E9"/>
        <n v="7.000154546E9"/>
        <n v="7.000190544E9"/>
        <n v="2.01698584238E11"/>
        <n v="7.000001058E9"/>
        <n v="7.00012563E9"/>
        <n v="7.000114559E9"/>
        <n v="7.000128335E9"/>
        <n v="7.000131551E9"/>
        <n v="2.0169838862E11"/>
        <n v="7.000213119E9"/>
        <n v="2.023000958E11"/>
        <n v="7.000266904E9"/>
        <n v="7.000028992E9"/>
        <n v="7.000326329E9"/>
        <s v="201501061583@guruku.id"/>
        <n v="7.000177065E9"/>
        <n v="7.000132328E9"/>
        <n v="7.000283882E9"/>
        <n v="7.000138201E9"/>
        <s v="202100103775@guruku.id"/>
        <s v="AZ 5142766667230473"/>
        <n v="2.02300182908E11"/>
        <n v="7.000306847E9"/>
        <n v="7.000288683E9"/>
        <n v="7.000194154E9"/>
        <n v="7.000129096E9"/>
        <n v="7.000201472E9"/>
        <n v="7.000196113E9"/>
        <n v="7.000081678E9"/>
        <s v="201900549859@guruku.id"/>
        <n v="7.000003007E9"/>
        <n v="7.000227297E9"/>
        <n v="7.000166756E9"/>
        <n v="7.00025568E9"/>
        <s v="Universitas Muhammadiyah Surakarta"/>
        <n v="2.02100016013E11"/>
        <n v="7.000229496E9"/>
        <n v="7.00024622E9"/>
        <n v="7.000301278E9"/>
        <n v="7.000151681E9"/>
        <n v="7.00031931E9"/>
        <n v="2.02200237187E11"/>
        <n v="7.000316091E9"/>
        <n v="7.000286747E9"/>
        <n v="7.000153949E9"/>
        <s v="Tidak ada"/>
        <n v="4.0401017102001E13"/>
        <n v="2.02400153852E11"/>
        <n v="2.02400236945E11"/>
        <n v="7.00013764E9"/>
        <n v="7.000265349E9"/>
        <n v="2.02300247944E11"/>
        <n v="7.000309665E9"/>
        <n v="7.000279399E9"/>
        <s v="Universitas Negeri Malang"/>
        <n v="7.000267286E9"/>
        <n v="2.02300041053E11"/>
        <s v="Belum Memiliki"/>
        <n v="2.02100262388E11"/>
        <n v="7.000126178E9"/>
        <n v="7.000173526E9"/>
        <s v="1141772673130163"/>
        <n v="7.000092201E9"/>
        <n v="7.00015207E9"/>
        <s v="-"/>
        <n v="7.000128344E9"/>
        <s v="Belum memiliki PTK ID/SIMPKB ID"/>
        <n v="2.02200006751E11"/>
        <n v="2.0200064243E11"/>
        <n v="7.000170334E9"/>
        <n v="2.02400250251E11"/>
        <n v="7.000171916E9"/>
        <n v="2.02300137023E11"/>
        <n v="2.02200066349E11"/>
        <n v="7.000148794E9"/>
        <s v="7000171077@guruku.id"/>
        <n v="2.02400087943E11"/>
        <n v="7.000151721E9"/>
        <n v="2.02300055745E11"/>
        <n v="7.000168767E9"/>
        <s v="ppg.auliafadilah02@program.belajar.id"/>
        <s v="201502718746@guruku.id"/>
        <n v="7.000148395E9"/>
        <n v="2.02300013719E11"/>
        <n v="2.02300149989E11"/>
        <n v="7.000061039E9"/>
        <n v="7.000018499E9"/>
        <n v="7.000134922E9"/>
        <n v="7.000025059E9"/>
        <n v="2.01507943477E11"/>
        <s v="nungky.rantatriana@gmail.com"/>
        <n v="2.02400230819E11"/>
        <n v="7.000150481E9"/>
        <n v="2.02200146506E11"/>
        <n v="7.000163719E9"/>
        <n v="7.000012343E9"/>
        <n v="7.000195495E9"/>
        <n v="7.000144672E9"/>
        <n v="7.000031429E9"/>
        <n v="7.000105518E9"/>
        <n v="2.01800313277E11"/>
        <s v="opikrina94@gmail.com (2417563179) UAD"/>
        <n v="2.0190061126E11"/>
        <n v="7.000200665E9"/>
        <n v="7.000099711E9"/>
        <n v="7.000168191E9"/>
        <n v="2.01699750644E11"/>
        <n v="2.02300057531E11"/>
        <n v="7.000199602E9"/>
        <n v="7.000122238E9"/>
        <s v="202000853462@guruku.id"/>
        <n v="7.000076889E9"/>
        <n v="7.000146358E9"/>
        <s v="Reynelda Admar Bartha"/>
        <s v="fadholiahmad3552@gmail.com"/>
        <n v="7.000251901E9"/>
        <n v="2.02000887457E11"/>
        <s v="201901237898@guruku.id"/>
        <n v="2.02100315822E11"/>
        <n v="2.0210019081E11"/>
        <n v="7.000241658E9"/>
        <n v="2.02300279569E11"/>
        <n v="7.000011978E9"/>
        <n v="7.000005542E9"/>
        <n v="2.000711604E9"/>
        <s v="ermitaalawiyah@gmail.com"/>
        <n v="7.000320509E9"/>
        <s v="3320041810080005"/>
        <n v="7.000000802E9"/>
        <n v="7.000198025E9"/>
        <n v="7.000045054E9"/>
        <n v="7.000247971E9"/>
        <n v="7.000153971E9"/>
        <n v="7.000249518E9"/>
        <n v="7.000319996E9"/>
        <n v="7.000226649E9"/>
        <n v="7.000256959E9"/>
        <n v="2.4660694E7"/>
        <n v="7.000126588E9"/>
        <s v="SIMPKBID 201699810752 / NUPTK 7249771672130013"/>
        <n v="7.000108998E9"/>
        <n v="7.000337292E9"/>
        <n v="7.000167886E9"/>
        <n v="7.000193179E9"/>
        <m/>
      </sharedItems>
    </cacheField>
    <cacheField name="Nomor WA">
      <sharedItems containsBlank="1" containsMixedTypes="1" containsNumber="1" containsInteger="1">
        <s v="085713086642"/>
        <s v="082313256124"/>
        <s v="087836197102"/>
        <s v="089515819690"/>
        <s v="085399527002"/>
        <s v="082322016171"/>
        <s v="089608882627"/>
        <s v="089662119850"/>
        <s v="085342840408"/>
        <s v="081328698419"/>
        <s v="087719811922"/>
        <s v="08999882330"/>
        <n v="6.281357514433E12"/>
        <s v="085340567074"/>
        <s v="082323953038"/>
        <s v="085238383337"/>
        <s v="082355139889"/>
        <s v="085743571470"/>
        <s v="085740702984"/>
        <s v="082138175793"/>
        <s v="085712992243"/>
        <s v="082329681100"/>
        <s v="082324551642"/>
        <s v="0838-9183-0300"/>
        <s v="08813904359"/>
        <s v="085159559810"/>
        <s v="08996579665"/>
        <s v="0895422101144"/>
        <s v="085602502916"/>
        <s v="085395341807"/>
        <s v="085256386808"/>
        <s v="085395374324"/>
        <s v="081938900154"/>
        <s v="088809402034"/>
        <s v="081393894231"/>
        <s v="085840043140"/>
        <s v="085710424577"/>
        <s v="085725604967"/>
        <s v="085799588894"/>
        <s v="085817348167"/>
        <s v="088980051908"/>
        <s v="082286367473"/>
        <s v="085289003714"/>
        <s v="082220434981"/>
        <s v="085299366207"/>
        <s v="081393616229"/>
        <s v="085788337823"/>
        <s v="08976565808"/>
        <s v="081354992286"/>
        <s v="085729580804"/>
        <s v="087823687709"/>
        <s v="085156511988"/>
        <s v="083178920910"/>
        <s v="089604214025"/>
        <s v="088269026860"/>
        <s v="085198239824"/>
        <s v="089529796795"/>
        <s v="082113293786"/>
        <s v="089632991090"/>
        <s v="0895422032099"/>
        <s v="089664783413"/>
        <s v="085340348364"/>
        <s v="087775710810"/>
        <s v="085785333059"/>
        <s v="083838487111"/>
        <s v="082326731860"/>
        <s v="+6288221283922"/>
        <s v="085702647132"/>
        <s v="085647472150"/>
        <s v="081326793556"/>
        <s v="0895635413104"/>
        <s v="082333047987"/>
        <s v="087880657411"/>
        <s v="085343887057"/>
        <s v="085642225680"/>
        <s v="0895341077017"/>
        <s v="085648823789"/>
        <s v="082271337970"/>
        <s v="082291582572"/>
        <s v="082333952223"/>
        <s v="085216569995"/>
        <s v="081342973823"/>
        <s v="082135297868"/>
        <s v="082197933296"/>
        <s v="081330307316"/>
        <s v="085396857305"/>
        <s v="082135909910"/>
        <s v="082264140874"/>
        <s v="085242615796"/>
        <s v="085702115262"/>
        <s v="082323558624"/>
        <s v="082334453085"/>
        <s v="08135761188"/>
        <s v="082236786534"/>
        <s v="085875666255"/>
        <s v="08993882246"/>
        <s v="085154982120"/>
        <s v="085928110009"/>
        <s v="082314829012"/>
        <s v="081252164744"/>
        <s v="085954307048"/>
        <s v="081346229762"/>
        <s v="085741124616"/>
        <s v="082164694216"/>
        <s v="081394581595"/>
        <s v="085399807430"/>
        <s v="082192696090"/>
        <s v="085314164181"/>
        <s v="089514818386"/>
        <s v="081217709708"/>
        <s v="0895800035315"/>
        <s v="081548818552"/>
        <s v="082336965593"/>
        <s v="081370861174"/>
        <s v="085338093792"/>
        <s v="085803336883"/>
        <s v="085641941566"/>
        <s v="085786378412"/>
        <s v="082291417198"/>
        <s v="089651235056"/>
        <s v="087763041885"/>
        <s v="082221906886"/>
        <s v="082313120375"/>
        <s v="081395319346"/>
        <n v="8.5210525411E10"/>
        <s v="085785052191"/>
        <s v="081225927831"/>
        <s v="087883631248"/>
        <s v="082330534096"/>
        <s v="0895800010279"/>
        <s v="088225885341"/>
        <s v="085348490015"/>
        <s v="085142598969"/>
        <s v="087701239482"/>
        <s v="087855227678"/>
        <s v="085743218401"/>
        <s v="083143169280"/>
        <s v="0895334524192"/>
        <s v="0895630518511"/>
        <s v="082213822904"/>
        <s v="085944290514"/>
        <s v="0882008175204"/>
        <s v="081247023361"/>
        <s v="085711291583"/>
        <s v="085156243417"/>
        <s v="082273144150"/>
        <s v="085356190507"/>
        <s v="082219031814"/>
        <s v="085210494081"/>
        <s v="082293115940"/>
        <s v="08995241141"/>
        <s v="082257786101"/>
        <s v="081362286358"/>
        <s v="085601013562"/>
        <s v="08990872171"/>
        <s v="085701565762"/>
        <s v="089687924950"/>
        <s v="085786746890"/>
        <s v="082377155470"/>
        <s v="081330076170"/>
        <s v="085658784410"/>
        <s v="087898293493"/>
        <s v="089610501377"/>
        <s v="085733472739"/>
        <s v="087737317231"/>
        <s v="083162371393"/>
        <s v="082210660252"/>
        <s v="082127279439"/>
        <s v="083814983412"/>
        <s v="082239248295"/>
        <s v="085668083061"/>
        <s v="088215411711"/>
        <s v="082378459973"/>
        <s v="088221270774"/>
        <s v="085341982105"/>
        <s v="089689063702"/>
        <s v="082283876650"/>
        <s v="082213770205"/>
        <s v="085270650072"/>
        <s v="085741353335"/>
        <s v="087722577763"/>
        <s v="081214691510"/>
        <s v="085712135701"/>
        <s v="085394547098"/>
        <s v="082289932887"/>
        <s v="082277942032"/>
        <s v="085795340972"/>
        <s v="085641626270"/>
        <s v="081326371307"/>
        <s v="085692248442"/>
        <s v="082225385056"/>
        <s v="097878134167"/>
        <s v="0882019168035"/>
        <s v="089501944427"/>
        <s v="081910516934"/>
        <s v="08993552452"/>
        <s v="082145403397"/>
        <s v="085540312941"/>
        <s v="089627161085"/>
        <s v="082229822404"/>
        <s v="087883801612"/>
        <s v="087734403308"/>
        <s v="087830891937"/>
        <s v="082167852214"/>
        <s v="085216481820"/>
        <m/>
      </sharedItems>
    </cacheField>
    <cacheField name="Tanggal Lahir" numFmtId="14">
      <sharedItems containsDate="1" containsString="0" containsBlank="1">
        <d v="2000-09-22T00:00:00Z"/>
        <d v="1999-03-30T00:00:00Z"/>
        <d v="2002-06-07T00:00:00Z"/>
        <d v="1998-12-25T00:00:00Z"/>
        <d v="1995-02-14T00:00:00Z"/>
        <d v="1999-01-18T00:00:00Z"/>
        <d v="1997-11-13T00:00:00Z"/>
        <d v="1999-03-14T00:00:00Z"/>
        <d v="1994-09-04T00:00:00Z"/>
        <d v="1998-04-21T00:00:00Z"/>
        <d v="1998-01-30T00:00:00Z"/>
        <d v="2000-08-18T00:00:00Z"/>
        <d v="2000-04-28T00:00:00Z"/>
        <d v="2000-10-31T00:00:00Z"/>
        <d v="2001-11-30T00:00:00Z"/>
        <d v="1995-12-28T00:00:00Z"/>
        <d v="2001-05-20T00:00:00Z"/>
        <d v="1995-01-13T00:00:00Z"/>
        <d v="1999-04-12T00:00:00Z"/>
        <d v="1999-12-26T00:00:00Z"/>
        <d v="2000-02-28T00:00:00Z"/>
        <d v="2000-03-28T00:00:00Z"/>
        <d v="1999-03-18T00:00:00Z"/>
        <d v="1998-11-25T00:00:00Z"/>
        <d v="1997-11-05T00:00:00Z"/>
        <d v="1998-10-10T00:00:00Z"/>
        <d v="2002-10-09T00:00:00Z"/>
        <d v="2001-01-02T00:00:00Z"/>
        <d v="2001-07-27T00:00:00Z"/>
        <d v="1995-10-09T00:00:00Z"/>
        <d v="2001-11-19T00:00:00Z"/>
        <d v="2000-12-10T00:00:00Z"/>
        <d v="2000-01-13T00:00:00Z"/>
        <d v="2000-08-21T00:00:00Z"/>
        <d v="1998-07-11T00:00:00Z"/>
        <d v="1999-09-29T00:00:00Z"/>
        <d v="1995-09-22T00:00:00Z"/>
        <d v="1999-04-03T00:00:00Z"/>
        <d v="1995-06-23T00:00:00Z"/>
        <d v="2001-08-16T00:00:00Z"/>
        <d v="2000-06-22T00:00:00Z"/>
        <d v="2001-10-24T00:00:00Z"/>
        <d v="2001-10-12T00:00:00Z"/>
        <d v="1998-05-10T00:00:00Z"/>
        <d v="2000-08-09T00:00:00Z"/>
        <d v="2000-12-30T00:00:00Z"/>
        <d v="1998-01-31T00:00:00Z"/>
        <d v="1994-11-25T00:00:00Z"/>
        <d v="2000-07-18T00:00:00Z"/>
        <d v="1996-07-21T00:00:00Z"/>
        <d v="2001-03-28T00:00:00Z"/>
        <d v="1998-08-29T00:00:00Z"/>
        <d v="2000-09-30T00:00:00Z"/>
        <d v="2001-03-01T00:00:00Z"/>
        <d v="1998-01-01T00:00:00Z"/>
        <d v="2000-03-29T00:00:00Z"/>
        <d v="1998-09-07T00:00:00Z"/>
        <d v="2001-02-19T00:00:00Z"/>
        <d v="2000-01-15T00:00:00Z"/>
        <d v="1998-12-15T00:00:00Z"/>
        <d v="2000-06-08T00:00:00Z"/>
        <d v="2001-01-09T00:00:00Z"/>
        <d v="1992-01-25T00:00:00Z"/>
        <d v="2000-05-22T00:00:00Z"/>
        <d v="1999-12-31T00:00:00Z"/>
        <d v="1999-05-24T00:00:00Z"/>
        <d v="1997-12-31T00:00:00Z"/>
        <d v="1999-10-03T00:00:00Z"/>
        <d v="1989-03-03T00:00:00Z"/>
        <d v="2002-01-19T00:00:00Z"/>
        <d v="1995-02-10T00:00:00Z"/>
        <d v="2001-06-01T00:00:00Z"/>
        <d v="1998-04-01T00:00:00Z"/>
        <d v="2000-03-22T00:00:00Z"/>
        <d v="1983-04-03T00:00:00Z"/>
        <d v="1999-04-17T00:00:00Z"/>
        <d v="1999-09-28T00:00:00Z"/>
        <d v="2000-07-27T00:00:00Z"/>
        <d v="1992-05-12T00:00:00Z"/>
        <d v="1988-08-10T00:00:00Z"/>
        <d v="2002-04-24T00:00:00Z"/>
        <d v="2003-11-14T00:00:00Z"/>
        <d v="2001-07-12T00:00:00Z"/>
        <d v="2001-03-19T00:00:00Z"/>
        <d v="2001-06-07T00:00:00Z"/>
        <d v="2000-06-23T00:00:00Z"/>
        <d v="1998-12-31T00:00:00Z"/>
        <d v="1995-10-14T00:00:00Z"/>
        <d v="1998-07-24T00:00:00Z"/>
        <d v="2001-03-14T00:00:00Z"/>
        <d v="1994-05-26T00:00:00Z"/>
        <d v="2000-11-26T00:00:00Z"/>
        <d v="1999-10-08T00:00:00Z"/>
        <d v="1997-05-12T00:00:00Z"/>
        <d v="1998-08-16T00:00:00Z"/>
        <d v="2001-04-01T00:00:00Z"/>
        <d v="1996-08-26T00:00:00Z"/>
        <d v="2000-10-14T00:00:00Z"/>
        <d v="2001-10-07T00:00:00Z"/>
        <d v="2000-09-29T00:00:00Z"/>
        <d v="2000-07-19T00:00:00Z"/>
        <d v="2001-07-17T00:00:00Z"/>
        <d v="2001-10-16T00:00:00Z"/>
        <d v="1995-08-07T00:00:00Z"/>
        <d v="2002-10-23T00:00:00Z"/>
        <d v="2000-05-12T00:00:00Z"/>
        <d v="1989-02-05T00:00:00Z"/>
        <d v="1993-10-08T00:00:00Z"/>
        <d v="2003-01-08T00:00:00Z"/>
        <d v="1997-05-06T00:00:00Z"/>
        <d v="2000-06-26T00:00:00Z"/>
        <d v="1995-09-29T00:00:00Z"/>
        <d v="1996-04-13T00:00:00Z"/>
        <d v="2001-05-12T00:00:00Z"/>
        <d v="2000-10-07T00:00:00Z"/>
        <d v="1997-09-04T00:00:00Z"/>
        <d v="1999-10-22T00:00:00Z"/>
        <d v="1999-05-22T00:00:00Z"/>
        <d v="2000-11-10T00:00:00Z"/>
        <d v="1994-08-09T00:00:00Z"/>
        <d v="2000-03-02T00:00:00Z"/>
        <d v="1999-07-30T00:00:00Z"/>
        <d v="1996-11-20T00:00:00Z"/>
        <d v="1998-03-14T00:00:00Z"/>
        <d v="2001-05-03T00:00:00Z"/>
        <d v="1990-04-24T00:00:00Z"/>
        <d v="1982-07-22T00:00:00Z"/>
        <d v="2001-08-08T00:00:00Z"/>
        <d v="1998-06-09T00:00:00Z"/>
        <d v="1993-09-10T00:00:00Z"/>
        <d v="2001-12-06T00:00:00Z"/>
        <d v="2000-01-26T00:00:00Z"/>
        <d v="1996-08-07T00:00:00Z"/>
        <d v="1999-08-14T00:00:00Z"/>
        <d v="2000-07-22T00:00:00Z"/>
        <d v="1997-12-19T00:00:00Z"/>
        <d v="2000-10-26T00:00:00Z"/>
        <d v="2001-01-03T00:00:00Z"/>
        <d v="1999-10-15T00:00:00Z"/>
        <d v="2000-12-12T00:00:00Z"/>
        <d v="1979-01-20T00:00:00Z"/>
        <d v="2000-08-01T00:00:00Z"/>
        <d v="1997-12-13T00:00:00Z"/>
        <d v="1999-05-20T00:00:00Z"/>
        <d v="1994-09-23T00:00:00Z"/>
        <d v="1998-12-18T00:00:00Z"/>
        <d v="2000-12-25T00:00:00Z"/>
        <d v="1998-07-20T00:00:00Z"/>
        <d v="1982-08-17T00:00:00Z"/>
        <d v="1998-12-03T00:00:00Z"/>
        <d v="1996-01-29T00:00:00Z"/>
        <d v="1999-03-20T00:00:00Z"/>
        <d v="1994-07-29T00:00:00Z"/>
        <d v="2000-12-26T00:00:00Z"/>
        <d v="1998-12-11T00:00:00Z"/>
        <d v="1999-11-01T00:00:00Z"/>
        <d v="1994-08-16T00:00:00Z"/>
        <d v="1994-10-10T00:00:00Z"/>
        <d v="1992-05-30T00:00:00Z"/>
        <d v="2001-10-18T00:00:00Z"/>
        <d v="1997-06-12T00:00:00Z"/>
        <d v="1999-11-29T00:00:00Z"/>
        <d v="1995-12-07T00:00:00Z"/>
        <d v="1999-02-13T00:00:00Z"/>
        <d v="2001-03-10T00:00:00Z"/>
        <d v="1998-05-17T00:00:00Z"/>
        <d v="1996-07-30T00:00:00Z"/>
        <d v="2000-04-02T00:00:00Z"/>
        <d v="2001-06-15T00:00:00Z"/>
        <d v="2002-08-03T00:00:00Z"/>
        <d v="1995-08-30T00:00:00Z"/>
        <d v="1997-08-05T00:00:00Z"/>
        <d v="1995-06-08T00:00:00Z"/>
        <d v="1993-11-13T00:00:00Z"/>
        <d v="1994-10-05T00:00:00Z"/>
        <d v="2002-01-09T00:00:00Z"/>
        <d v="1994-04-13T00:00:00Z"/>
        <d v="1998-06-01T00:00:00Z"/>
        <d v="2000-10-28T00:00:00Z"/>
        <d v="2000-07-04T00:00:00Z"/>
        <d v="2000-04-04T00:00:00Z"/>
        <d v="1999-01-17T00:00:00Z"/>
        <d v="1998-11-11T00:00:00Z"/>
        <d v="1997-07-15T00:00:00Z"/>
        <d v="1996-01-06T00:00:00Z"/>
        <d v="1998-03-17T00:00:00Z"/>
        <d v="2002-06-23T00:00:00Z"/>
        <d v="2000-11-15T00:00:00Z"/>
        <d v="1998-03-25T00:00:00Z"/>
        <d v="2000-06-15T00:00:00Z"/>
        <d v="1999-06-01T00:00:00Z"/>
        <d v="2000-08-23T00:00:00Z"/>
        <d v="2002-05-10T00:00:00Z"/>
        <d v="2000-09-21T00:00:00Z"/>
        <d v="1993-09-17T00:00:00Z"/>
        <d v="2000-07-30T00:00:00Z"/>
        <d v="1999-10-10T00:00:00Z"/>
        <d v="2001-01-14T00:00:00Z"/>
        <d v="1998-01-06T00:00:00Z"/>
        <m/>
      </sharedItems>
    </cacheField>
    <cacheField name="Program Studi S-1/D-IV" numFmtId="0">
      <sharedItems containsBlank="1">
        <s v="Pendidikan Jasmani"/>
        <s v="Pendidikan Biologi"/>
        <s v="Pendidikan Bahasa dan Sastra Indonesia"/>
        <s v="Pendidikan Seni Tari"/>
        <s v="Pendidikan Jasmani, Kesehatan dan Rekreasi"/>
        <s v="S1 PENDIDIKAN IPA"/>
        <s v="S1 Pendidikan Biologi"/>
        <s v="S1 Sistem Informasi "/>
        <s v="Pendidikan Matematika"/>
        <s v="Pendidikan Sejarah"/>
        <s v="Bimbingan dan konseling"/>
        <s v="S-1 Pendidikan Sejarah"/>
        <s v="Pendidikan Akuntansi"/>
        <s v="S1 Pendidikan Bahasa dan Sastra Indonesia"/>
        <s v="Pendidikan Bahasa dan Sastra Indonesia "/>
        <s v="Akuntansi"/>
        <s v="S-1"/>
        <s v="Pendidikan Fisika "/>
        <s v="Pendidikan Bahasa Jawa "/>
        <s v="S1 Tadris Bahasa Inggris"/>
        <s v="Pendidikan Biologi "/>
        <s v="Pendidikan Informatika"/>
        <s v="Tadris matematika "/>
        <s v="S-1 Pendidikan Pancasila dan Kewarganegaraan (PPKn)"/>
        <s v="Pendidikan Ekonomi"/>
        <s v="Pendidikan Teknologi Informasi"/>
        <s v="Pendidikan Geografi"/>
        <s v="S1 Pendidikan Seni Tari"/>
        <s v="Matematika"/>
        <s v="Pendidikan Kimia"/>
        <s v="Teknik Informatika"/>
        <s v="Pendidikan Bahasa Indonesia"/>
        <s v="Pendidikan Ekonomi (Akuntansi) "/>
        <s v="Tadris Matematika"/>
        <s v="Pendidikan Pancasila dan Kewarganegaraan"/>
        <s v="Pendidikan kepelatihan olahraga "/>
        <s v="S-1 Pendidikan Ilmu Pengetahuan Alam"/>
        <s v="Pendidikan Pancasila dan Kewarganegaraan "/>
        <s v="Sejarah Peradaban Islam "/>
        <s v="S-1 Pendidikan Biologi"/>
        <s v="Pendidikan Jasmani Dan Kesehatan "/>
        <s v="Bimbingan dan Konseling Islam"/>
        <s v="Pendidikan Teknik Informatika dan Komputer"/>
        <s v="S1-Tadris IPA &amp; S2-Pendidikan IPA"/>
        <s v="PENDIDIKAN OLAHRAGA"/>
        <s v="S1-Pendidikan Sejarah"/>
        <s v="Pendidikan Matematika "/>
        <s v="S1- ILMU KEOLAHRAGAAN"/>
        <s v="S-1 Pendidikan IPA"/>
        <s v="Pendidikan IPA"/>
        <s v="PPKn"/>
        <s v="Pendidikan jasmani kesahatan dan Rekreasi"/>
        <s v="S1 Pendidikan Sains"/>
        <s v="PENDIDIKAN JASMANI KESEHATAN DAN REKREASI "/>
        <s v="S1 PGSD"/>
        <s v="Pendidikan Ilmu Pengetahuan Alam"/>
        <s v="Pendidikan Fisika"/>
        <s v="PENDIDIKAN BAHASA INGGRIS"/>
        <s v="BIMBINGAN KONSELING ISLAM"/>
        <s v="S1 Bimbingan dan Konseling"/>
        <s v="S-1 Pendidikan Jasmani Sekolah Dasar"/>
        <s v="Tadris Biologi "/>
        <s v="Pendidikan IPA "/>
        <s v="Pendidikan Seni Rupa"/>
        <s v="Pendidikan bahasa Inggris "/>
        <s v="Pendidikan teknologi informasi "/>
        <s v="Bahasa Inggris"/>
        <s v="S-1 PGSD"/>
        <s v="Sastra Inggris"/>
        <s v="Manajemen pendidikan islam"/>
        <s v="Pendidikan Seni Drama, Tari, dan Musik Konsentrasi Pendidikan Seni Musik"/>
        <s v="Pendidikan IPS"/>
        <s v="S1 Program Studi Pendidikan Keagamaan Katolik"/>
        <s v="S1 Pendidikan Fisika"/>
        <s v="S1. Pendidikan Biologi"/>
        <s v="Pendidikan Guru Sekolah Dasar"/>
        <s v="Pendidikan Agama Islam"/>
        <s v="S1"/>
        <s v="S1 Tadris IPS"/>
        <s v="Pendidikan Ilmu Pengetahuan Alam (IPA)"/>
        <s v="S1 Pendidikan Bahasa Inggris "/>
        <s v="Manajemen "/>
        <s v="Tadris Kimia"/>
        <s v="TADRIS FISIKA"/>
        <s v="S1 Pendidikan Kimia"/>
        <s v="Tadris IPA"/>
        <s v="EKONOMI"/>
        <s v="Tadris Ilmu Pengetahuan Alam"/>
        <s v="PENDIDIKAN BAHASA ARAB"/>
        <s v="S1 PENDIDIKAN AGAMA ISLAM"/>
        <s v="Pendidikan Guru Sekolah Dasar (PGSD)"/>
        <s v="Pendidikan Agama Islam "/>
        <s v="Pg-paud "/>
        <s v="S1-Pendidikan IPA "/>
        <s v="Pendidikan Sosiologi "/>
        <s v="GEOGRAFI"/>
        <s v="Fisika"/>
        <s v="Kimia"/>
        <s v="Sarjana Teknik Mesin"/>
        <s v="S2 Pendidikan Agama Islam "/>
        <s v="S1- Pendidikan Fisika "/>
        <s v="S-1 Pendidikan Kimia"/>
        <s v="S-1 Pendidikan Ekonomi"/>
        <s v="Pendidikan Geografi "/>
        <s v="Ekonomi Islam"/>
        <s v="S-1 Kimia"/>
        <s v="S1 - Ilmu Hadis"/>
        <s v="S-1 Tadris Matematika"/>
        <s v="D4 - Teknologi Rekayasa Kimia Industri"/>
        <s v="Biologi"/>
        <s v="AKUNTANSI PERPAJAKAN"/>
        <s v="Sarjana Pendidikan Agama Islam"/>
        <s v="Teknologi Hasil Perikanan"/>
        <s v="S1 - Pendidikan Biologi"/>
        <s v="S-1 Biologi"/>
        <s v="S1- Pendidikan Ekonomi"/>
        <s v="PENDIDIKAN GURU MI"/>
        <s v="Pendidikan Ilmu Pengetahuan Alam "/>
        <s v="Agribisnis"/>
        <s v="S1 - Pendidikan Guru Sekolah Dasar"/>
        <s v="Pendidikan Teknik Elektro"/>
        <s v="S1 PGSD "/>
        <m/>
      </sharedItems>
    </cacheField>
    <cacheField name="Asal Universitas S-1/D-IV" numFmtId="0">
      <sharedItems containsBlank="1">
        <s v="UNIVERSITAS TUNAS PEMBANGUNAN SURAKARTA "/>
        <s v="Universitas Negeri Semarang"/>
        <s v="Universitas Muhammadiyah Surakarta"/>
        <s v="Universitas Halu Oleo"/>
        <s v="Universitas Muhammadiyah Purwokerto"/>
        <s v="Universitas Telkom"/>
        <s v="Universitas Dayanu Ikhsanuddin"/>
        <s v="Universitas Sebelas Maret "/>
        <s v="UNS"/>
        <s v="Universitas Sebelas Maret"/>
        <s v="Universitas Negeri Makassar"/>
        <s v="Universitas Tidar"/>
        <s v="Universitas Muhammadiyah Magelang"/>
        <s v="Universitas Negeri Yogyakarta"/>
        <s v="Universitas Jember"/>
        <s v="Universitas Islam Negeri Salatiga"/>
        <s v="UMS"/>
        <s v="STKIP NU INDRAMAYU"/>
        <s v="Universitas Ivet Semarang"/>
        <s v="Universitas Islam Negeri Alauddin Makassar"/>
        <s v="Institut Agama Islam Negeri (IAIN) Kendari"/>
        <s v="Universitas Slamet Riyadi Surakarta"/>
        <s v="Universitas Teknologi Yogyakarta"/>
        <s v="Universitas Islam Indonesia"/>
        <s v="Universitas Dinamika Bangsa"/>
        <s v="Universitas Sembilanbelas November Kolaka"/>
        <s v="Institut Agama Islam Negeri Kendari"/>
        <s v="Universitas Terbuka"/>
        <s v="Universitas Negeri Malang"/>
        <s v="Universitas Islam Negeri Sunan Ampel Surabaya "/>
        <s v="Universitas Islam Negeri Walisongo"/>
        <s v="Universitas Muhammadiyah Metro"/>
        <s v="Universitas Sriwijaya "/>
        <s v="Universitas Islam Negeri Sunan Ampel Surabaya"/>
        <s v="UIN Salatiga &amp; Universitas Negeri Semarang"/>
        <s v="Universitas Muhammadiyah Surakarta "/>
        <s v="Universitas Sebelas Maret (UNS)"/>
        <s v="universitas Riau"/>
        <s v="INSTITUT AGAMA ISLAM NEGERI TULUNGAGUNG"/>
        <s v="Universitas Negeri Surabaya"/>
        <s v="Universitas Negeri Makassar "/>
        <s v="Universitas PGRI Madiun"/>
        <s v="IAIN AMBON"/>
        <s v="STKIP PGRI Sumenep"/>
        <s v="S-1 Universitas Negeri Yogyakarta"/>
        <s v="Universitas Halu Oleo "/>
        <s v="Institut Agama Islam Negeri Kendari "/>
        <s v="Universitas Tidar "/>
        <s v="Universitas Muhammadiyah Kendari"/>
        <s v="IAIN Parepare "/>
        <s v="Universitas Kristen Satya Wacana"/>
        <s v="Universitas Muhammadiyah Gorontalo "/>
        <s v="Universitas islam negeri datokarama palu"/>
        <s v="Sekolah Tinggi Filsafat Driyarkara"/>
        <s v="Sekolah Tinggi Agama Katolik Negeri Pontianak"/>
        <s v="Universitas Muhammadiyah Sidoarjo"/>
        <s v="Universitas Sains Alquran"/>
        <s v="Universitas Negeri Medan"/>
        <s v="universitas islam negeri Mataram"/>
        <s v="Universitas Pancasakti Tegal"/>
        <s v="Universitas Islam Negeri Sunan Kalijaga"/>
        <s v="UIN Sunan Kudus "/>
        <s v="Universitas Terbuka "/>
        <s v="Universitas Islam Sultan Agung Semarang"/>
        <s v="UIN Mataram"/>
        <s v="IAIN Purwokerto"/>
        <s v="Universitas PGRI Semarang"/>
        <s v="UIN Sunan Gunung Djati Bandung"/>
        <s v="Universitas Negeri Semarang "/>
        <s v="UNIVERSITAS ISLAM NEGERI SAYYID ALI RAHMATULLAH TULUNGAGUNG"/>
        <s v="Universitas Muhammadiyah Semarang"/>
        <s v="UIN Salatiga"/>
        <s v="STAI Al-Barokah Sukabumi "/>
        <s v="UNIVERSITAS PANCA MARGA PROBOLINGGO"/>
        <s v="Institut Agama Islam Negeri Kudus"/>
        <s v="UNIVERSITAS DARUSSALAM GONTOR"/>
        <s v="SEKOLAH TINGGI AGAMA ISLAM (STAI) KUALA KAPUAS"/>
        <s v="Universitas Pendidikan Indonesia "/>
        <s v="UIN SUNAN AMPEL SURABAYA "/>
        <s v="Universitas Mataram "/>
        <s v="UNIVERSITAS ISLAM DARUL 'ULUM LAMONGAN"/>
        <s v="Universitas Mataram"/>
        <s v="Universitas Muhammadiyah Jakarta "/>
        <s v="Universitas Negeri Padang "/>
        <s v="Universitas Muhammadiyah Makassar"/>
        <s v="Universitas Pattimura"/>
        <s v="UIN SUMATERA UTARA"/>
        <s v="Universitas Islam Negeri Sultan Syarif Kasim Riau"/>
        <s v="universitas siliwangi"/>
        <s v="Universitas Islam Riau"/>
        <s v="Universitas Tadulako"/>
        <s v="UNiversitas Mpu Tantular jakarta"/>
        <s v="UIN Sunan Kalijaga Yogyakarta"/>
        <s v="Universitas Muhammadiyah Purworejo"/>
        <s v="Universitas Jambi"/>
        <s v="STKIP PGRI BANDAR LAMPUNG"/>
        <s v="STAI Al-Azhary Cianjur"/>
        <s v="Universitas Islam Lamongan"/>
        <s v="UIN Walisongo Semarang"/>
        <s v="STAI Sabili Bandung"/>
        <s v="UIN Syarif Hidayatullah Jakarta"/>
        <s v="Universitas Syiah Kuala "/>
        <s v="UIN Imam Bonjol Padang"/>
        <s v="UNIVERSITAS BENGKULU"/>
        <s v="UIN Sunan Kudus"/>
        <s v="Universitas Kristen Indonesja Toraja"/>
        <s v="Universitas Islam Nahdlatul Ulama Jepara"/>
        <s v="Universitas Diponegoro"/>
        <s v="Universitas Syiah Kuala"/>
        <s v="POLITEKNIK UNGGUL LP3M"/>
        <s v="IAIN Pekalongan"/>
        <s v="Universitas Sriwijaya"/>
        <s v="UNISNU JEPARA"/>
        <s v="Universitas Cokroaminoto Palopo"/>
        <s v="Universitas Bengkulu "/>
        <s v="Universitas Samudra"/>
        <s v="Universitas Sultan Agung Semarang"/>
        <s v="Universitas Islam Negeri Sunan Gunung Djati Bandung"/>
        <s v="Universitas Trunojoyo Madura "/>
        <s v="Universitas Islam 45 Bekasi"/>
        <m/>
      </sharedItems>
    </cacheField>
    <cacheField name="Bidang Studi PPG (sesuai yg tertulis di Serdik)" numFmtId="0">
      <sharedItems containsBlank="1">
        <s v="Pendidikan Jasmani, Olahraga, dan Kesehatan (PJOK)"/>
        <s v="Biologi"/>
        <s v="Bahasa Indonesia"/>
        <s v="Seni Budaya"/>
        <s v="Ilmu Pengetahuan Alam (IPA)"/>
        <s v="Informatika"/>
        <s v="Matematika"/>
        <s v="Sejarah"/>
        <s v="Bimbingan dan Konseling"/>
        <s v="Akuntansi dan Keuangan"/>
        <s v="Pendidikan Guru Sekolah Dasar (PGSD)"/>
        <s v="Bahasa Jawa"/>
        <s v="Bahasa Inggris"/>
        <s v="Pendidikan Pancasila dan Kewarganegaraan (PKn)"/>
        <s v="Ekonomi"/>
        <s v="Geografi"/>
        <s v="Fisika"/>
        <s v="Kimia"/>
        <s v="Lainnya"/>
        <s v="Agama Islam"/>
        <s v="Pendidikan Guru PAUD (PG-PAUD)"/>
        <s v="Kimia Analisis"/>
        <m/>
      </sharedItems>
    </cacheField>
    <cacheField name="Angkatan PPG" numFmtId="0">
      <sharedItems containsBlank="1">
        <s v="PPG Calon Guru Gelombang 2 Tahun 2024"/>
        <s v="PPG Prajabatan Gelombang 2 Tahun 2022"/>
        <s v="PPG Prajabatan Gelombang 1 Tahun 2024"/>
        <s v="PPG Prajabatan Gelombang 1 Tahun 2023"/>
        <s v="PPG Prajabatan Gelombang 2 Tahun 2023"/>
        <s v="PPG Prajabatan Gelombang 1 Tahun 2022"/>
        <s v="Lainnya"/>
        <m/>
      </sharedItems>
    </cacheField>
    <cacheField name="Tahun Lulus PPG&#10;(sesuai dengan tahun penerbitan Sertifikat Pendidik)">
      <sharedItems containsBlank="1" containsMixedTypes="1" containsNumber="1" containsInteger="1">
        <n v="2025.0"/>
        <n v="2023.0"/>
        <n v="2024.0"/>
        <n v="2026.0"/>
        <s v="Lainnya"/>
        <m/>
      </sharedItems>
    </cacheField>
    <cacheField name="IPK saat S1">
      <sharedItems containsBlank="1" containsMixedTypes="1" containsNumber="1">
        <s v="3.57"/>
        <s v="3.49"/>
        <s v="3.79"/>
        <s v="3.28"/>
        <s v="3.35"/>
        <s v="3.45"/>
        <s v="3.36"/>
        <s v="3.05"/>
        <n v="3.57"/>
        <s v="3.72"/>
        <s v="3.66"/>
        <n v="3.65"/>
        <s v="3.69"/>
        <s v="3.63"/>
        <n v="3.67"/>
        <s v="3.38"/>
        <s v="3.42"/>
        <s v="3.82"/>
        <s v="3.55"/>
        <s v="3.71"/>
        <s v="3.62"/>
        <s v="3.74"/>
        <s v="3.77"/>
        <n v="3.71"/>
        <s v="3.8"/>
        <s v="3.59"/>
        <s v="3.58"/>
        <s v="3.46"/>
        <s v="3.93"/>
        <s v="3.92"/>
        <n v="3.45"/>
        <s v="3.11"/>
        <s v="3.70"/>
        <s v="3.73"/>
        <n v="3.74"/>
        <n v="3.77"/>
        <s v="3.67"/>
        <s v="3.56"/>
        <n v="3.58"/>
        <s v="3.40"/>
        <n v="3.8"/>
        <s v="3.87"/>
        <n v="3.78"/>
        <n v="3.6"/>
        <s v="3.43"/>
        <s v="IPK S1 3.89 &amp; IPK S2 3.97"/>
        <s v="3.30"/>
        <s v="3.60"/>
        <s v="3.41"/>
        <s v="2.65"/>
        <s v="3.34"/>
        <s v="3.64"/>
        <n v="3.76"/>
        <s v="3.44"/>
        <s v="3.53"/>
        <n v="2.75"/>
        <s v="3.16"/>
        <s v="3.17"/>
        <s v="3.78"/>
        <s v="3.85"/>
        <s v="3.75"/>
        <n v="3.88"/>
        <s v="3.54"/>
        <s v="3.10"/>
        <s v="3.47"/>
        <s v="3.37"/>
        <n v="3.33"/>
        <s v="3.68"/>
        <n v="3.42"/>
        <s v="3.76"/>
        <s v="2.96"/>
        <s v="3.88"/>
        <n v="3.12"/>
        <s v="3.52"/>
        <n v="3.75"/>
        <s v="3.89"/>
        <s v="3.4"/>
        <s v="3.19"/>
        <n v="2.89"/>
        <s v="3.90"/>
        <s v="3.39"/>
        <n v="2.95"/>
        <s v="3.04"/>
        <s v="2.84"/>
        <n v="3.28"/>
        <n v="3.63"/>
        <s v="3.84"/>
        <s v="3.31"/>
        <s v="3.20"/>
        <s v="3.23"/>
        <n v="3.86"/>
        <n v="3.13"/>
        <s v="3.91"/>
        <s v="4.00"/>
        <s v="3.51"/>
        <n v="3.62"/>
        <s v="3.65"/>
        <m/>
      </sharedItems>
    </cacheField>
    <cacheField name="IPK saat PPG">
      <sharedItems containsBlank="1" containsMixedTypes="1" containsNumber="1">
        <s v="3.88"/>
        <s v="3.94"/>
        <s v="3.86"/>
        <s v="4.00"/>
        <s v="3.98"/>
        <s v="4.0"/>
        <s v="3.97"/>
        <n v="3.68"/>
        <s v="3.84"/>
        <s v="3.95"/>
        <n v="3.73"/>
        <s v="3.96"/>
        <s v="-"/>
        <n v="4.0"/>
        <s v="3.91"/>
        <s v="3.85"/>
        <n v="3.94"/>
        <s v="3.87"/>
        <s v="3.90"/>
        <s v="3.93"/>
        <n v="3.97"/>
        <s v="3.83"/>
        <s v="3.50"/>
        <n v="3.85"/>
        <n v="3.8"/>
        <n v="3.93"/>
        <s v="3.82"/>
        <n v="90.13"/>
        <n v="3.91"/>
        <n v="3.0"/>
        <s v=" 86.66"/>
        <s v="3.25"/>
        <s v="3.89"/>
        <s v="Tidak ada Transkrip PPG, Hanya Sertifikat Pendidik "/>
        <s v="3.80"/>
        <s v="3.99"/>
        <s v="3.31"/>
        <n v="3.96"/>
        <s v="Tidak ada"/>
        <n v="3.25"/>
        <s v="Belum pernah PPG"/>
        <n v="3.65"/>
        <s v="3.7"/>
        <s v="LPTK tempat saya PPG (UPI) Tidak mengeluarkan transkrip nilai."/>
        <s v="Maaf tidak ada"/>
        <s v="3.70"/>
        <s v="3.39"/>
        <n v="3.22"/>
        <s v="3, 74 "/>
        <n v="3.15"/>
        <n v="129.0"/>
        <s v="3.00"/>
        <s v="Tidak ada transkrip nilai dari LPTK"/>
        <s v="3.35"/>
        <n v="3.7"/>
        <n v="0.0"/>
        <s v="."/>
        <s v="3.92"/>
        <s v="3.72"/>
        <s v="3.65"/>
        <n v="3.89"/>
        <n v="3.69"/>
        <s v="_"/>
        <n v="3.5"/>
        <s v="Tidak ada transkirp nilai"/>
        <s v="3.75"/>
        <n v="3.78"/>
        <m/>
      </sharedItems>
    </cacheField>
    <cacheField name="Domisili Anda saat ini? (Contoh : Kota Surakarta, Jawa Tengah)" numFmtId="0">
      <sharedItems containsBlank="1">
        <s v="Sukoharjo, Jawa Tengah"/>
        <s v="Kabupaten Boyolali, Jawa Tengah"/>
        <s v="Sragen, Jawa Tengah"/>
        <s v="Banyumas, Jawa Tengah"/>
        <s v="Kota kendari, Sulawesi Tenggara"/>
        <s v="SURAKARTA"/>
        <s v="Kedungrandu RT 1 RW 3, Kecamatan Patikraja, Kabupaten Banyumas"/>
        <s v="Klaten, Jawa Tengah"/>
        <s v="Kota Baubau, Sulawesi Tenggara"/>
        <s v="Surakarta, Jawa Tengah "/>
        <s v="Wonogiri, Jawa Tengah"/>
        <s v="Kota Surakarta, Jawa Tengah"/>
        <s v="Kabupaten Karanganyar, Jawa Tengah"/>
        <s v="Kabupaten Maros"/>
        <s v="Boyolali, Jawa Tengah"/>
        <s v="Kabupaten Magelang"/>
        <s v="Desa Krenceng, Rt 02 Rw 01 Kec.Kejobong, Kab.Purbingga, Jawa Tengah"/>
        <s v="Kabupaten Kebumen, Jawa Tengah"/>
        <s v="Kabupaten Pati"/>
        <s v="Karanganyar, Jawa Tengah"/>
        <s v="Kabupaten Bondowoso, Jawa Timur"/>
        <s v="Kota Salatiga, Jawa Tengah"/>
        <s v="Boyolali, Jawa Tengah "/>
        <s v="Kabupaten Jepara, Jawa Tengah"/>
        <s v="Jepara, Jawa Tengah"/>
        <s v="Konawe Utara, Sulawesi Tenggara"/>
        <s v="Kabupaten Muna, Sulawesi Tenggara "/>
        <s v="Kabupaten Muna, Sulawesi Tenggara"/>
        <s v="Surakarta, Jawa Tengah"/>
        <s v="Lampung selatan, Lampung"/>
        <s v="Purworejo, Jawa Tengah"/>
        <s v="Kecamatan Susukan, Kabupaten Semarang, Jawa Tengah"/>
        <s v="Kabupaten Purworejo, Jawa Tengah"/>
        <s v="Banyudono, Boyolali, Jawa Tengah"/>
        <s v="Kabupaten Musi Banyuasin, Sumatera Selatan"/>
        <s v="Kec. Mawasangka Tengah, Kabupaten Buton Tengah, Prov. Sulawesi Tenggara."/>
        <s v="Kebumen, Jawa Tengah"/>
        <s v="Kota Rembang, Jawa Tengah"/>
        <s v="kota bangko kabupaten merangin provinsi jambi"/>
        <s v="Kab.grobogan"/>
        <s v="Kab. Ngawi, Jawa Timur"/>
        <s v="Kabupaten Magelang "/>
        <s v="Kediri, Jawa Timur "/>
        <s v="Lampung Timur, Lampung"/>
        <s v="Kab Sragen, Jawa Tengah "/>
        <s v="Sidoarjo"/>
        <s v="Kota Semarang, Jawa Tengah"/>
        <s v="Kota Surakarta"/>
        <s v="Kendari, Sulawesi Tenggara"/>
        <s v="Demak, Jawa Tengah"/>
        <s v="Kabupaten Grobogan, Jawa Tengah "/>
        <s v="KAB. PATI"/>
        <s v="Kabupaten Blora, Jawa Tengah"/>
        <s v="Kabupaten Jepara, Jawa Tengah "/>
        <s v="KABUPATEN KEDIRI, JAWA TIMUR"/>
        <s v="Kabupaten Kediri"/>
        <s v="Kabupaten Magelang, Jawa Tengah"/>
        <s v="Kabupaten Buton, Sulawesi Tenggara"/>
        <s v="Sukoharjo Jawa Tengah"/>
        <s v="Kabupaten Sleman, Daerah Istimewa Yogyakarta"/>
        <s v="Madiun, Jawa Timur"/>
        <s v="Desa Labone, Kec. Lasalepa, Kab. Muna, Sulawesi Tenggara"/>
        <s v="Kota Pekalongan, Jawa Tengah"/>
        <s v="RAHA, SULAWESI TENGGARA"/>
        <s v="Kota Baubau "/>
        <s v="KOTA AMBON"/>
        <s v="Kabupaten Sumenep, Jawa Timur"/>
        <s v="Kabupaten Bombana, Sulawesi Tenggara "/>
        <s v="Kabupaten Wonogiri, Jawa Tengah"/>
        <s v="Buton Tengah, Sulawesi Tenggara "/>
        <s v="Kabupaten Blora, Jawa Tengah "/>
        <s v="Kabupaten Sidoarjo, Jawa Timur"/>
        <s v="Kabupaten Bombana, Sulawesi Tenggara"/>
        <s v="Kudus, Jawa Tengah"/>
        <s v="OKU Timur, Sumatera Selatan "/>
        <s v="Kota palu, Sulawesi Tengah "/>
        <s v="Kota Kendari "/>
        <s v="Kabupaten Tulang Bawang, Lampung"/>
        <s v="Kota Blora, Jawa Tengah "/>
        <s v="Kota Gorontalo, Provinsi Gorontalo"/>
        <s v="Kota palu, sulawesi tengah"/>
        <s v="Kabupaten Pekalongan, Jawa Tengah"/>
        <s v="Kabupaten Sragen, Jawa Tengah "/>
        <s v="Banjarnegara, Jawa Tengah"/>
        <s v="Desa Kulidawa, Kabupaten Muna"/>
        <s v="Kecamatan Tongkuno Selatan, Kabupaten Muna"/>
        <s v="Monosari Donorojo Tegalrejo Magelang Jawa Tengah"/>
        <s v="Desa Kabawo, Kabupaten Muna, Sulawesi Tenggara"/>
        <s v="Malang, Jawa Timur"/>
        <s v="Sidoarjo, Jawa Timur"/>
        <s v="Kota Kudus, Jawa Tengah"/>
        <s v="Kab. Tulungagung, Jawa Timur"/>
        <s v="Medan"/>
        <s v="Kabupaten Tegal, Jawa Tengah"/>
        <s v="Kendari, Sulawesi Tenggara "/>
        <s v="Samarinda, Kalimantan Timur"/>
        <s v="Sumanding RT 13 RW 4 Kembang Jepara "/>
        <s v="Sumatera Selatan "/>
        <s v="Kota jepara, Jawa tengah"/>
        <s v="Lombok Timur, NUSA TENGGARA BARAT"/>
        <s v="Purwokerto Banyumas, Jawa Tengah"/>
        <s v="Brebes, Jawa Tengah "/>
        <s v="Kabupaten Garut, Jawa Barat"/>
        <s v="Kudus"/>
        <s v="KABUPATEN KEDIRI JAWA TIMUR"/>
        <s v="Semarang, Jawa Tengah"/>
        <s v="Jakarta Timur, DKI Jakarta "/>
        <s v="KOTA PROBOLINGGO, JAWA TIMUR"/>
        <s v="Kabupaten Kudus, Jawa Tengah"/>
        <s v="Kab. Mojokerto"/>
        <s v="Kapuas, Kalimantan Tengah"/>
        <s v="Kota Lubuklinggau, Sumatera Selatan "/>
        <s v="kota Surabaya "/>
        <s v="Desa Kawo, Lombok Tengah, NTB "/>
        <s v="GRESIK, JAWA TIMUR"/>
        <s v="Kota Lombok Timur, Nusa Tenggara Barat"/>
        <s v="Tangerang Selatan, Banten "/>
        <s v="Kota Muara Bulian, Jambi"/>
        <s v="Desa Toli-Toli, Kabupaten Bombana, provinsi Sulawesi Tenggara "/>
        <s v="Grobogan, Jawa Tengah"/>
        <s v="Kota Saparua, Maluku Tengah, Maluku"/>
        <s v="Kabupaten Banyuwangi, Jawa Timur"/>
        <s v="KABUPATEN MANDAILING NATAL, SUMATERA UTARA"/>
        <s v="Kota Pekanbaru, Riau"/>
        <s v="Kota tasikmalaya, Jawa Barat"/>
        <s v="Kota Bandung, Jawa Barat"/>
        <s v="Kabupaten Poso, Sulawesi Tengah"/>
        <s v="KOta Luwu Timur, Sulawesi Selatan"/>
        <s v="Kabupaten Nganjuk, Jawa Timur"/>
        <s v="Yogyarkarta "/>
        <s v="Kota Semarang, Jawa Tengah "/>
        <s v="Kabupaten Magelang, Jawa Tengah "/>
        <s v="Kota Pacitan, Jawa Timur"/>
        <s v="Kabupaten Bogor"/>
        <s v="Kota Jambi, Jambi"/>
        <s v="Kabupaten Banjarnegara, Jawa tengah"/>
        <s v="Way Petai, Kec. Sumber Jaya, Lampung Barat"/>
        <s v="Kabupaten Cianjur, Jawa Barat"/>
        <s v="Rembang, Jawa Tengah"/>
        <s v="Jepara, Jawa TengaJEPARA, JAWA TENGAH"/>
        <s v="Kabupaten Kendal, Jawa Tengah"/>
        <s v="Pekanbaru, Riau"/>
        <s v="Cimahi, Jawa Barat"/>
        <s v="Tuban, Jawa Timur"/>
        <s v="Aceh Besar, Provinsi Aceh"/>
        <s v="Kota Padang, Sumatera Barat"/>
        <s v="Kab. Rembang, Jawa Tengah"/>
        <s v="Kota Bengkulu, Bengkulu"/>
        <s v="Toraja,Sulawesi Selatan"/>
        <s v="Solok Selatan, Sumatera Barat"/>
        <s v="KABUPATEN SIMEULUE"/>
        <s v="Kab. Jepara"/>
        <s v="Kabupaten Pekalongan"/>
        <s v="Kabupaten Lombok Timur, Nusa Tenggara Barat"/>
        <s v="Tana Toraja, Sulawesi Selatan"/>
        <s v="Kota Payakumbuh, Sumatera Barat"/>
        <s v="Humbang Hasundutan, Sumatera Utara"/>
        <s v="Kab. Grobogan, Jawa Tengah"/>
        <s v="Mayong, Jepara, Jawa Tengah"/>
        <s v="DESA DORANG KABUPATEN JEPARA JAWA TENGAH"/>
        <s v="Kota Makassar, Sulawesi Selatan"/>
        <s v="Kabupaten Subang, Jawa Barat"/>
        <s v="KABUPATEN BIMA, NUSA TENGGARA BARAT"/>
        <s v="Jepara, Jawa Tengah "/>
        <s v="Jember, Jawa Timur"/>
        <s v="Kabupaten Ngawi, Jawa Timur"/>
        <s v="Kota Bekasi, Jawa Barat"/>
        <s v="Kabupaten Ogan Komering Ilir, Sumatera Selatan "/>
        <s v="Kota Tegal, Jawa Tengah"/>
        <s v="Kota Padangsidimpuan, Sumatera Utara"/>
        <m/>
      </sharedItems>
    </cacheField>
    <cacheField name="Berkedudukan sebagai calon PNS, PNS, PPPK, PPPK Paruh Waktu, prajurit Tentara Nasional Indonesia, atau anggota Kepolisian Negara Republik Indonesia;" numFmtId="0">
      <sharedItems containsBlank="1">
        <s v="Tidak"/>
        <s v="Ya"/>
        <m/>
      </sharedItems>
    </cacheField>
    <cacheField name="Jabatan dan Lokasi TPP yang dilamar" numFmtId="0">
      <sharedItems containsBlank="1">
        <s v="Tenaga pendampingan pembelajaran mata Pelajaran Penjasorkes"/>
        <s v="Tenaga pendampingan pembelajaran mata Pelajaran Ilmu Pengetahuan Alam (IPA) untuk mengajar mata pelajaran Biologi, Kimia, Fisika"/>
        <s v="Tenaga pendampingan pembelajaran mata Pelajaran Bahasa Indonesia"/>
        <s v="Tenaga pendampingan pembelajaran mata Pelajaran Seni, Budaya, dan Prakarya"/>
        <s v="Tenaga pendampingan pembelajaran mata pelajaran TIK"/>
        <s v="Tenaga pendampingan pembelajaran mata Pelajaran Matematika (umum)"/>
        <s v="Tenaga pendampingan pembelajaran mata Pelajaran Ilmu Pengetahuan Sosial (IPS) untuk mengajar mata pelajaran Sosiologi, Ekonomi, Geografi, dan Sejarah"/>
        <s v="Tenaga pendampingan pembelajaran mata Pelajaran Bimbingan dan Konseling"/>
        <s v="Tenaga pendampingan pembelajaran mata Pelajaran Bahasa Inggris"/>
        <s v="Tenaga pendampingan pembelajaran mata Pelajaran Pendidikan Pancasila"/>
        <s v="Kabupaten Buton Tengah - Tenaga pendampingan pembelajaran mata Pelajaran Pendidikan Pancasila"/>
        <s v="Kabupaten Jepara - Tenaga pendampingan pembelajaran mata Pelajaran Bahasa Inggris"/>
        <s v="Kabupaten Buton Tengah - Tenaga pendampingan pembelajaran mata pelajaran TIK"/>
        <s v="Kabupaten Buton Tengah - Tenaga pendampingan pembelajaran mata Pelajaran Bahasa Inggris"/>
        <s v="Kabupeten Jepara - Tenaga pendampingan pembelajaran mata pelajaran Pendidikan Agama Kristen"/>
        <s v="Kabupaten Buton Tengah - Tenaga pendampingan pembelajaran mata pelajaran Pendidikan Agama Islam"/>
        <s v="Kabupaten Buton Tengah - Tenaga pendampingan pembelajaran mata Pelajaran Seni, Budaya, dan Prakarya"/>
        <s v="Kabupaten Buton Tengah - Tenaga pendampingan pembelajaran mata pelajaran Pendidikan Agama Katolik"/>
        <s v="Kabupaten Buton Tengah - Tenaga pendampingan pembelajaran mata pelajaran Ekonomi"/>
        <s v="Kabupaten Buton Tengah - Tenaga pendampingan pembelajaran mata pelajaran FISIKA"/>
        <s v="Kabupaten Jepara - Tenaga pendampingan pembelajaran mata pelajaran Pendidikan Ilmu Pengetahuan Alam (IPA)"/>
        <s v="Kabupaten Jepara - Tenaga pendampingan pembelajaran mata pelajaran Pendidikan Agama Islam"/>
        <m/>
      </sharedItems>
    </cacheField>
    <cacheField name="Pilihan Lokasi Sekolah Nasional Terintegrasi" numFmtId="0">
      <sharedItems containsBlank="1">
        <s v="Kabupaten Jepara, Jawa Tengah"/>
        <s v="Kabupaten Buton Tengah, Sulawesi Tenggara"/>
        <m/>
      </sharedItems>
    </cacheField>
    <cacheField name="Sertifikat Pelatihan Peningkatan Komptenesi (5 tahun terakhir)" numFmtId="0">
      <sharedItems containsBlank="1">
        <s v="https://drive.google.com/drive/folders/1dsYqEqelctlZxB4Hys2aTvWw_xo7AZBD?usp=drive_link "/>
        <s v="https://drive.google.com/drive/folders/16x0nmGx6I5WGw8jgQGGJwL-c62fCaeiM?usp=drive_link"/>
        <s v="https://drive.google.com/drive/folders/1sbX_gWwophHrTMrZOyC0f5Nbdw36cMSx"/>
        <s v="-"/>
        <s v="https://drive.google.com/file/d/1RTVKYZC70VNFZ0Li44B1okppAyidoSP2/view?usp=sharing"/>
        <s v="https://drive.google.com/drive/folders/1zI1VsvS3r7N2xgGHzHSOeXsPBlYpL9ku?usp=sharing"/>
        <s v="https://drive.google.com/file/d/1X90srqhGWSBgzBIWf55Q0lMEEvUwXmVt/view?usp=sharing"/>
        <s v="https://drive.google.com/drive/folders/1M6zYjueC4knG4C45THwrSOKv3fiE93TK?usp=sharing"/>
        <s v="https://drive.google.com/drive/folders/1W1SJkFGvffoQIz8_dEpLvZ7DVpQoENcq?usp=sharing"/>
        <s v="https://drive.google.com/drive/folders/14p8zvTWQB0cfS1KGcdo-A9IR61ZpUngs"/>
        <s v="https://drive.google.com/drive/folders/1e8cKyNE3L_Zkdzx_WNKYqXprhRNVOZaq?usp=sharing"/>
        <s v="https://drive.google.com/drive/folders/11lA10UXXoYhzvsfhUICgbtGtbGv8eSte"/>
        <s v="https://uns.id/sertifpendidikanthaariq"/>
        <s v="https://drive.google.com/drive/folders/1PUlPUxJ9ULoWvGmLXEt0GU-YNtECwhXO"/>
        <s v="https://drive.google.com/drive/folders/12b_894tcCUKoJy5WHk7I7pof-VbaAG9v?usp=sharing"/>
        <s v="https://drive.google.com/folderview?id=1-H0dgyCTkBx1Sx2sbwB_7BZN52kyclaR"/>
        <s v="https://drive.google.com/drive/folders/1m91u-ixafYRtV4PP1DwSgpzZITA4pMTK?usp=sharing"/>
        <s v="https://drive.google.com/drive/folders/1qirwr70MFDx3AkmSPCtOXtF91TmXq43v"/>
        <s v="https://drive.google.com/drive/folders/1qtGqu3dQCug1Ta3kijfkP0VPhlHpTTpT?usp=drive_link"/>
        <s v="https://drive.google.com/drive/folders/1L5fpaS1ICiKr9JtvjgoxgIawdl_9z-EH?usp=sharing"/>
        <s v="https://drive.google.com/drive/folders/13-I7mBQQA8ynEqdL74VxwPk3mvJOc4i4"/>
        <s v="https://drive.google.com/drive/folders/1adI29tKHJKq3bur8xGZSWfHHrhJWKmVY"/>
        <s v="https://drive.google.com/drive/folders/1tEAq9LnaQpzTD0-eTxuLY8gkiO9MuXKQ?usp=sharing"/>
        <s v="https://drive.google.com/drive/folders/1k_AcGyq3Q6qsc9WEwa0jYfv1W0X4zc2g?usp=sharing"/>
        <s v="https://drive.google.com/drive/folders/1gZ-dtO59v_zpZMFk_rlSncfOBy3CNMlI"/>
        <s v="https://drive.google.com/drive/folders/1bnp3dRme-Dr3vc9InIaUR0cB0yXpXWIB?usp=sharing"/>
        <s v="https://drive.google.com/drive/folders/1udkPKpK1nytH6b-EDpdcT6Od2JddCBv0?usp=drive_link"/>
        <s v="https://drive.google.com/drive/folders/106d7lnYeq5BLtiUnJLXPSLeoEJCTNUMm"/>
        <s v="https://drive.google.com/drive/folders/1KQEjYEuRliiWwNZ-UeRxx7vH3kFna984?usp=drive_link"/>
        <s v="https://drive.google.com/drive/folders/1Eg6r0rlH0F6MAdubmYPJPFh87S0nvJrm"/>
        <s v="https://drive.google.com/drive/folders/18oRqAvm67ggqMfNCM47RhToEBBLw5A_4?usp=sharing"/>
        <s v="https://drive.google.com/drive/folders/1zgl0YiZyomWwF6BEe19h0ZLsRC-Uf7It"/>
        <s v="https://drive.google.com/drive/folders/17MT469v6DaHmpoLFdWBe241N_dObmepV?usp=drive_link"/>
        <s v="https://drive.google.com/file/d/1wDAZ_wDIjpdbkq8h7kXvWAEEOa7ESmDe/view?usp=drivesdk"/>
        <s v="https://drive.google.com/drive/folders/1mjoMheW0r7Ofaf4cfqv62KvsYys3__xT"/>
        <s v="https://drive.google.com/drive/folders/14p8zvTWQB0cfS1KGcdo-A9IR61ZpUngs?usp=sharing"/>
        <s v="https://drive.google.com/file/d/1Oge2a8bGcTr_G7WIckjygM9_RiWe7iGW/view?usp=drive_link"/>
        <s v="https://drive.google.com/file/d/10j2MkzdpbRaZnGiceEXvNFNioXggv2oa/view?usp=drivesdk"/>
        <s v="https://drive.google.com/drive/folders/1wEPRgq-LJktmgSReVBVb_4qjO7jjp2A7?usp=sharing"/>
        <s v="https://drive.google.com/file/d/1frp5f7viKQmAZ4FGqYLgdVweGBRuM-xe/view?usp=drivesdk"/>
        <s v="Pengembangan pelajaran kurikulum merdeka berbasis deep learning "/>
        <s v="https://drive.google.com/drive/folders/1ccEHDmuRI-CaQCVHWlmbkSJaZSQVRxo1?usp=sharing"/>
        <s v="https://drive.google.com/drive/folders/1tqTpPQoGWEtiCT-mKwOtGeLfdy_v-npn?usp=sharing"/>
        <s v="https://drive.google.com/file/d/1fvxuC08fBawppDkd6tqKsyylKScIuoU7/view?usp=drivesdk"/>
        <s v="https://drive.google.com/drive/folders/16GwGT8p7LK41HG2eey6WNFgDG4WrNk9m?usp=sharing"/>
        <s v="https://drive.google.com/file/d/1mZaiMfFkLgfg4XOc-kQwjCkdCNMpvDMs/view?usp=drivesdk "/>
        <s v="https://drive.google.com/drive/folders/1oEwTcAljZevTWrYYCIZ2Ve4RKXCETdJg?usp=sharing"/>
        <s v="https://drive.google.com/drive/folders/1HhzMRvnjbxoaiiZE49d6huoyL_PJs3RL?usp=sharing"/>
        <s v="berhasil membangun edutech calonguru.id platform belajar &amp; tryout untuk anak-anak freshgraduate S.Pd, serta saya lampirkan cv saya https://drive.google.com/file/d/1paa984DOZkQwQXMQYNSvq6GhRpgpI1fo/view?usp=sharing"/>
        <s v="https://drive.google.com/file/d/1JqeYKkI0snm15XS8a9iG7uO-GmS7ru9g/view?usp=drivesdk"/>
        <s v="https://drive.google.com/drive/folders/1u4l7ODolDKuTT4UpSd-ix0QVQbpTp03x "/>
        <s v="https://drive.google.com/drive/folders/1zVhPj5QDepY0nUwUvPu9qCFAbXVxhHQ5"/>
        <s v="https://drive.google.com/drive/folders/1y1R3g_Ps-NBszB-H-tBdEOwX7mUKl9pJ"/>
        <s v="https://drive.google.com/drive/folders/1Xt6h7jx3czj4afAue1YgIAboBHeGM2uR"/>
        <s v="https://drive.google.com/drive/folders/1DYyHuJ2wcuaLyFmqxKbSEYLJbbMqgJUz?usp=sharing"/>
        <s v="https://s.id/berkassertifikatSNThendra"/>
        <s v="https://drive.google.com/drive/folders/1Xc0MRju7g1H4dMvg8kLe33DxXZIsG0ok"/>
        <s v="https://drive.google.com/drive/folders/19pK6PbUXZ16YntCxA1TVSeVpSrRQULn9?usp=sharing"/>
        <s v="https://drive.google.com/drive/folders/18vwhzoAAIqFRo5rULGhDu-kLtx3XV-QY"/>
        <s v="https://drive.google.com/file/d/1mWsPvV-wLUvQFuPoZ0oy-IU7zRHdrqM2/view?usp=drivesdk"/>
        <s v="https://drive.google.com/file/d/1Cp2XvZpha_BsmVKXrwzzbt50zrXWFIgd/view?usp=sharing"/>
        <s v="https://drive.google.com/drive/folders/1ZqAJMDrwcjCIBwezainJPSq-Af5FR8ad?usp=sharing"/>
        <s v="Tidak ada"/>
        <s v=" https://drive.google.com/drive/folders/1oDDFY2xrlyT8xOLSLtaWcTorLaV2gd-T?usp=sharing"/>
        <s v="https://drive.google.com/drive/folders/1KztHH-x7AAkCa0Y68fAPNtOjI1uXYp8N"/>
        <s v="https://drive.google.com/drive/folders/1RiA64zDPMGWcUQJbujjzdvuiiFbqOYv-"/>
        <s v="https://drive.google.com/drive/folders/1_Lxo5HWobtllKRhx4DoAPo3psCWgujfd"/>
        <s v="https://drive.google.com/drive/folders/1QCz4bH3wjl2517dnFzL0-0FyB0_Hr0eA?usp=sharing"/>
        <s v="https://drive.google.com/drive/u/0/folders/1wXlUMPMbMO0PPDAIm87fHTYI2gRiO5u_"/>
        <s v="https://drive.google.com/drive/folders/1Eea9hOlnFGbYLubLsrKFIDH0A0S4mwyr"/>
        <s v="https://drive.google.com/drive/folders/1p-kQdNiRgjOIiTD_RhX1uvRJKUvgJ4xc?usp=sharing"/>
        <s v="https://drive.google.com/drive/folders/1mnSHPVEjQdxRANgN3JMjVU82XqtfeJhp?usp=sharing"/>
        <s v="https://drive.google.com/drive/folders/1Jo5cOOJOGSkcnrln3SZE_oV49sGq04i6?usp=drive_link"/>
        <s v="https://drive.google.com/drive/folders/1UYBeT19vfcK88TXH2vxKfNkkOJm3Yxon?usp=sharing"/>
        <s v="https://drive.google.com/drive/folders/1LTWCeJsS3uOTO0e7hqMI7AzpaE9Twr0Q "/>
        <s v="https://drive.google.com/drive/folders/1aYXA4C27v4RjA_Uci2XyWDLUHMd94gOA?usp=sharing"/>
        <s v="https://drive.google.com/drive/folders/1D4s0ysl23nOrJgQmY_nJosQ0JjPXaT2X"/>
        <s v="https://drive.google.com/drive/folders/1uiFCL4Z40gteEeW8JX4SV-y9TpDFELEc"/>
        <s v="https://drive.google.com/drive/folders/1zr9jpWWKJhLxyFvydPkYe9rMQodbRowa?usp=sharing"/>
        <s v="https://drive.google.com/file/d/14nqA5xOhaV7LTMonONLJ2-rWSCf3FYn0/view?usp=sharing"/>
        <s v="https://drive.google.com/drive/folders/1ndrLT3x5BYcWVV2mZSLe8u0fR4zUiFTP"/>
        <s v="https://drive.google.com/drive/folders/1FWmxvG1wvGsYFwBfDwOLmVkwH5i5gSik"/>
        <s v="https://drive.google.com/file/d/1-lG7m3YIWvMtVFoWqOY1Riq3aCDpb8XH/view?usp=drivesdk"/>
        <s v="https://drive.google.com/drive/folders/1ImdPZJI12fytqEYqcUZifUZ2g9G3zYFB?usp=drive_link"/>
        <s v="https://drive.google.com/drive/folders/1SZ1ZPD_q15yjwwsA-5ciCU9QFu3qcg6p?usp=sharing"/>
        <s v="https://drive.google.com/drive/folders/1XsMCUlchwcIlnTpW3i2f_44hqHIdj6Qd"/>
        <s v="https://drive.google.com/drive/folders/1p02hk2pCEFDBH0h7NzeD-PxmMvx7B-cD?usp=sharing"/>
        <s v="https://drive.google.com/file/d/1jmPnpkdUj4CdcXFPl_twQqpmV-vll49A/view?usp=drivesdk"/>
        <s v="https://drive.google.com/file/d/19Ubd3X6n9vO7MExQwm9X1dhc9Im7DoJY/view?usp=drivesdk"/>
        <s v="https://drive.google.com/drive/folders/1UNoT23QcdTdF_3ir_V4cXeO4FjtCrwLB?usp=sharing"/>
        <s v="https://drive.google.com/file/d/1pS04i2xTIU-TSFKGGeDCkV-lka3IOZG-/view?usp=drivesdk"/>
        <s v="https://drive.google.com/drive/folders/1FqKaaNX2nrXgqKMSZe5uRYiMZoC--UGS?usp=drive_link"/>
        <s v="https://drive.google.com/file/d/1MZapdCM3BI0aEDf1zUk79aECGn5lhx0U/view?usp=drivesdk"/>
        <s v="https://drive.google.com/file/d/1q2WATHk4Ogu6nNhq0EnQlwkB49xuDrUM/view?usp=drive_link"/>
        <s v="https://drive.google.com/drive/folders/13mZOYxtPxMB3lu4cg9nGsyp06JExoD3V"/>
        <s v="https://drive.google.com/file/d/1828YPcHKu6psAeNtu5uNmkT3uRrX203z/view?usp=drivesdk"/>
        <s v="https://drive.google.com/file/d/1q2WATHk4Ogu6nNhq0EnQlwkB49xuDrUM/view?usp=sharing"/>
        <s v="https://drive.google.com/drive/folders/1Yk_3znP-E_7NeJzSXSYZoZ4RQmCFsPVZ?usp=sharing"/>
        <s v="https://drive.google.com/file/d/1Q1G14BzAhbQSQoSiLSt9YJjxUYVzcP6x/view?usp=drivesdk "/>
        <s v="https://drive.google.com/drive/folders/1HSEr75Zc8RhUxysY7jW4NqvKaxmcwt7C?usp=sharing"/>
        <s v="https://drive.google.com/file/d/1tEeQRo0wNeGKuciO9W-2k-w4rrEA90mB/view?usp=drivesdk"/>
        <s v="https://drive.google.com/drive/folders/1mPwEHOmEtm1mnwgvhXtqIN7Ec_tO0qIR"/>
        <s v="https://drive.google.com/drive/project/1ypNhOfZ1ErOar424uG5L-X1688R0hlne?usp=sharing"/>
        <s v="https://drive.google.com/drive/folders/1hdzssX16IwtOVDMzPJYkcQjPZRYFPj5T?usp=sharing"/>
        <s v="https://drive.google.com/file/d/1KCjaHp7aBGdze2qoC9en5wf8eGI0n-zF/view?usp=drivesdk"/>
        <s v="https://drive.google.com/drive/folders/1W6SEKzHFkTmZeAxP_qWGJrfnGW2l_S8w?usp=drive_link"/>
        <s v="https://drive.google.com/drive/folders/157g7GPU2uWmVoir8HYWvwo04DYx70Q40?usp=drive_link"/>
        <s v="https://drive.google.com/drive/folders/1xHnwtPpiVK8lvJBgar1ydRN9UUdDr1Yq?hl=ID"/>
        <s v="https://drive.google.com/file/d/1ZxhM7GdDCe-RzJJ4vTn8VM15XtiEYoDy/view?usp=drive_link"/>
        <s v="tidak ada "/>
        <s v="https://drive.google.com/file/d/1ch7lfLBpgDwfd6eUCsp62QmQis-una8H/view?usp=drivesdk"/>
        <s v="https://drive.google.com/drive/folders/1_JjDTlCQ95Z2HSt2cr6Z-dG-f-XTqN5-"/>
        <s v="https://drive.google.com/drive/folders/1EQcbBqenLkSz0J9gJhtDto86pLrpaCuh?usp=sharing"/>
        <s v="https://drive.google.com/drive/folders/1IaQW-dcaYjHZUYV21uzLtWwjnRkNPlKR?usp=sharing"/>
        <s v="https://drive.google.com/drive/folders/19ZaeMbjpdH449ZYhMj6QlN3JF3TdnMn3?usp=sharing"/>
        <s v="https://drive.google.com/drive/folders/11AM3M-pMv6xsy4fEdku3wpgYdWZ-b-S9"/>
        <s v="https://drive.google.com/drive/folders/1ICeef0wQTCT9S8mdkQaRK57ifVIK1OcE?usp=sharing"/>
        <s v="https://drive.google.com/drive/folders/1-bEcGrl_eMrn6Y-BA6XicqyOiP1cPSgk?usp=sharing"/>
        <s v="https://drive.google.com/drive/folders/1GqJj_gTolCzY7IGi_gOauHlV5h4RcNxN"/>
        <s v="https://drive.google.com/drive/folders/1cegUgtvsI39sI0sj-raJPktHprolj2xl"/>
        <s v="https://drive.google.com/file/d/1b4bKuE3zYG0664rNvgYGLLQmJEAvlKdh/view?usp=drivesdk"/>
        <s v="https://drive.google.com/file/d/135s2eY1pnAEWfIfOiMIwnJXlWbqMIkCP/view?usp=sharing"/>
        <s v="https://drive.google.com/drive/folders/1BOLsbpZenoUTbTOk1887z8HGqXUo-DJ1"/>
        <s v="https://drive.google.com/drive/folders/1I6nLkdMZqvJAU2L43X-kVh_2_sopTxj3"/>
        <s v="https://drive.google.com/drive/folders/1LVjY_dM104LYW2SS6hI4p3y_74uBxRxg"/>
        <s v="https://drive.google.com/drive/folders/11TfA6roqNDL6OMfdjoFtc2YIMcUaqF6D?usp=sharing"/>
        <s v="https://drive.google.com/drive/folders/1WxNebxIxkO-FMfKaVDq0uLdP2F8Kp-nT?usp=sharing"/>
        <s v="https://drive.google.com/drive/folders/1YSuJjYatX6HeWWXX2IyrLBKYKqMxmqqH"/>
        <s v="https://drive.google.com/drive/folders/1QNufrZxxerCm2AkkS7Wgw_FZ8T9yjmy3"/>
        <s v="https://drive.google.com/file/d/1aPeTRXqQ99p9K_WWsJwflL0YYD7NrQtE/view?usp=drivesdk"/>
        <s v="https://drive.google.com/drive/folders/1U8I5vPnWwIsN2f8oExY0XJlhTyhNt1PA"/>
        <s v="https://drive.google.com/drive/folders/1VJy4PG02osf5uSvbOyUlKDU0QFevurqG?usp=sharing"/>
        <s v="https://drive.google.com/file/d/1XEWV9G_a3_JgM6mZMc5JldsOl8U470Wu/view?usp=sharing"/>
        <s v="https://drive.google.com/drive/folders/1BbNrhkBUeXGFB07Zu5rb0FC2-93aesfT?usp=sharing"/>
        <s v="https://drive.google.com/drive/folders/1ZuK6Alx0u8gVjOrN2gq-JmTFqgKbIK3s?usp=sharing"/>
        <s v="https://drive.google.com/drive/folders/12LUaQK14lrvAZLtekJDARU0MW4QyLkG5"/>
        <s v="https://drive.google.com/drive/folders/1qeMHbczXXxItu4qFzgGkONP6OQwnrXHl?usp=sharing"/>
        <s v="Mengikuti Pelatihan Seminar dan Lokakarya (Semiloka) Pendidikan Nasional Provinsi NTB dengan tema 'Strategi Mewujudkan Pendidikan Berkelas Dunia di Provinsi Nusa Tenggara Barat'"/>
        <s v="https://drive.google.com/drive/folders/1ToPxf64AlmpbPv5EB4LXPa-Ox2OwTg_V?usp=sharing"/>
        <s v="https://drive.google.com/drive/folders/12khkzgkqTtm8ioLxgimKuN7ckMlN-Ggm"/>
        <s v="https://drive.google.com/file/d/1Rh1b__zKa2ZQ_SzOjR0o3j4HYCMsynEu/view?usp=drivesdk"/>
        <s v="https://drive.google.com/drive/folders/1mDUGkIBhY1Wv5ag4XB8fO_0Bm-afpdlu"/>
        <s v="https://drive.google.com/file/d/1QpeKV6N66-DavRPQAc3vY6xsCgrW2E4B/view?usp=sharing"/>
        <s v="https://drive.google.com/drive/folders/1N2jay7_7fD6CXuUJXVyquYkJ893pc3oG?usp=sharing"/>
        <s v="https://drive.google.com/file/d/1h8qOTCelbwxtVvhCSeGdIZbKFlPC9Dh5/view?usp=drive_link"/>
        <s v="https://drive.google.com/drive/folders/1IKDXa-KVd8FNR0pkQjvYi7FSMJeSDV_I"/>
        <m/>
      </sharedItems>
    </cacheField>
    <cacheField name="Video Microteaching" numFmtId="0">
      <sharedItems containsBlank="1">
        <s v="https://drive.google.com/file/d/1iCxSV9hd262CkcTCjL23f6n7t7EoV6ur/view?usp=sharing "/>
        <s v="https://drive.google.com/drive/folders/1LUwVcKfRJZTw2XbLLprTSDJ04eWDmd0c?usp=sharing"/>
        <s v="https://drive.google.com/drive/folders/1nSG76BaQdtMG-CDvZEJRGPQJe22CUPnC"/>
        <s v="https://drive.google.com/drive/folders/1yCvx2arxXyITby30A4zMMaHb1zIP3NMt?hl=ID "/>
        <s v="https://drive.google.com/drive/folders/1v7ET-0MLyK3nfkDv6QSCOQu7jdaH58zl"/>
        <s v="https://drive.google.com/drive/folders/1zI1VsvS3r7N2xgGHzHSOeXsPBlYpL9ku?usp=sharing"/>
        <s v="https://drive.google.com/drive/folders/1sDPOjTor3XOExzch1Qzi6KmtuS5XvMav?usp=drive_link"/>
        <s v="https://drive.google.com/drive/folders/1M6zYjueC4knG4C45THwrSOKv3fiE93TK?usp=sharing"/>
        <s v="https://drive.google.com/drive/folders/1w3AotyxcLiwjWuZcnqdtSFTGCadiF0xD?usp=sharing"/>
        <s v="https://drive.google.com/drive/folders/14tm61sfbexmy9YMN6u3Mp_YaYsqT-5st"/>
        <s v="https://drive.google.com/drive/folders/15ZPYQ3Clfe0EygnIfgBgzYEpRIik_sBB?usp=sharing"/>
        <s v="https://drive.google.com/drive/folders/11lA10UXXoYhzvsfhUICgbtGtbGv8eSte"/>
        <s v="https://uns.id/veditukinthaariq"/>
        <s v="https://drive.google.com/drive/folders/1GuUofoo8Ml4RxgfNRLC35L22Cqhy-kvo?usp=drive_link"/>
        <s v="https://drive.google.com/drive/folders/1cJkn_IoYOOXnOYMya1m1-G4ZZwiFqF5_"/>
        <s v="https://drive.google.com/file/d/16I25Hub_4HCCCCFxaPj0dOUzgE7zysB3/view?usp=sharing"/>
        <s v="https://drive.google.com/folderview?id=1-GJrqYOfO4bnWQzG1X4FXH_EjpFWvBSi"/>
        <s v="https://drive.google.com/file/d/1ZM2qaVqkQD-_tnv9zBhxAM7nrL9WyS0c/view?usp=drive_link"/>
        <s v="https://drive.google.com/drive/folders/1PzS9P01UHo8ahunVVv6jD4ARfGViRjOG"/>
        <s v="https://drive.google.com/drive/folders/19wdv2SGiikjLmsRGeg6Us3PtGVYARdEH?usp=sharing"/>
        <s v="https://drive.google.com/drive/folders/18L-lFRallenmFr2eSdMYor8T3gFby5iv?usp=sharing"/>
        <s v="https://drive.google.com/drive/folders/1lbHZOdolmlsxx6yX2iLAARnS1OT7OdSP"/>
        <s v="https://drive.google.com/drive/folders/1IBUHZ570KJFy5CmkAqk3hdSbP9e0B9cp"/>
        <s v="https://drive.google.com/file/d/14HJ3UJHAzqXiOJWas24_Koh5HDncUtR-/view?usp=sharing"/>
        <s v="https://drive.google.com/drive/folders/1hp2AsPIKeEgMhUWbzwgDRHlp34wSTNCN?usp=sharing"/>
        <s v="https://drive.google.com/drive/folders/1ziBRYwAgtkkyPnTwpaQQlUVLoINNFHrH"/>
        <s v="https://drive.google.com/drive/folders/18O0MONVMBSmYlQuiTTTxKi2Ty4RuE13V?usp=sharing"/>
        <s v="https://drive.google.com/file/d/1Eaqx9EWaqZ9QKFvtgEjSf1OH0v-fotPS/view?usp=drive_link"/>
        <s v="https://drive.google.com/drive/folders/1PQQxwZNzVypS3yGp4a0HX6Wmibz9ALEQ"/>
        <s v="https://drive.google.com/drive/folders/1yVRF9S8gmJh2aANEg8KX6ndxm6WfzhOc?usp=sharing"/>
        <s v="https://drive.google.com/file/d/1L2HeacFitfJzYYLnhEHSiZpRNZi6DIfH/view?usp=drivesdk"/>
        <s v="https://drive.google.com/file/d/11wzIy8pLPUhf9NFE6RP2ma53wXYu3e4C/view?usp=drivesdk"/>
        <s v="https://drive.google.com/drive/folders/1SNu-qFtK02OmLkQZ1AWo5DDVTH46tRqo"/>
        <s v="https://drive.google.com/file/d/1zV2figavABF53g88ty1zBwjNJ4TwwTWj/view?usp=drivesdk"/>
        <s v="https://drive.google.com/drive/folders/1ZemobWCxQpWbWK-4F6mIDlYPJB6PQgHU"/>
        <s v="https://drive.google.com/drive/folders/19MRaOM80DF038NWPqHaqqcWNbEgyOpsX"/>
        <s v="https://drive.google.com/drive/folders/1YHV5XDphM0hO8XmD0XXIw26hn__uS09N"/>
        <s v="https://drive.google.com/file/d/1iq8cDdVfuoJxTaGIJK-5C0uFxCjY3984/view?usp=drivesdk"/>
        <s v="https://drive.google.com/drive/folders/17MT469v6DaHmpoLFdWBe241N_dObmepV?usp=drive_link"/>
        <s v="https://drive.google.com/file/d/1hhvZIEChyA9oW7HYA2tM058Q0lahrG6T/view?usp=sharing"/>
        <s v="https://drive.google.com/drive/folders/1mjoMheW0r7Ofaf4cfqv62KvsYys3__xT"/>
        <s v="https://drive.google.com/drive/folders/14tm61sfbexmy9YMN6u3Mp_YaYsqT-5st?usp=sharing"/>
        <s v="https://drive.google.com/drive/folders/1v9Rl1ZkNsT6Jw6hEo64E-fGeNru0Mo2a?usp=sharing"/>
        <s v="https://drive.google.com/file/d/1wXg4JCK74uFkX830RohLlRR_dRCpabfJ/view?usp=sharing"/>
        <s v="https://drive.google.com/file/d/11F5pPmxQ30JyYcnGJHbV6ofW54-DPLlK/view?usp=drivesdk"/>
        <s v="https://drive.google.com/file/d/1K8Bi3qh64CvDS9EXYN8fxBMknWkIhU7a/view?usp=drive_link"/>
        <s v="https://drive.google.com/file/d/10vZFJJ6HLCd0q9kJFe38K6ug4wCZSDnp/view?usp=sharing"/>
        <s v="https://drive.google.com/file/d/1EYnoMc565zoK0J826IOUtHJ9sB9Z2CQo/view?usp=drivesdk"/>
        <s v="https://drive.google.com/file/d/1WoZ2dEnTCug0Ziv3_iuegw3MELqpmkZC/view?usp=drivesdk"/>
        <s v="https://drive.google.com/drive/folders/1ZMdpKDuNX2Ug5GuQm0IKJcqbtSXsXuoq?usp=sharing "/>
        <s v="https://drive.google.com/drive/folders/1eQb9Ydk0eATBDcczvp7yz_FB4O4O3AS3"/>
        <s v="https://youtu.be/ggULze_hHGY?si=3LHoSa1RXTS34FsR"/>
        <s v="https://drive.google.com/drive/folders/1Ox-0TUCz6hG9Myk2xhpFEEvKdlv8dm0C?usp=sharing"/>
        <s v="https://drive.google.com/file/d/1XKpWEV3EZ7UQ8B2bUYrKN3HfbjZtr2ZC/view?usp=drivesdk"/>
        <s v="https://drive.google.com/drive/folders/137kIPlKQmFYB8LTfhzVwbj1J2Vc6niis?usp=sharing"/>
        <s v="https://drive.google.com/file/d/1TmBNpVmZwK0wgwjA5wKHVM0mU3d3fWmw/view?usp=drivesdk "/>
        <s v="https://drive.google.com/file/d/1nT111QsyrXyp_zYgfzUpVxBvNOXr5vjm/view?usp=drivesdk"/>
        <s v="https://drive.google.com/drive/folders/14FG_yPqAGC6X1onGD48pZn4hF_PPEfMz?usp=sharing"/>
        <s v="https://drive.google.com/file/d/1XqoJbX6jTFwvy6oafg-KztlO_gpV_jlC/view?usp=sharing"/>
        <s v="https://youtu.be/yymDyHaEmW0?si=6tkWnWhAcI23Xxf8"/>
        <s v="https://drive.google.com/file/d/1UUanyQLNkOSugUWXDQLx6cbMy9rhomU-/view?usp=sharing "/>
        <s v="https://drive.google.com/drive/folders/1DvcSMjkGajB_4DTsRI2BJi9k6R619G3v"/>
        <s v="https://drive.google.com/drive/folders/1jt4YLBNVmmQlbLqan48uzpTgjZJgPJtc"/>
        <s v="https://drive.google.com/drive/folders/1DUcWJvg3MRjkBfV1Wb2SOf09W0KOXuia"/>
        <s v="https://drive.google.com/drive/folders/1GaI6YVgutsBMNIGY3HaluvXIH5nka1r3"/>
        <s v="https://drive.google.com/drive/folders/1BunhS9ZC30KIV72NDCiDcLA3-Ud7Jkt9"/>
        <s v="https://drive.google.com/drive/folders/1Rs9HB-oZ3H5yNrDt9DFHXgAhgSOFkiIK?usp=sharing"/>
        <s v="https://youtu.be/RtFvDOOgoqM"/>
        <s v="https://drive.google.com/drive/folders/18vJaaPkf_N1kQFEIOq34K1CHZlOV1Yxr"/>
        <s v="https://drive.google.com/drive/folders/1LzuVejBMa0nJuaBNUC6Wmo059tSnk3PX?usp=drive_link"/>
        <s v="https://drive.google.com/file/d/1fI_gpiFidC35PhUgS4AL5664hKzkHvrn/view?usp=drivesdk"/>
        <s v="https://drive.google.com/drive/folders/1ltUU36tlXxgfeMDDdoLQOBEN6rzRAnT4"/>
        <s v="https://drive.google.com/file/d/1q-2IZ9iExO_p1ito2WG__QJ0JhY5ERou/view?usp=drivesdk"/>
        <s v="https://drive.google.com/drive/folders/1ow4-6NaDSh-0U4S7plIc-icO8HYC61WV?usp=sharing"/>
        <s v="https://drive.google.com/file/d/1-BbTbD6dRGBlX3AWGJ92R7ATswHSzRJr/view?usp=drivesdk"/>
        <s v="-"/>
        <s v="https://drive.google.com/drive/folders/18yBJOjtpw6PsG4DRETVg2yP5SJnmcY39?usp=sharing"/>
        <s v="https://drive.google.com/drive/folders/1-40u8UNH_SNeIkwr8FZ6hdjDyNuH11WZ"/>
        <s v="https://drive.google.com/file/d/1xC1-O8NQibAtMRCBDo8VBwZEXn2Edt3L/view?usp=drivesdk"/>
        <s v="https://drive.google.com/file/d/1YlN9LWOGX_duy7lpVzaDTpDDBGlh7HwO/view?usp=drivesdk"/>
        <s v=" https://www.youtube.com/watch?v=jM1e_5OwKnw"/>
        <s v="https://drive.google.com/file/d/1peyjAV00fNYAk1KhW_TI0Z-Tyzfr-pjB/view?usp=drive_link"/>
        <s v="https://drive.google.com/file/d/12O1DB7FIoqIZRTC1SggA8lB7Wtp7A1WW/view?usp=drivesdk"/>
        <s v="https://drive.google.com/file/d/143JHDzse3sObZEzbFHQZvZdWWfCEdKTl/view?usp=drivesdk"/>
        <s v="https://drive.google.com/file/d/10gR1poUJUv4Bp7RvR9-QMDkoqIoCFID6/view?usp=drivesdk"/>
        <s v="https://drive.google.com/file/d/14w0SrHcah5KVYYJRxX4GoYuo6Arj4xmT/view?usp=drivesdk"/>
        <s v="https://drive.google.com/file/d/125S5BykyAsUYhePZcozF54aMpBkwCf9m/view?usp=drivesdk"/>
        <s v="https://drive.google.com/drive/folders/11IqJDpjcTXnE4CSXbzC3pwb5BIKVYs--?usp=drive_link"/>
        <s v="https://drive.google.com/drive/folders/1QCz4bH3wjl2517dnFzL0-0FyB0_Hr0eA?usp=sharing"/>
        <s v="https://drive.google.com/drive/folders/19r7Cl5nUN2M2MKhSE7bGX8tAGaPZ57JC"/>
        <s v="https://youtu.be/37xNnZIRYh8?si=ZntzwVImPe4feJBs"/>
        <s v="https://drive.google.com/drive/folders/1YLcx8j3x4rEq2EPc1oUEnY0ns2CZx521"/>
        <s v="https://drive.google.com/file/d/1esCIwzUph4H8JVvdlxBZpkGt2mgfGEOw/view?usp=sharing"/>
        <s v="https://drive.google.com/file/d/1cmV4eplHOudpvjZyn_HVJK6lNiw9g58G/view?usp=drivesdk"/>
        <s v="https://drive.google.com/file/d/1Y1HflIYtf8a__N_hRkDkNxk37uHu01vn/view?usp=drive_link"/>
        <s v="https://drive.google.com/file/d/16iPyUf7iTQQhSLQ91kRa-Q5r3R0NU1Zz/view?usp=drive_link"/>
        <s v="Link video utuh: https://drive.google.com/file/d/1hJZR1L1EfV2_QwLe63GQkuq7F1y_SEjQ/view?usp=drivesdk Link Video potong: https://drive.google.com/file/d/1pC-5PPO96WmgmPD63ulKwXOSpWLxgzJw/view?usp=drivesdk"/>
        <s v="https://drive.google.com/file/d/1W9Fy8z1hWSMDv7tcpLGtmPPvb85l4l67/view?usp=drivesdk"/>
        <s v="https://drive.google.com/file/d/1-SETGpp9B0XD1g83-CBJArNMGexKzuCJ/view?usp=drivesdk"/>
        <s v="https://drive.google.com/file/d/1g0DJjf0-Ir1o_hN675z6JetJWDctZMtK/view?usp=drive_link"/>
        <s v="https://youtu.be/O5RQVJUPqL4?feature=shared"/>
        <s v="https://drive.google.com/file/d/1oidTQvbYYr9E_r5QpJQ4_ChE2QZYGqwu/view?usp=drivesdk"/>
        <s v="https://drive.google.com/file/d/1LqTRWW3H2LxmnAH_IaS6gp1Fb_Cf23vf/view?usp=drivesdk"/>
        <s v="https://drive.google.com/file/d/1-hu-TQKdbX2yJqHvYDuEs4clAxm-Zpym/view?usp=drivesdk "/>
        <s v="https://drive.google.com/file/d/15q8UosXFDYh3syfvPaoLfg-s64HJpX-M/view?usp=drivesdk"/>
        <s v="https://drive.google.com/file/d/1-Po-XTK9UlujepB_GgEvK8kp6CHoC-3E/view?usp=drivesdk"/>
        <s v="https://drive.google.com/drive/folders/1PqLz8RYnnSg7ZDxnd7U7A6x_JUgroK7k"/>
        <s v="https://drive.google.com/file/d/1W12YEq3GjE_L-y-bTkeot7UzdvOLJSjt/view?usp=sharing"/>
        <s v="https://drive.google.com/file/d/1-4bh_3Gsx8QMHDML1RTcjQU860Yb8vUF/view?usp=drivesdk"/>
        <s v="https://drive.google.com/file/d/1egvuICb9Fe5dZ-cPpgczoxhMGrxXWj7x/view?usp=sharing"/>
        <s v="https://drive.google.com/drive/folders/10gdRNvHaesOYapEBw9VjuyApTvEMW3oo "/>
        <s v="https://drive.google.com/file/d/1czFk9KIDKjBbNttApLuhEDIHMjlZgs_J/view?usp=drivesdk"/>
        <s v="https://drive.google.com/file/d/1Csp-KkryWS8OW0y5WtdeB1RAF5D19SxY/view?usp=sharing"/>
        <s v="https://drive.google.com/file/d/1ZP7zckiKpLuo6ihpZfeBTDIdqQ5XkoCD/view?usp=drive_link"/>
        <s v="https://drive.google.com/file/d/1hzKaO3nYD5NWhwX-5DNSbiKnTHiwK7T3/view?usp=sharing"/>
        <s v="https://drive.google.com/file/d/18IhcwPWDtcUg9_pBLGWNVBKS261-qceu/view?usp=drivesdk"/>
        <s v="https://drive.google.com/file/d/1BRliNG08XfeSGbcZmOIvGmwpGeM8FGuB/view?usp=drivesdk"/>
        <s v="https://drive.google.com/file/d/1h63cWRCshoOEWZoma2HqgpkbKwWhXdk_/view?usp=sharing"/>
        <s v="https://youtu.be/oP0RAgZwB20?si=hO9OzKPNJI9RBPI1"/>
        <s v="https://drive.google.com/file/d/1GQENiDMv0dD3I-c0kM8Drtvu50DBv0Vv/view?usp=sharing"/>
        <s v="https://drive.google.com/file/d/1yLn3_MYhL5-OebQhFTTWudj9syRpa_F4/view?usp=drivesdk"/>
        <s v="https://drive.google.com/file/d/1inWgsc02ZaqNB70EC2EVK0FdqyB57gDq/view?usp=drivesdk"/>
        <s v="https://drive.google.com/file/d/1CFs00UBUQCekRLavWxUV47wLbsqjWAt5/view?usp=sharing"/>
        <s v="https://drive.google.com/file/d/1MDgO8wyA5Ky-V_4yvxhKBLDemJPoL33Z/view?usp=drivesdk"/>
        <s v="https://drive.google.com/file/d/19VmPXQZthQlw0DZ-snxETmPub7V5d3RE/view?usp=sharing"/>
        <s v="https://drive.google.com/file/d/1jg3ondnuMEA_8KcnO4YcAhgyhFZDh5Ht/view?usp=sharing"/>
        <s v="https://youtu.be/f2RscZki_bA?si=RiXSuUHxcZqgXa9p"/>
        <s v="https://drive.google.com/drive/folders/1ivwzR2JDK4q_x0tqQolTURpCN7w-aTLV?usp=sharing"/>
        <s v="https://youtu.be/yymDyHaEmW0?si=jEo8ZHrAz__mlaUj"/>
        <s v="https://drive.google.com/file/d/1mMPCCJucrwhVb1pZFfaBG31bjo_eTeLu/view?usp=drivesdk"/>
        <s v="https://drive.google.com/file/d/1-73woSPD2luYwLob-jUd24ImGpWn3Os5/view?usp=drive_link"/>
        <s v="https://drive.google.com/file/d/1pM2_9_ydITQwkfilNCICdwxqTh-anOk_/view?usp=drivesdk"/>
        <s v="https://drive.google.com/file/d/1FO1apaLrvm6OonO-6m8-hbivpRlxH__O/view?usp=sharing"/>
        <s v="https://drive.google.com/file/d/1zUFHU7edYhhn5rtoUV5i6yHLXhfx_YPt/view?usp=drivesdk"/>
        <s v="https://drive.google.com/file/d/1xOPDBiutDsUcljQkrhY4_4Ho6vGNem5I/view?usp=drivesdk"/>
        <s v="https://drive.google.com/file/d/1kebzPEnjn8cLYmp2y7HRyvi4KUEM7GYg/view?usp=sharing"/>
        <s v="https://drive.google.com/drive/folders/1MSCACZOM7BzVsQwuJ0JlJxgh0BU8L-UG"/>
        <s v="https://drive.google.com/file/d/1ar4kGy1qfg_uktfh803TTJLH1ex1jIjx/view?usp=sharing"/>
        <s v="https://drive.google.com/file/d/10nhWSrB9Ujt_hKAXf4doFhwHicSA0Cgt/view?usp=drivesdk "/>
        <s v="https://drive.google.com/file/d/1e3MIskV95w9vhLcemJFBqQ339QT6D07m/view?usp=drivesdk"/>
        <s v="https://drive.google.com/drive/folders/1HSEr75Zc8RhUxysY7jW4NqvKaxmcwt7C?usp=sharing"/>
        <s v="https://drive.google.com/file/d/1fgjFP7heZob1byrZ08PNTEvBkkmy4XS3/view?usp=drivesdk"/>
        <s v="https://drive.google.com/file/d/1-TaIQ-qTH3qR6Y29OSSEaY-clgJR9eLz/view?usp=drivesdk"/>
        <s v="https://drive.google.com/file/d/1AfQy3sXG0vwWQZi-bW91KmA1x5v2byR0/view?usp=drivesdk"/>
        <s v="https://drive.google.com/file/d/1PsEE8P50ldpBgaiCWhSJgB8M5EUIE9P9/view?usp=sharing"/>
        <s v="https://drive.google.com/file/d/1HOO4AhlgFuNZ7xAZC4wNngOPjGlzNUe2/view?usp=sharing"/>
        <s v="https://drive.google.com/drive/folders/13TzkmruK-0Q2-WN0ppe31VLzRKgKDuYM"/>
        <s v="https://drive.google.com/file/d/1NLVMd2lRd_IZi1QxIH1kT4Jf11wOMHje/view?usp=drivesdk"/>
        <s v="https://drive.google.com/drive/folders/10h0bICv1sbwM8H39qnDBJjpkWu_Bj5lc?usp=share_link"/>
        <s v="https://drive.google.com/drive/folders/1h5D1OR-dlUErQydDQd5Q2HbzWDvq1noG?usp=drive_link"/>
        <s v="https://drive.google.com/drive/folders/1PIdrEpmJ5Ts3AH6xgUsmMf4tQamCydq8?usp=sharing"/>
        <s v="https://drive.google.com/file/d/1yC0TberpZjYSJT8tMqZe7xjRzz9PNz6L/view?usp=sharing"/>
        <s v="https://drive.google.com/drive/my-drive?hl=ID"/>
        <s v="https://drive.google.com/file/d/18x7LbrNM7kH5UuTFMQO0X7fNmqaZ7MP4/view?usp=drive_link"/>
        <s v="https://drive.google.com/file/d/1e3QMm77HgNls5npfBunclbid-2paBVp5/view?usp=sharing"/>
        <s v="https://drive.google.com/file/d/1K14cG90SuffnJXjKhSAEWNFBzQd_EaEV/view?usp=drive_link"/>
        <s v="https://drive.google.com/file/d/1ejoFKKYvBRZady_u6WBtR887yBw_aqnX/view?usp=drivesdk"/>
        <s v="https://drive.google.com/file/d/17NLrI4FRBXVVXFTkiFWHEn8bkZGr1-yx/view?usp=drivesdk"/>
        <s v="https://drive.google.com/file/d/1cIgg449V7hr7PwJdcH9hBPLNw7NVBI61/view?usp=drivesdk"/>
        <s v="https://drive.google.com/drive/folders/1x4MdjO2kQbaHin0MZOtOv52o2Nc0rj9s "/>
        <s v="https://drive.google.com/file/d/19VB4oC8gH9T2JoGpnp6RBho_vfo-ZthB/view?usp=sharing"/>
        <s v="https://drive.google.com/file/d/1K86AVWNyVATp4KXXM8v8zL54rKLVnO3R/view?usp=sharing"/>
        <s v="https://drive.google.com/file/d/172f0M3H2gpFfR__p6zpeCKTzUdDjy8Bp/view?usp=drivesdk"/>
        <s v="https://drive.google.com/drive/folders/13EBQ6zkg47_cYMeEfaosw1H8pEf7UVeF?usp=sharing"/>
        <s v="https://drive.google.com/drive/folders/11AM3M-pMv6xsy4fEdku3wpgYdWZ-b-S9"/>
        <s v="https://www.youtube.com/watch?v=Y7RSD79zK0M"/>
        <s v="https://drive.google.com/file/d/1Wm6uIxCaBKd1xLMMABx5TWhmf1ceuDef/view?usp=drive_link"/>
        <s v="https://drive.google.com/file/d/1zjqleX_QHQweZRqUCYtwKhGBDTpjIHzs/view?usp=drivesdk"/>
        <s v="https://drive.google.com/file/d/1sTg0GXfA0ou2D4E9TCTn9o4nXdvK1QW9/view?usp=sharing"/>
        <s v="https://youtu.be/p6vnqpID7e8?feature=shared"/>
        <s v="https://drive.google.com/file/d/1iSiR6l-NAhQDC8BDga9qElowr2pmcdmq/view?usp=drivesdk"/>
        <s v="https://drive.google.com/file/d/1umtXJUYRtnAmBG3GAHtW9vh-Klt3ydSg/view?usp=drivesdk"/>
        <s v="https://drive.google.com/file/d/16Anw84sKT-kWKagGdVplXbaZzuZUNtCB/view?usp=drivesdk"/>
        <s v="https://drive.google.com/file/d/1MCBD--uL26st95zUhkgQjZsGVv2OFcCm/view?usp=drivesdk"/>
        <s v="https://drive.google.com/file/d/1jfu9QLcFkUIRToh11Ezjc2rHHgjxXIzl/view?usp=drivesdk"/>
        <s v="https://drive.google.com/file/d/15DvaHVYPeSBauHFW_AUm0GxGrFWrx0UA/view?usp=drivesdk"/>
        <s v="https://drive.google.com/file/d/1TSMxPbSYCE-wGzRrKrkCo5WhXMY4oK6Y/view?usp=drivesdk"/>
        <s v="https://drive.google.com/file/d/1Z0OtvaaPj_hoVvHlUmcOKq1RJZ8us2f0/view?usp=sharing "/>
        <s v="https://drive.google.com/file/d/1mqHsEuBiuAkI9IQqrp9iBb4ZzPvSo2Hw/view?usp=drivesdk"/>
        <s v="https://drive.google.com/file/d/1-E6elHxJDXxCqW0udD7ymA9ux653j06c/view?usp=drivesdk"/>
        <s v="https://drive.google.com/file/d/1n2WAyt9F20OXDGt_kHtZrYIWrFHd46Gv/view?usp=drive_link"/>
        <s v="https://youtu.be/hacGCThujds?si=TyXtnwvGHmLHWeEi"/>
        <s v="https://drive.google.com/drive/folders/1q5MXF6g_jehPTrF_zsdYxpbD_t6As1he?usp=sharing"/>
        <s v="https://drive.google.com/drive/folders/1jF5iXvAak7HvSCd1b7rBtYYGGnJAKMtV?usp=sharing"/>
        <s v="https://youtu.be/s8eTiNsgjME?si=Q4fka42_T56GGDeF"/>
        <s v="https://drive.google.com/drive/folders/12gvXc4u-CJvLa9dRi4J6Dv223OV0Uy_c"/>
        <s v="https://drive.google.com/file/d/1Fk2iDKXorKUI_KKNxIOx6us3Z02nTHO1/view?usp=drivesdk"/>
        <s v="https://drive.google.com/file/d/1Ufyc9tWS1ANuf-f0gjQrhNhNSwyNN7Ih/view?usp=drivesdk"/>
        <s v="https://drive.google.com/drive/u/1/folders/12y91230r5HxHxaki4ppVhWjU1psogudU"/>
        <s v="https://drive.google.com/drive/folders/1gvYo2u1WJg-VnSw1byRSjpOT3TklJbdK?usp=sharing"/>
        <s v="https://drive.google.com/file/d/1BBFQYrvyABa77U-eHoNHLElDztglLySm/view?usp=sharing"/>
        <s v="https://drive.google.com/drive/folders/1BbNrhkBUeXGFB07Zu5rb0FC2-93aesfT?usp=sharing"/>
        <s v="https://drive.google.com/file/d/1IwfRx5q1pQ71fp6NaZXiPECFmywaw67T/view?usp=drivesdk"/>
        <s v="https://drive.google.com/file/d/1ety0eqKXa3XiT4hbU_OfMRCPP9DjozpX/view?usp=sharing"/>
        <s v="https://drive.google.com/file/d/1H1b60SDS_e2nuExReA8tKk_zKU2XFb0P/view?usp=sharing"/>
        <s v="https://drive.google.com/drive/folders/18xJQ-3eECT_D55nBI5qwt1501GH2FG3T"/>
        <s v="https://drive.google.com/drive/folders/1OklC5H6FRFDLospoDAPORQMtrGaZiUSx"/>
        <s v="https://drive.google.com/file/d/17FdJmY2Q_rOwdCw03xhjj_qUQHZs8Ubh/view?usp=drivesdk"/>
        <s v="https://drive.google.com/file/d/1TaOLElal1yMWcoRJCkSbcKTQjb-0XBpq/view?usp=drivesdk"/>
        <s v="https://drive.google.com/drive/folders/1YILji-NEk9EOr82JBqJsQHRVAbvbUghJ"/>
        <s v="https://drive.google.com/file/d/1RQT-PNJMzKqPTQ6YxYdTfSZAVuSsTTcE/view"/>
        <s v="https://drive.google.com/file/d/1r9JITidVHNof3WzYhgjA9Q3Vf5GMZNES/view?usp=sharing"/>
        <s v="https://www.youtube.com/watch?v=_aocPMqz-bA&amp;t=352s"/>
        <s v="https://youtu.be/YU--_bdMJB8?si=2NrVWMbImfOQM6Fu"/>
        <s v="https://drive.google.com/file/d/1YRPk_1GTpiCqHQHPgNtic-hvtdop6C8g/view?usp=drivesdk"/>
        <s v="https://youtu.be/E2hjZFZTX5U"/>
        <s v="https://drive.google.com/file/d/14KQVmfuC8MSj2Rmmu4-PodxAX09NV-2t/view?usp=sharing"/>
        <m/>
      </sharedItems>
    </cacheField>
    <cacheField name="Kategori Pendaftar" numFmtId="0">
      <sharedItems containsBlank="1">
        <s v="Alumni PPG Calon Guru / Prajabatan FKIP UNS"/>
        <s v="Alumni PPG Calon Guru / Prajabatan FKIP UHO"/>
        <s v="Alumni S1 FKIP UNS yang telah lulus PPG Calon Guru/Prajabatan bukan di FKIP UNS"/>
        <s v="Lainnya"/>
        <m/>
      </sharedItems>
    </cacheField>
    <cacheField name="NIM PPG&#10;(dapat dilihat pada web: https://valid.fkip.uns.ac.id)" numFmtId="0">
      <sharedItems containsBlank="1">
        <s v="X942408406"/>
        <s v="X9022084121"/>
        <s v="X942408195"/>
        <s v="X902308613"/>
        <m/>
        <s v="X902308868"/>
        <s v="X902308871"/>
        <s v="X942408242"/>
        <s v="X9023083636"/>
        <s v="X902308362"/>
        <s v="X902308141"/>
        <s v="X942408310"/>
        <s v="X942408364"/>
        <s v="X9023083681"/>
        <s v="X942408172"/>
        <s v="X902308022"/>
        <s v="X9023083600"/>
        <s v="X902308432"/>
        <s v="X902308789"/>
        <s v="X902308627"/>
        <s v="X902308431"/>
        <s v="X942408355"/>
        <s v="X9023083406"/>
        <s v="X942408324"/>
        <s v="X9023083372"/>
        <s v="X942408276"/>
        <s v="X9022082584"/>
        <s v="X9023083785"/>
        <s v="X9023083767"/>
        <s v="X942402465"/>
        <s v="X902308151"/>
        <s v="X942408116"/>
        <s v="X9022082724"/>
        <s v="X942408360"/>
        <s v="X9023083402"/>
        <s v="X942408503"/>
        <s v="X9022083742"/>
        <s v="X942408442"/>
        <s v="X902308232"/>
        <s v="X942408473"/>
        <s v="X942408433"/>
        <s v="X942408006"/>
        <s v="X942408378"/>
        <s v="X942408109"/>
        <s v="X902308315"/>
        <s v="X9022083743"/>
        <s v="X902308400"/>
        <s v="X902308930"/>
        <s v="x942408143"/>
        <s v="X9022082692"/>
        <s v="X9023083808"/>
        <s v="X9022083854"/>
        <s v="X9023083515"/>
        <s v="X942408257"/>
        <s v="X9022084170"/>
        <s v="X902308388"/>
        <s v="X902308518"/>
        <s v="X902308152"/>
        <s v="X902308100"/>
        <s v="X9023083789"/>
      </sharedItems>
    </cacheField>
    <cacheField name="NIM S1">
      <sharedItems containsBlank="1" containsMixedTypes="1" containsNumber="1" containsInteger="1">
        <s v="D0418008"/>
        <s v="-"/>
        <n v="2.50141704E9"/>
        <m/>
        <n v="4.001417039E9"/>
        <n v="1.501070008E9"/>
        <n v="1.202174075E9"/>
        <s v="K4416037"/>
        <s v="3.66"/>
        <s v="K3118009"/>
        <s v="K4419061"/>
        <n v="1.892041011E9"/>
        <n v="1.910301058E9"/>
        <n v="1.601020011E9"/>
        <s v="K4418039"/>
        <s v="K2318059"/>
        <s v="K4217052"/>
        <n v="1.60210402005E11"/>
        <n v="2.3030150077E10"/>
        <s v="A420170009"/>
        <n v="1.888201031E9"/>
        <n v="1.9510009E7"/>
        <s v="K7616051"/>
        <n v="5.171311001E9"/>
        <s v="M0113045"/>
        <n v="8.020190094E9"/>
        <n v="7.101416128E9"/>
        <s v="A710190095"/>
        <s v="D0214289"/>
        <s v="K6414038"/>
        <s v="06061181520096"/>
        <s v="A810190102"/>
        <s v="S1 di UMS"/>
        <s v="K1318043"/>
        <n v="0.0"/>
        <n v="1.9051124E9"/>
        <n v="4.001416025E9"/>
        <s v="18862011A000969"/>
        <s v="K3212026"/>
        <n v="2.1916141E7"/>
        <s v="E02419007"/>
        <s v="A310200151"/>
        <n v="1.8320045E7"/>
        <n v="1.81810201033E11"/>
        <n v="1.7614043E7"/>
        <s v="K4516029"/>
        <s v="K7116200"/>
      </sharedItems>
    </cacheField>
    <cacheField name="Program Studi S1">
      <sharedItems containsBlank="1" containsMixedTypes="1" containsNumber="1" containsInteger="1">
        <s v="PENDIDIKAN JASMANI"/>
        <s v="-"/>
        <s v="Pendidikan Seni Tari "/>
        <m/>
        <s v="PENDIDIKAN IPA"/>
        <s v="S1 Pendidikan Biologi"/>
        <s v="S1 Sistem Informasi"/>
        <s v="Pendidikan Sejarah "/>
        <s v="Pendidikan Biologi"/>
        <s v="Bimbingan dan konseling"/>
        <s v="Pendidikan Sejarah"/>
        <s v="Pendidikan Akuntansi"/>
        <s v="Pendidikan Bahasa dan Sastra Indonesia"/>
        <s v="Akuntansi"/>
        <s v="Pendidikan fisika"/>
        <s v="Pendidikan Bahasa Jawa"/>
        <s v="S1 Tadris Bahasa Inggris"/>
        <s v="Pendidikan Biologi "/>
        <s v="Universitas Slamet Riyadi Surakarta"/>
        <s v="Pendidikan Ekonomi"/>
        <s v="Pendidikan Teknologi Informasi"/>
        <s v="Matematika"/>
        <s v="Teknik Informatika"/>
        <s v="Pendidikan Ekonomi (Akuntansi) "/>
        <s v="Pendidikan Teknik Informatika"/>
        <s v="Pendidikan  kepelatihan olahraga "/>
        <s v="PPKn "/>
        <s v="Pendidikan Jasmani dan Kesehatan"/>
        <s v="Pendidikan Olahraga"/>
        <s v="S1 di UMS"/>
        <s v="Pendidikan Matematika"/>
        <n v="0.0"/>
        <s v="pendidikan jasmani keshatan dan rekreasi"/>
        <s v="S1 Bimbingan dan Konseling"/>
        <s v="Pendidikan Seni Rupa"/>
        <s v="Sastra Inggris"/>
        <s v="Pendidikan Bahasa dan Sastra Indonesia "/>
        <s v="Fisika"/>
        <s v="PENDIDIKAN KIMIA"/>
        <s v="S1 PGSD FKIP UNS"/>
      </sharedItems>
    </cacheField>
    <cacheField name="LPTK PPG">
      <sharedItems containsBlank="1" containsMixedTypes="1" containsNumber="1" containsInteger="1">
        <s v="UNIVERSITAS SEBELAS MARET SURAKARTA"/>
        <s v="-"/>
        <s v="Universitas Sebelas Maret"/>
        <s v="Universitas Sebelas Maret (UNS)"/>
        <m/>
        <s v="Universitas Sebelas Maret "/>
        <s v="Universias Sebelas Maret (UNS)"/>
        <s v="Uns"/>
        <s v="Fakultas Ilmu Pendidikan dan Keguruan Universitas Sebelas Maret"/>
        <s v="Universitas Negeri Makassar"/>
        <s v="UNS "/>
        <s v="Universitas Jember"/>
        <s v="Universitas Negeri Semarang"/>
        <s v="Universitas Sebelas Maret Surakarta (UNS)"/>
        <s v="Universitas Negeri Sebelas Maret"/>
        <s v="Universitas sebelas Maret Surakarta "/>
        <s v="Universitas Muhammadiyah Surakarta "/>
        <s v="Universitas Muhammadiyah Surakarta"/>
        <n v="0.0"/>
        <s v="Universitas PGRI Adi Buana Surabaya"/>
        <s v="Universitas Negeri Gorontalo"/>
        <s v="Universitas Negeri Malang"/>
        <s v="UNIVERSITAS NEGERI SEBELAS MARET (UNS)"/>
        <s v="Universitas Tidar"/>
      </sharedItems>
    </cacheField>
    <cacheField name="NIM PPG">
      <sharedItems containsBlank="1" containsMixedTypes="1" containsNumber="1" containsInteger="1">
        <s v="X942408406"/>
        <s v="-"/>
        <s v="X902308613"/>
        <s v="A3S224349"/>
        <s v="X902308868"/>
        <s v="X942408242"/>
        <s v="A3S224039"/>
        <s v="X9023083636"/>
        <s v="X902308362"/>
        <s v="X942408364"/>
        <s v="X9023083681"/>
        <s v="A3S223077"/>
        <s v="A3S224310"/>
        <s v="X942408172"/>
        <s v="X9023083600"/>
        <n v="2.40211920199E11"/>
        <n v="2.201022236E9"/>
        <s v="X902308431"/>
        <s v="X9023083406"/>
        <s v="A3S224280"/>
        <s v="A3S224286"/>
        <s v="A3S223076"/>
        <s v="A3S223069"/>
        <s v="X9022084096"/>
        <s v="X942408276"/>
        <s v="x942408116"/>
        <s v="A3S224207"/>
        <s v="A3S224276"/>
        <s v="X942408360"/>
        <s v="X942408503"/>
        <s v="A922240049"/>
        <s v="X942408006"/>
        <m/>
        <s v="PPG di UNS"/>
        <s v="A941230031"/>
        <n v="0.0"/>
        <s v="X942408143"/>
        <s v="X9022082692"/>
        <s v="A3S224355"/>
        <s v="A3S224248"/>
        <s v="A3S224250"/>
        <s v="AS2521443"/>
        <s v="A3S224234"/>
        <s v="A3S224325 "/>
        <n v="2.450700083E9"/>
        <s v="A3S223182"/>
        <s v="X9023083767"/>
        <s v="X9023083515"/>
        <n v="1.21172410091E11"/>
        <n v="1.21172410111E11"/>
        <s v="X942408257"/>
        <n v="2.33129711676E11"/>
        <s v="X902308152"/>
        <s v="A3S224237"/>
        <n v="2.470307567E9"/>
      </sharedItems>
    </cacheField>
    <cacheField name="Upload Scan Sertifikat Pendidik (serdik)" numFmtId="0">
      <sharedItems containsBlank="1">
        <m/>
        <s v="https://drive.google.com/open?id=1-YUnvwdNiYug1XyXP1s5OcnNyLH_tN69"/>
        <s v="https://drive.google.com/open?id=1ArTrUXGa5_LwDpsgC7-ab0pmArpupKhp"/>
        <s v="https://drive.google.com/open?id=1JuEq4djty-y8fLohK7DzB44mwckUib5b"/>
        <s v="https://drive.google.com/open?id=1bDNTo08NetCUDF1bVK6Max1FqTNZPTWV"/>
        <s v="https://drive.google.com/open?id=1qSuSI31VSIYpGGFUa8mK2rYS5II8WDLd"/>
        <s v="https://drive.google.com/open?id=1bljDvqw0hCR-1KQfSqBqY7fgf1IBh9mz"/>
        <s v="https://drive.google.com/open?id=1Aejyf_GILUbTtV5qiNfaM6kisjoRwbMV"/>
        <s v="https://drive.google.com/open?id=19Zu3BViff_1_VoM_S3prAdYok3iTGWuE"/>
        <s v="https://drive.google.com/open?id=1T8fL4JQu_dZTEF-gygT-D1RFT_vRfKlB"/>
        <s v="https://drive.google.com/open?id=1lXk4bE7aW9KN7NbwtBqFemMU4a7AezXR"/>
        <s v="https://drive.google.com/open?id=1aqkog-PXiYotxzfxmceQCfuMHI427cBp"/>
        <s v="https://drive.google.com/open?id=1HF3ICibnE4CSQlskdawFSKMvSxyCwRxK"/>
        <s v="https://drive.google.com/open?id=105NaJyJ8n3Hpra3k3TXydc_dL3Jd0sl5"/>
        <s v="https://drive.google.com/open?id=1FYmGInbC4EY_QQZME-rwgBsRPczS9zfe"/>
        <s v="https://drive.google.com/open?id=1q3GU7OsjVFtPwbqyy_aj5GpohsFF_3bw"/>
        <s v="https://drive.google.com/open?id=1DkBa6amopGHRrlDn_4AkPPFgIwhhSafj"/>
        <s v="https://drive.google.com/open?id=1yiLLIgF2KMyVwTOkhP0MajWm-p4tQ4n4"/>
        <s v="https://drive.google.com/open?id=1711mTM3smZ4rITMESesub-4mmPJ0UDcw"/>
        <s v="https://drive.google.com/open?id=1FteXGy1njf_MSQW8lISmToYwMYKO1xro"/>
        <s v="https://drive.google.com/open?id=1osLL5d1pBdGxz1ZVasyTcF7HZI61Y9Kf"/>
        <s v="https://drive.google.com/open?id=1zXWnoCqXR5XITAp2qAPn0ONGjbWx-S4H"/>
        <s v="https://drive.google.com/open?id=113ibsSp7KQHgHwNRfFKp_PkZCWJRH8i-"/>
        <s v="https://drive.google.com/open?id=116okbm8MGbF0d7thx609Gr72ySX_6pOB"/>
        <s v="https://drive.google.com/open?id=1MGegiW77lhLdCHKPCybauY-FXUKI2rDs"/>
        <s v="https://drive.google.com/open?id=1Zypl-X1KCQMVY7FSa3h0krvuioNzNP71"/>
        <s v="https://drive.google.com/open?id=1TyHTEJgn2IGyLDTEmzt_EBAEENFKub6d"/>
        <s v="https://drive.google.com/open?id=1bFUJ2Qt4v56uhI32hQ2Cv95ucKLoP4MF"/>
        <s v="https://drive.google.com/open?id=1y6TdiYDHlTqqV5zCA5fhfaZCRJu-iV02"/>
        <s v="https://drive.google.com/open?id=1-Wn5XUd-SaWXtzXivToimWAhKmVjOIve"/>
        <s v="https://drive.google.com/open?id=1e1BnOFWjJWkpXp0QWDjDOrERBYvo68Xx"/>
        <s v="https://drive.google.com/open?id=1w5UG_iPw5oVqoNTW21govm8wMFJiDQvF"/>
        <s v="https://drive.google.com/open?id=1YSxUo6otlpnmQDm2V2_VyILCo96nBpQ1"/>
        <s v="https://drive.google.com/open?id=1N6zbpCJ1tfnv8iIDpu8YUaVtAb3NFRNv"/>
        <s v="https://drive.google.com/open?id=1pl-X1oB5tn088a2znovqUykPSku-87ra"/>
        <s v="https://drive.google.com/open?id=1Sa3m1E248jbKo6mNiEQ--47DLK3YRc9s"/>
        <s v="https://drive.google.com/open?id=1o9nod8kmC_gokMKK38rh2YfoxHydqneD"/>
        <s v="https://drive.google.com/open?id=1wnAGa_ZOP4sX5bhQJCKGTnTIC5pjRHH6"/>
        <s v="https://drive.google.com/open?id=1vW5UTUaNOhJUK3zusOjr2AE5BtCVDS5H"/>
        <s v="https://drive.google.com/open?id=1_eKchie8AK4JPg7bK13FqM0WGnXoz7Cd"/>
        <s v="https://drive.google.com/open?id=19eR_aYZGb-0a2r-q_mX5F2e_byiiyeRc"/>
        <s v="https://drive.google.com/open?id=1li1CUEKu0XCU_tmEhaP6CafX3qmhIcTC"/>
        <s v="https://drive.google.com/open?id=13efrdOnk2YAnhyQB6NFga0E7riHni7kP"/>
        <s v="https://drive.google.com/open?id=1bQ2oUUyz-zVSwvLfgbV2C4EUHFznG4lN"/>
        <s v="https://drive.google.com/open?id=1FuEIuashz6ALfptPp9CGgDxXt8_yKzSU"/>
        <s v="https://drive.google.com/open?id=1jRcrwMfTcopD0C_6SPZkfaTiQHZhLkNF"/>
        <s v="https://drive.google.com/open?id=13P6r4zQNdHQhEhzdp5sXcgPjBG4UxDx4"/>
        <s v="https://drive.google.com/open?id=1G7JeTDOXhNKnbYw9oBGqiYFj6TZ6Azby"/>
        <s v="https://drive.google.com/open?id=12RM0lxmy7p964fkSebYx6A8aM2ovSq5L"/>
        <s v="https://drive.google.com/open?id=1aZKVu9Rru1OdgFnWpc8OVCpjt16nxE_b"/>
        <s v="https://drive.google.com/open?id=1db97Hf6tsA3nNb8sTNo7QUalo4U5BhQg"/>
        <s v="https://drive.google.com/open?id=1N5NFhx2jM62H_yO-Ykp0V4CSgnLC6Dea"/>
        <s v="https://drive.google.com/open?id=1RTN4mAERHAcq58SpAPuIjbfR-L_WYOUA"/>
        <s v="https://drive.google.com/open?id=10wpPpWUpfiijLrJDVPy5z3WmnT4r58x1"/>
        <s v="https://drive.google.com/open?id=1hR5ji0xooSwVqpUU3y0A1mqqXOUK43An"/>
        <s v="https://drive.google.com/open?id=1KqQqtWMwtcAdCTMzKdmYxgBwUEYjNKEm"/>
        <s v="https://drive.google.com/open?id=1UBd0WIAKYjvMwStxghV0L83GR7Mrz1Jo"/>
        <s v="https://drive.google.com/open?id=1sLL6XZkL0ktgl7fN5JZX9kb8BzpiTTkN"/>
        <s v="https://drive.google.com/open?id=1uAmBjxEuNzTxY2jczSJIhVC3UOy-Q789"/>
        <s v="https://drive.google.com/open?id=1uxpIjLCj4hCUQ9jmqUlozThXy9-ey5jX"/>
        <s v="https://drive.google.com/open?id=12CcefKKtmukTuQohEcxYNxXehY5d7v-n"/>
        <s v="https://drive.google.com/open?id=1H8DJtB-4-coeIgzOA1w8WR0R1W5sgzkK"/>
        <s v="https://drive.google.com/open?id=1clQt07YYNZaakzi5VJWcsmUiqsYJe2nr"/>
        <s v="https://drive.google.com/open?id=1A6si8rghPSrxwUZuTEOSbhu1zyKJezWM"/>
        <s v="https://drive.google.com/open?id=14t-X2PJ0VOz1A4g7P67HoD-MaarDNsc9"/>
        <s v="https://drive.google.com/open?id=1xzXrgHy0HdPQgmM8QN5DogdaH8l96dNI"/>
        <s v="https://drive.google.com/open?id=1W_uGv6WL8v3Kkoxc7iIV-SP5vN8tyjyA"/>
        <s v="https://drive.google.com/open?id=1s1noQshHV2IknPd7Vd6ta41HxEXXbfr2"/>
        <s v="https://drive.google.com/open?id=1mJdWUCeuEe0iKRyrN5QgFC_irfLKPMA3"/>
        <s v="https://drive.google.com/open?id=1d4RviYiyN_TRkmaDv1hYUjnlOS9igtHu"/>
        <s v="https://drive.google.com/open?id=13V3059FOOduRJ53LVmxxKPEQPGSmn6je"/>
        <s v="https://drive.google.com/open?id=1r9DxO4KR12KclEKsdfjWmAiruYBt71bj"/>
        <s v="https://drive.google.com/open?id=1POiHSH4J9zDSHQoLnIiTZEEZesCGlMLz"/>
        <s v="https://drive.google.com/open?id=10biL2L-Yv12WNuw04xgno9JseVyuPRZh"/>
        <s v="https://drive.google.com/open?id=1v0OvSZeu0kAF5sP-dxp4DA3fI3GPwDUf"/>
        <s v="https://drive.google.com/open?id=1Ly0YqjhuygZ9yiU9FdUIthfmXv-qtJiQ"/>
        <s v="https://drive.google.com/open?id=1lPLcJeflAkOP4t5DkRolkpH8Hh6VBEyL"/>
        <s v="https://drive.google.com/open?id=1BNPA1Mbkwluk1NfmGRRYFVZPuP-F0Fmx"/>
        <s v="https://drive.google.com/open?id=10RytqU2OVz93cUkyObN9Lrv3Oip_nEsg"/>
        <s v="https://drive.google.com/open?id=1ob8mAKiXrDZQtJQapkC2gNfYon89bQnI"/>
        <s v="https://drive.google.com/open?id=1Tero7wxuYRFJD15Nwjf-mpzKUdENWFSi"/>
        <s v="https://drive.google.com/open?id=1_ll002soiNKTF6O2F27UQ_I69o44QfBf"/>
        <s v="https://drive.google.com/open?id=1EB8Kp8OO2zPVtEV1dJpG4G1jCKeuSklr"/>
        <s v="https://drive.google.com/open?id=19fbpFT8OlpIPyOGAInadGmE2ynkwlMLY"/>
        <s v="https://drive.google.com/open?id=1xmKdsFkyKUkzWAbg-R1yzR_XaY1XjXvI"/>
        <s v="https://drive.google.com/open?id=1i_sH4jbEtFWxETz7lmRSkOaoSntBuCCz"/>
        <s v="https://drive.google.com/open?id=1pM1_X0C_jQsuTqGqi2D3eSXNsP4xNaJw"/>
        <s v="https://drive.google.com/open?id=1iLdDNZ6ANl2FKkpWWiXnOy-Tl9n4nbB8"/>
        <s v="https://drive.google.com/open?id=16EKHoQ5475nyv19gcDcfnP-16ybQtLT0"/>
        <s v="https://drive.google.com/open?id=1Cyurd1ZvCSFr1U4lskqFG3frCKt99MqG"/>
        <s v="https://drive.google.com/open?id=1TgwuwuWlYxW5jVg63xTjNp4EjRcVIYLZ"/>
        <s v="https://drive.google.com/open?id=1Xd9_Yr4qRCbs8Z0iCMh80sXdD-fdy-uo"/>
        <s v="https://drive.google.com/open?id=1VSSFaaetKiXfd6oW5roZUcV2Alz1TWT6"/>
        <s v="https://drive.google.com/open?id=1ohGzY9pciuHjhKeMf0vQ2feF5sdfgp6x"/>
        <s v="https://drive.google.com/open?id=1J8OAdMjhPRtHAMg7vDIHtyEv0aiqdH_h"/>
        <s v="https://drive.google.com/open?id=1iZZIF5e2BkfyUFnJGT3B92ar2kDNglwL"/>
        <s v="https://drive.google.com/open?id=1lrU4ShOquWmqIzS5iBgCbvHXEUf9E1df"/>
        <s v="https://drive.google.com/open?id=1G82mubitOC75LkF0OYYL2raNHg4eLDtC"/>
        <s v="https://drive.google.com/open?id=1fae4WmLqP1XdYuAlsYtFW5_mWBLKSA44"/>
        <s v="https://drive.google.com/open?id=1-w7scFcE8qym4j-hQPmOCVhxry3kEsLd"/>
        <s v="https://drive.google.com/open?id=1btBLZWSKfK9MPITXSmTW6gOHMCx4aD-r"/>
        <s v="https://drive.google.com/open?id=1Orzqacb8lKen18Nrq3LaKEvCREiBJ0rc"/>
        <s v="https://drive.google.com/open?id=1JavX3mO9GfTMU-C6KqrRXGfiwjoDNqKz"/>
        <s v="https://drive.google.com/open?id=1-qpeRkS0Q-TPeZcROOw6NtIbIoUD1a0B"/>
        <s v="https://drive.google.com/open?id=1df6urVhm4uFc1l_rndZHRqK7hzVxKsai"/>
        <s v="https://drive.google.com/open?id=15nBEECaPsPF7RGV7lfrtYc6ezQYG9vZ1"/>
        <s v="https://drive.google.com/open?id=1y1yaJwBBFrz2NGUrkwC_hsCp89B64vEP"/>
        <s v="https://drive.google.com/open?id=1dpbml_nZxhR3E34nBD3P7nFXK_L6iFI_"/>
      </sharedItems>
    </cacheField>
    <cacheField name="Column 27" numFmtId="0">
      <sharedItems containsString="0" containsBlank="1">
        <m/>
      </sharedItems>
    </cacheField>
    <cacheField name="Column 28" numFmtId="0">
      <sharedItems containsString="0" containsBlank="1">
        <m/>
      </sharedItems>
    </cacheField>
    <cacheField name="Column 29" numFmtId="0">
      <sharedItems containsString="0" containsBlank="1">
        <m/>
      </sharedItems>
    </cacheField>
    <cacheField name="Column 30" numFmtId="0">
      <sharedItems containsString="0" containsBlank="1">
        <m/>
      </sharedItems>
    </cacheField>
    <cacheField name="Column 31" numFmtId="0">
      <sharedItems containsString="0" containsBlank="1">
        <m/>
      </sharedItems>
    </cacheField>
    <cacheField name="Column 32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 Table 5" cacheId="0" dataCaption="" rowGrandTotals="0" compact="0" compactData="0">
  <location ref="A1:K90" firstHeaderRow="0" firstDataRow="10" firstDataCol="0"/>
  <pivotFields>
    <pivotField name="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Email 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Nama Lengkap (disertai gelar)" axis="axisRow" compact="0" outline="0" multipleItemSelectionAllowed="1" showAll="0" sortType="ascending" defaultSubtotal="0">
      <items>
        <item x="49"/>
        <item x="85"/>
        <item x="66"/>
        <item x="55"/>
        <item x="33"/>
        <item x="18"/>
        <item x="81"/>
        <item x="47"/>
        <item x="27"/>
        <item x="11"/>
        <item x="40"/>
        <item x="69"/>
        <item x="60"/>
        <item x="42"/>
        <item x="78"/>
        <item x="52"/>
        <item x="76"/>
        <item x="70"/>
        <item x="79"/>
        <item x="61"/>
        <item x="17"/>
        <item x="43"/>
        <item x="83"/>
        <item x="59"/>
        <item x="23"/>
        <item x="32"/>
        <item x="10"/>
        <item x="2"/>
        <item x="67"/>
        <item x="25"/>
        <item x="20"/>
        <item x="7"/>
        <item x="65"/>
        <item x="19"/>
        <item x="35"/>
        <item x="72"/>
        <item x="15"/>
        <item x="9"/>
        <item x="41"/>
        <item x="71"/>
        <item x="50"/>
        <item x="56"/>
        <item x="12"/>
        <item x="64"/>
        <item x="28"/>
        <item x="63"/>
        <item x="75"/>
        <item x="3"/>
        <item x="22"/>
        <item x="14"/>
        <item x="24"/>
        <item x="34"/>
        <item x="36"/>
        <item x="26"/>
        <item x="88"/>
        <item x="46"/>
        <item x="13"/>
        <item x="77"/>
        <item x="1"/>
        <item x="58"/>
        <item x="45"/>
        <item x="0"/>
        <item x="21"/>
        <item x="29"/>
        <item x="57"/>
        <item x="86"/>
        <item x="84"/>
        <item x="31"/>
        <item x="38"/>
        <item x="80"/>
        <item x="73"/>
        <item x="54"/>
        <item x="8"/>
        <item x="4"/>
        <item x="51"/>
        <item x="37"/>
        <item x="30"/>
        <item x="5"/>
        <item x="6"/>
        <item x="44"/>
        <item x="87"/>
        <item x="53"/>
        <item x="82"/>
        <item x="62"/>
        <item x="16"/>
        <item x="74"/>
        <item x="68"/>
        <item x="39"/>
        <item x="48"/>
      </items>
    </pivotField>
    <pivotField name="PTK ID / SIMPKB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ame="Nomor WA" axis="axisRow" compact="0" outline="0" multipleItemSelectionAllowed="1" showAll="0" sortType="ascending">
      <items>
        <item x="12"/>
        <item x="66"/>
        <item x="69"/>
        <item x="9"/>
        <item x="84"/>
        <item x="81"/>
        <item x="48"/>
        <item x="45"/>
        <item x="34"/>
        <item x="32"/>
        <item x="57"/>
        <item x="82"/>
        <item x="86"/>
        <item x="19"/>
        <item x="83"/>
        <item x="43"/>
        <item x="87"/>
        <item x="77"/>
        <item x="41"/>
        <item x="78"/>
        <item x="1"/>
        <item x="5"/>
        <item x="14"/>
        <item x="22"/>
        <item x="65"/>
        <item x="21"/>
        <item x="71"/>
        <item x="79"/>
        <item x="16"/>
        <item x="52"/>
        <item x="23"/>
        <item x="64"/>
        <item x="51"/>
        <item x="25"/>
        <item x="55"/>
        <item x="80"/>
        <item x="15"/>
        <item x="30"/>
        <item x="42"/>
        <item x="44"/>
        <item x="61"/>
        <item x="13"/>
        <item x="8"/>
        <item x="73"/>
        <item x="29"/>
        <item x="31"/>
        <item x="85"/>
        <item x="4"/>
        <item x="28"/>
        <item x="74"/>
        <item x="68"/>
        <item x="76"/>
        <item x="67"/>
        <item x="36"/>
        <item x="20"/>
        <item x="0"/>
        <item x="37"/>
        <item x="49"/>
        <item x="18"/>
        <item x="17"/>
        <item x="63"/>
        <item x="46"/>
        <item x="38"/>
        <item x="39"/>
        <item x="35"/>
        <item x="10"/>
        <item x="62"/>
        <item x="50"/>
        <item x="2"/>
        <item x="72"/>
        <item x="24"/>
        <item x="54"/>
        <item x="33"/>
        <item x="40"/>
        <item x="3"/>
        <item x="56"/>
        <item x="75"/>
        <item x="59"/>
        <item x="27"/>
        <item x="70"/>
        <item x="53"/>
        <item x="6"/>
        <item x="58"/>
        <item x="7"/>
        <item x="60"/>
        <item x="47"/>
        <item x="26"/>
        <item x="11"/>
        <item t="default"/>
      </items>
    </pivotField>
    <pivotField name="Tanggal Lahir" axis="axisRow" compact="0" numFmtId="14" outline="0" multipleItemSelectionAllowed="1" showAll="0" sortType="ascending" defaultSubtotal="0">
      <items>
        <item x="74"/>
        <item x="79"/>
        <item x="68"/>
        <item x="62"/>
        <item x="78"/>
        <item x="8"/>
        <item x="47"/>
        <item x="17"/>
        <item x="70"/>
        <item x="4"/>
        <item x="38"/>
        <item x="36"/>
        <item x="29"/>
        <item x="15"/>
        <item x="49"/>
        <item x="24"/>
        <item x="6"/>
        <item x="66"/>
        <item x="54"/>
        <item x="10"/>
        <item x="46"/>
        <item x="72"/>
        <item x="9"/>
        <item x="43"/>
        <item x="34"/>
        <item x="51"/>
        <item x="56"/>
        <item x="25"/>
        <item x="23"/>
        <item x="59"/>
        <item x="3"/>
        <item x="5"/>
        <item x="7"/>
        <item x="22"/>
        <item x="1"/>
        <item x="37"/>
        <item x="18"/>
        <item x="75"/>
        <item x="65"/>
        <item x="76"/>
        <item x="35"/>
        <item x="67"/>
        <item x="19"/>
        <item x="64"/>
        <item x="32"/>
        <item x="58"/>
        <item x="20"/>
        <item x="73"/>
        <item x="21"/>
        <item x="55"/>
        <item x="12"/>
        <item x="63"/>
        <item x="60"/>
        <item x="40"/>
        <item x="85"/>
        <item x="48"/>
        <item x="77"/>
        <item x="44"/>
        <item x="11"/>
        <item x="33"/>
        <item x="0"/>
        <item x="52"/>
        <item x="13"/>
        <item x="31"/>
        <item x="45"/>
        <item x="27"/>
        <item x="61"/>
        <item x="57"/>
        <item x="53"/>
        <item x="83"/>
        <item x="50"/>
        <item x="16"/>
        <item x="71"/>
        <item x="84"/>
        <item x="82"/>
        <item x="28"/>
        <item x="39"/>
        <item x="42"/>
        <item x="41"/>
        <item x="30"/>
        <item x="14"/>
        <item x="69"/>
        <item x="80"/>
        <item x="2"/>
        <item x="26"/>
        <item x="81"/>
      </items>
    </pivotField>
    <pivotField name="Program Studi S-1/D-IV" axis="axisRow" compact="0" outline="0" multipleItemSelectionAllowed="1" showAll="0" sortType="ascending" defaultSubtotal="0">
      <items>
        <item x="15"/>
        <item x="10"/>
        <item x="41"/>
        <item x="58"/>
        <item x="28"/>
        <item x="12"/>
        <item x="2"/>
        <item x="14"/>
        <item x="31"/>
        <item x="57"/>
        <item x="18"/>
        <item x="1"/>
        <item x="20"/>
        <item x="24"/>
        <item x="32"/>
        <item x="56"/>
        <item x="17"/>
        <item x="26"/>
        <item x="55"/>
        <item x="21"/>
        <item x="49"/>
        <item x="0"/>
        <item x="40"/>
        <item x="51"/>
        <item x="53"/>
        <item x="4"/>
        <item x="35"/>
        <item x="29"/>
        <item x="8"/>
        <item x="46"/>
        <item x="44"/>
        <item x="34"/>
        <item x="37"/>
        <item x="9"/>
        <item x="3"/>
        <item x="42"/>
        <item x="25"/>
        <item x="50"/>
        <item x="16"/>
        <item x="39"/>
        <item x="36"/>
        <item x="48"/>
        <item x="60"/>
        <item x="23"/>
        <item x="11"/>
        <item x="59"/>
        <item x="13"/>
        <item x="6"/>
        <item x="5"/>
        <item x="52"/>
        <item x="27"/>
        <item x="54"/>
        <item x="7"/>
        <item x="19"/>
        <item x="47"/>
        <item x="45"/>
        <item x="43"/>
        <item x="38"/>
        <item x="33"/>
        <item x="22"/>
        <item x="30"/>
      </items>
    </pivotField>
    <pivotField name="Asal Universitas S-1/D-I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Bidang Studi PPG (sesuai yg tertulis di Serdik)" axis="axisRow" compact="0" outline="0" multipleItemSelectionAllowed="1" showAll="0" sortType="ascending" defaultSubtotal="0">
      <items>
        <item x="9"/>
        <item x="2"/>
        <item x="12"/>
        <item x="11"/>
        <item x="8"/>
        <item x="1"/>
        <item x="14"/>
        <item x="16"/>
        <item x="15"/>
        <item x="4"/>
        <item x="5"/>
        <item x="17"/>
        <item x="6"/>
        <item x="10"/>
        <item x="0"/>
        <item x="13"/>
        <item x="7"/>
        <item x="3"/>
      </items>
    </pivotField>
    <pivotField name="Angkatan PPG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ahun Lulus PPG&#10;(sesuai dengan tahun penerbitan Sertifikat Pendidik)" compact="0" outline="0" multipleItemSelectionAllowed="1" showAll="0">
      <items>
        <item x="0"/>
        <item x="1"/>
        <item x="2"/>
        <item t="default"/>
      </items>
    </pivotField>
    <pivotField name="IPK saat S1" axis="axisRow" compact="0" outline="0" multipleItemSelectionAllowed="1" showAll="0" sortType="ascending" defaultSubtotal="0">
      <items>
        <item x="55"/>
        <item x="30"/>
        <item x="8"/>
        <item x="38"/>
        <item x="43"/>
        <item x="11"/>
        <item x="14"/>
        <item x="23"/>
        <item x="34"/>
        <item x="52"/>
        <item x="35"/>
        <item x="42"/>
        <item x="40"/>
        <item x="61"/>
        <item x="49"/>
        <item x="7"/>
        <item x="31"/>
        <item x="56"/>
        <item x="57"/>
        <item x="3"/>
        <item x="46"/>
        <item x="50"/>
        <item x="4"/>
        <item x="6"/>
        <item x="15"/>
        <item x="39"/>
        <item x="48"/>
        <item x="16"/>
        <item x="44"/>
        <item x="53"/>
        <item x="5"/>
        <item x="27"/>
        <item x="1"/>
        <item x="54"/>
        <item x="18"/>
        <item x="37"/>
        <item x="0"/>
        <item x="26"/>
        <item x="25"/>
        <item x="47"/>
        <item x="20"/>
        <item x="13"/>
        <item x="51"/>
        <item x="10"/>
        <item x="36"/>
        <item x="12"/>
        <item x="32"/>
        <item x="19"/>
        <item x="9"/>
        <item x="33"/>
        <item x="21"/>
        <item x="60"/>
        <item x="22"/>
        <item x="58"/>
        <item x="2"/>
        <item x="24"/>
        <item x="17"/>
        <item x="59"/>
        <item x="41"/>
        <item x="29"/>
        <item x="28"/>
        <item x="45"/>
      </items>
    </pivotField>
    <pivotField name="IPK saat PPG" axis="axisRow" compact="0" outline="0" multipleItemSelectionAllowed="1" showAll="0" sortType="ascending" defaultSubtotal="0">
      <items>
        <item x="29"/>
        <item x="7"/>
        <item x="10"/>
        <item x="24"/>
        <item x="23"/>
        <item x="28"/>
        <item x="25"/>
        <item x="16"/>
        <item x="20"/>
        <item x="13"/>
        <item x="27"/>
        <item x="30"/>
        <item x="12"/>
        <item x="31"/>
        <item x="22"/>
        <item x="34"/>
        <item x="26"/>
        <item x="21"/>
        <item x="8"/>
        <item x="15"/>
        <item x="2"/>
        <item x="17"/>
        <item x="0"/>
        <item x="32"/>
        <item x="18"/>
        <item x="14"/>
        <item x="19"/>
        <item x="1"/>
        <item x="9"/>
        <item x="11"/>
        <item x="6"/>
        <item x="4"/>
        <item x="5"/>
        <item x="3"/>
        <item x="33"/>
      </items>
    </pivotField>
    <pivotField name="Domisili Anda saat ini? (Contoh : Kota Surakarta, Jawa Tengah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Berkedudukan sebagai calon PNS, PNS, PPPK, PPPK Paruh Waktu, prajurit Tentara Nasional Indonesia, atau anggota Kepolisian Negara Republik Indonesia;" compact="0" outline="0" multipleItemSelectionAllowed="1" showAll="0">
      <items>
        <item x="0"/>
        <item x="1"/>
        <item t="default"/>
      </items>
    </pivotField>
    <pivotField name="Jabatan dan Lokasi TPP yang dilamar" axis="axisRow" compact="0" outline="0" multipleItemSelectionAllowed="1" showAll="0" sortType="ascending" defaultSubtotal="0">
      <items>
        <item x="2"/>
        <item x="8"/>
        <item x="7"/>
        <item x="1"/>
        <item x="6"/>
        <item x="5"/>
        <item x="9"/>
        <item x="0"/>
        <item x="3"/>
        <item x="4"/>
      </items>
    </pivotField>
    <pivotField name="Pilihan Lokasi Sekolah Nasional Terintegrasi" axis="axisRow" compact="0" outline="0" multipleItemSelectionAllowed="1" showAll="0" sortType="ascending" defaultSubtotal="0">
      <items>
        <item x="1"/>
        <item x="0"/>
      </items>
    </pivotField>
    <pivotField name="Sertifikat Pelatihan Peningkatan Komptenesi (5 tahun terakhir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Video Microteaching" axis="axisRow" compact="0" outline="0" multipleItemSelectionAllowed="1" showAll="0" sortType="ascending" defaultSubtotal="0">
      <items>
        <item x="80"/>
        <item x="75"/>
        <item x="77"/>
        <item x="87"/>
        <item x="11"/>
        <item x="54"/>
        <item x="57"/>
        <item x="9"/>
        <item x="41"/>
        <item x="10"/>
        <item x="38"/>
        <item x="20"/>
        <item x="26"/>
        <item x="68"/>
        <item x="76"/>
        <item x="35"/>
        <item x="19"/>
        <item x="65"/>
        <item x="14"/>
        <item x="63"/>
        <item x="61"/>
        <item x="50"/>
        <item x="64"/>
        <item x="13"/>
        <item x="24"/>
        <item x="22"/>
        <item x="62"/>
        <item x="21"/>
        <item x="71"/>
        <item x="1"/>
        <item x="69"/>
        <item x="7"/>
        <item x="40"/>
        <item x="2"/>
        <item x="73"/>
        <item x="52"/>
        <item x="28"/>
        <item x="18"/>
        <item x="88"/>
        <item x="66"/>
        <item x="6"/>
        <item x="32"/>
        <item x="4"/>
        <item x="42"/>
        <item x="8"/>
        <item x="3"/>
        <item x="36"/>
        <item x="29"/>
        <item x="34"/>
        <item x="5"/>
        <item x="25"/>
        <item x="49"/>
        <item x="74"/>
        <item x="84"/>
        <item x="46"/>
        <item x="44"/>
        <item x="31"/>
        <item x="86"/>
        <item x="82"/>
        <item x="83"/>
        <item x="23"/>
        <item x="85"/>
        <item x="15"/>
        <item x="27"/>
        <item x="47"/>
        <item x="70"/>
        <item x="39"/>
        <item x="0"/>
        <item x="37"/>
        <item x="45"/>
        <item x="30"/>
        <item x="56"/>
        <item x="81"/>
        <item x="72"/>
        <item x="55"/>
        <item x="60"/>
        <item x="48"/>
        <item x="43"/>
        <item x="78"/>
        <item x="53"/>
        <item x="58"/>
        <item x="79"/>
        <item x="17"/>
        <item x="33"/>
        <item x="16"/>
        <item x="12"/>
        <item x="51"/>
        <item x="67"/>
        <item x="59"/>
      </items>
    </pivotField>
    <pivotField name="Kategori Pendaftar" compact="0" outline="0" multipleItemSelectionAllowed="1" showAll="0">
      <items>
        <item x="0"/>
        <item x="1"/>
        <item x="2"/>
        <item x="3"/>
        <item t="default"/>
      </items>
    </pivotField>
    <pivotField name="NIM PPG&#10;(dapat dilihat pada web: https://valid.fkip.uns.ac.i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NIM S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Program Studi S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LPTK P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NIM P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</pivotFields>
  <rowFields>
    <field x="16"/>
    <field x="15"/>
    <field x="2"/>
    <field x="5"/>
    <field x="6"/>
    <field x="11"/>
    <field x="8"/>
    <field x="12"/>
    <field x="18"/>
    <field x="4"/>
  </rowFields>
</pivotTableDefinition>
</file>

<file path=xl/pivotTables/pivotTable2.xml><?xml version="1.0" encoding="utf-8"?>
<pivotTableDefinition xmlns="http://schemas.openxmlformats.org/spreadsheetml/2006/main" name="Rekap Tahap 2" cacheId="1" dataCaption="" compact="0" compactData="0">
  <location ref="A3:D10" firstHeaderRow="0" firstDataRow="1" firstDataCol="1" rowPageCount="1" colPageCount="1"/>
  <pivotFields>
    <pivotField name="Timestamp" axis="axisPag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t="default"/>
      </items>
    </pivotField>
    <pivotField name="Email Addres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t="default"/>
      </items>
    </pivotField>
    <pivotField name="Nama Lengkap (disertai gelar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t="default"/>
      </items>
    </pivotField>
    <pivotField name="PTK ID / SIMPKB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Nomor W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t="default"/>
      </items>
    </pivotField>
    <pivotField name="Tanggal Lahir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Program Studi S-1/D-I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name="Asal Universitas S-1/D-I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Bidang Studi PPG (sesuai yg tertulis di Serdik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Angkatan PPG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ahun Lulus PPG&#10;(sesuai dengan tahun penerbitan Sertifikat Pendidik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IPK saat S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IPK saat P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Domisili Anda saat ini? (Contoh : Kota Surakarta, Jawa Tengah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Berkedudukan sebagai calon PNS, PNS, PPPK, PPPK Paruh Waktu, prajurit Tentara Nasional Indonesia, atau anggota Kepolisian Negara Republik Indonesia;" compact="0" outline="0" multipleItemSelectionAllowed="1" showAll="0">
      <items>
        <item x="0"/>
        <item x="1"/>
        <item t="default"/>
      </items>
    </pivotField>
    <pivotField name="Jabatan dan Lokasi TPP yang dilamar" axis="axisRow" compact="0" outline="0" multipleItemSelectionAllowed="1" showAll="0" sortType="ascending">
      <items>
        <item x="13"/>
        <item x="18"/>
        <item x="19"/>
        <item x="15"/>
        <item x="17"/>
        <item x="10"/>
        <item x="16"/>
        <item x="12"/>
        <item x="11"/>
        <item x="21"/>
        <item x="20"/>
        <item x="14"/>
        <item x="2"/>
        <item x="8"/>
        <item x="7"/>
        <item x="1"/>
        <item x="6"/>
        <item x="5"/>
        <item x="9"/>
        <item x="0"/>
        <item x="3"/>
        <item x="4"/>
        <item t="default"/>
      </items>
    </pivotField>
    <pivotField name="Pilihan Lokasi Sekolah Nasional Terintegrasi" compact="0" outline="0" multipleItemSelectionAllowed="1" showAll="0">
      <items>
        <item x="0"/>
        <item x="1"/>
        <item x="2"/>
        <item t="default"/>
      </items>
    </pivotField>
    <pivotField name="Sertifikat Pelatihan Peningkatan Komptenesi (5 tahun terakhir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t="default"/>
      </items>
    </pivotField>
    <pivotField name="Video Microteach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t="default"/>
      </items>
    </pivotField>
    <pivotField name="Kategori Pendaftar" compact="0" outline="0" multipleItemSelectionAllowed="1" showAll="0">
      <items>
        <item x="0"/>
        <item x="1"/>
        <item x="2"/>
        <item x="3"/>
        <item t="default"/>
      </items>
    </pivotField>
    <pivotField name="NIM PPG&#10;(dapat dilihat pada web: https://valid.fkip.uns.ac.i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NIM S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Program Studi S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LPTK P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NIM P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Upload Scan Sertifikat Pendidik (serdik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Hasil Seleksi" axis="axisCol" compact="0" outline="0" multipleItemSelectionAllowed="1" showAll="0" sortType="ascending">
      <items>
        <item x="0"/>
        <item x="1"/>
        <item x="2"/>
        <item t="default"/>
      </items>
    </pivotField>
    <pivotField name="Keterangan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5"/>
  </rowFields>
  <colFields>
    <field x="26"/>
  </colFields>
  <pageFields>
    <pageField fld="0"/>
  </pageFields>
  <dataFields>
    <dataField name="COUNTA of Email Address" fld="1" subtotal="count" baseField="0"/>
  </dataFields>
</pivotTableDefinition>
</file>

<file path=xl/pivotTables/pivotTable3.xml><?xml version="1.0" encoding="utf-8"?>
<pivotTableDefinition xmlns="http://schemas.openxmlformats.org/spreadsheetml/2006/main" name="Pivot Table 6" cacheId="2" dataCaption="" compact="0" compactData="0">
  <location ref="A1:F27" firstHeaderRow="0" firstDataRow="2" firstDataCol="1"/>
  <pivotFields>
    <pivotField name="Pilihan Lokasi Sekolah Nasional Terintegrasi" axis="axisRow" compact="0" outline="0" multipleItemSelectionAllowed="1" showAll="0" sortType="ascending" defaultSubtotal="0">
      <items>
        <item x="0"/>
        <item x="1"/>
      </items>
    </pivotField>
    <pivotField name="Jabatan dan Lokasi TPP yang dilamar" axis="axisRow" compact="0" outline="0" multipleItemSelectionAllowed="1" showAll="0" sortType="ascending">
      <items>
        <item x="0"/>
        <item x="1"/>
        <item x="2"/>
        <item x="3"/>
        <item x="4"/>
        <item x="5"/>
        <item x="10"/>
        <item x="11"/>
        <item x="12"/>
        <item x="7"/>
        <item x="6"/>
        <item x="8"/>
        <item x="9"/>
        <item t="default"/>
      </items>
    </pivotField>
    <pivotField name="Nama Lengkap (disertai gelar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t="default"/>
      </items>
    </pivotField>
    <pivotField name="Tanggal Lahir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Program Studi S-1/D-I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IPK saat S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name="Bidang Studi PPG (sesuai yg tertulis di Serdik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IPK saat P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Video Microteach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Nomor W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Hasil" axis="axisCol" compact="0" outline="0" multipleItemSelectionAllowed="1" showAll="0" sortType="ascending">
      <items>
        <item x="2"/>
        <item x="0"/>
        <item x="1"/>
        <item t="default"/>
      </items>
    </pivotField>
    <pivotField name=" 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  <field x="1"/>
  </rowFields>
  <colFields>
    <field x="10"/>
  </colFields>
  <dataFields>
    <dataField name="COUNTA of Nama Lengkap (disertai gelar)" fld="2" subtotal="count" baseField="0"/>
  </dataFields>
</pivotTableDefinition>
</file>

<file path=xl/pivotTables/pivotTable4.xml><?xml version="1.0" encoding="utf-8"?>
<pivotTableDefinition xmlns="http://schemas.openxmlformats.org/spreadsheetml/2006/main" name="Olah Data Administrasi" cacheId="3" dataCaption="" rowGrandTotals="0" compact="0" compactData="0">
  <location ref="A1:I217" firstHeaderRow="0" firstDataRow="8" firstDataCol="0"/>
  <pivotFields>
    <pivotField name="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t="default"/>
      </items>
    </pivotField>
    <pivotField name="Email 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t="default"/>
      </items>
    </pivotField>
    <pivotField name="Nama Lengkap (disertai gelar)" axis="axisRow" compact="0" outline="0" multipleItemSelectionAllowed="1" showAll="0" sortType="ascending" defaultSubtotal="0">
      <items>
        <item x="211"/>
        <item x="129"/>
        <item x="49"/>
        <item x="85"/>
        <item x="165"/>
        <item x="66"/>
        <item x="55"/>
        <item x="130"/>
        <item x="33"/>
        <item x="18"/>
        <item x="125"/>
        <item x="156"/>
        <item x="181"/>
        <item x="199"/>
        <item x="127"/>
        <item x="121"/>
        <item x="194"/>
        <item x="81"/>
        <item x="47"/>
        <item x="27"/>
        <item x="167"/>
        <item x="138"/>
        <item x="205"/>
        <item x="174"/>
        <item x="120"/>
        <item x="11"/>
        <item x="40"/>
        <item x="162"/>
        <item x="147"/>
        <item x="69"/>
        <item x="60"/>
        <item x="97"/>
        <item x="42"/>
        <item x="160"/>
        <item x="207"/>
        <item x="178"/>
        <item x="153"/>
        <item x="78"/>
        <item x="52"/>
        <item x="91"/>
        <item x="76"/>
        <item x="209"/>
        <item x="190"/>
        <item x="70"/>
        <item x="170"/>
        <item x="140"/>
        <item x="100"/>
        <item x="79"/>
        <item x="192"/>
        <item x="61"/>
        <item x="94"/>
        <item x="17"/>
        <item x="109"/>
        <item x="43"/>
        <item x="83"/>
        <item x="59"/>
        <item x="23"/>
        <item x="32"/>
        <item x="146"/>
        <item x="10"/>
        <item x="193"/>
        <item x="2"/>
        <item x="202"/>
        <item x="159"/>
        <item x="184"/>
        <item x="67"/>
        <item x="187"/>
        <item x="136"/>
        <item x="25"/>
        <item x="20"/>
        <item x="200"/>
        <item x="7"/>
        <item x="175"/>
        <item x="197"/>
        <item x="110"/>
        <item x="105"/>
        <item x="65"/>
        <item x="137"/>
        <item x="185"/>
        <item x="19"/>
        <item x="144"/>
        <item x="35"/>
        <item x="161"/>
        <item x="177"/>
        <item x="163"/>
        <item x="122"/>
        <item x="149"/>
        <item x="203"/>
        <item x="132"/>
        <item x="108"/>
        <item x="72"/>
        <item x="201"/>
        <item x="118"/>
        <item x="15"/>
        <item x="9"/>
        <item x="41"/>
        <item x="71"/>
        <item x="101"/>
        <item x="50"/>
        <item x="119"/>
        <item x="89"/>
        <item x="143"/>
        <item x="114"/>
        <item x="56"/>
        <item x="12"/>
        <item x="104"/>
        <item x="95"/>
        <item x="64"/>
        <item x="28"/>
        <item x="63"/>
        <item x="75"/>
        <item x="115"/>
        <item x="3"/>
        <item x="208"/>
        <item x="22"/>
        <item x="133"/>
        <item x="134"/>
        <item x="141"/>
        <item x="172"/>
        <item x="157"/>
        <item x="14"/>
        <item x="189"/>
        <item x="24"/>
        <item x="112"/>
        <item x="111"/>
        <item x="34"/>
        <item x="182"/>
        <item x="36"/>
        <item x="26"/>
        <item x="88"/>
        <item x="124"/>
        <item x="102"/>
        <item x="98"/>
        <item x="46"/>
        <item x="90"/>
        <item x="107"/>
        <item x="13"/>
        <item x="77"/>
        <item x="1"/>
        <item x="103"/>
        <item x="164"/>
        <item x="113"/>
        <item x="145"/>
        <item x="176"/>
        <item x="58"/>
        <item x="152"/>
        <item x="128"/>
        <item x="148"/>
        <item x="116"/>
        <item x="45"/>
        <item x="180"/>
        <item x="155"/>
        <item x="168"/>
        <item x="191"/>
        <item x="99"/>
        <item x="166"/>
        <item x="173"/>
        <item x="0"/>
        <item x="21"/>
        <item x="126"/>
        <item x="29"/>
        <item x="142"/>
        <item x="57"/>
        <item x="86"/>
        <item x="117"/>
        <item x="84"/>
        <item x="31"/>
        <item x="204"/>
        <item x="38"/>
        <item x="92"/>
        <item x="206"/>
        <item x="80"/>
        <item x="73"/>
        <item x="54"/>
        <item x="179"/>
        <item x="8"/>
        <item x="195"/>
        <item x="4"/>
        <item x="106"/>
        <item x="51"/>
        <item x="37"/>
        <item x="196"/>
        <item x="30"/>
        <item x="169"/>
        <item x="5"/>
        <item x="135"/>
        <item x="139"/>
        <item x="6"/>
        <item x="210"/>
        <item x="93"/>
        <item x="158"/>
        <item x="131"/>
        <item x="186"/>
        <item x="123"/>
        <item x="44"/>
        <item x="188"/>
        <item x="87"/>
        <item x="53"/>
        <item x="96"/>
        <item x="82"/>
        <item x="62"/>
        <item x="198"/>
        <item x="16"/>
        <item x="74"/>
        <item x="68"/>
        <item x="150"/>
        <item x="39"/>
        <item x="154"/>
        <item x="151"/>
        <item x="48"/>
        <item x="183"/>
        <item x="171"/>
      </items>
    </pivotField>
    <pivotField name="PTK ID / SIMPKB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t="default"/>
      </items>
    </pivotField>
    <pivotField name="Nomor W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t="default"/>
      </items>
    </pivotField>
    <pivotField name="Tanggal Lahir" axis="axisRow" compact="0" numFmtId="14" outline="0" multipleItemSelectionAllowed="1" showAll="0" sortType="ascending" defaultSubtotal="0">
      <items>
        <item x="199"/>
        <item x="140"/>
        <item x="126"/>
        <item x="148"/>
        <item x="74"/>
        <item x="79"/>
        <item x="106"/>
        <item x="68"/>
        <item x="125"/>
        <item x="62"/>
        <item x="78"/>
        <item x="158"/>
        <item x="129"/>
        <item x="194"/>
        <item x="107"/>
        <item x="173"/>
        <item x="176"/>
        <item x="90"/>
        <item x="152"/>
        <item x="119"/>
        <item x="156"/>
        <item x="8"/>
        <item x="144"/>
        <item x="174"/>
        <item x="157"/>
        <item x="47"/>
        <item x="17"/>
        <item x="70"/>
        <item x="4"/>
        <item x="172"/>
        <item x="38"/>
        <item x="103"/>
        <item x="170"/>
        <item x="36"/>
        <item x="111"/>
        <item x="29"/>
        <item x="87"/>
        <item x="162"/>
        <item x="15"/>
        <item x="184"/>
        <item x="150"/>
        <item x="112"/>
        <item x="49"/>
        <item x="166"/>
        <item x="132"/>
        <item x="96"/>
        <item x="122"/>
        <item x="109"/>
        <item x="93"/>
        <item x="160"/>
        <item x="183"/>
        <item x="171"/>
        <item x="115"/>
        <item x="24"/>
        <item x="6"/>
        <item x="142"/>
        <item x="135"/>
        <item x="66"/>
        <item x="54"/>
        <item x="198"/>
        <item x="10"/>
        <item x="46"/>
        <item x="123"/>
        <item x="185"/>
        <item x="188"/>
        <item x="72"/>
        <item x="9"/>
        <item x="43"/>
        <item x="165"/>
        <item x="177"/>
        <item x="128"/>
        <item x="34"/>
        <item x="147"/>
        <item x="88"/>
        <item x="94"/>
        <item x="51"/>
        <item x="56"/>
        <item x="25"/>
        <item x="182"/>
        <item x="23"/>
        <item x="149"/>
        <item x="154"/>
        <item x="59"/>
        <item x="145"/>
        <item x="3"/>
        <item x="86"/>
        <item x="181"/>
        <item x="5"/>
        <item x="163"/>
        <item x="7"/>
        <item x="22"/>
        <item x="151"/>
        <item x="1"/>
        <item x="37"/>
        <item x="18"/>
        <item x="75"/>
        <item x="143"/>
        <item x="117"/>
        <item x="65"/>
        <item x="190"/>
        <item x="121"/>
        <item x="133"/>
        <item x="76"/>
        <item x="35"/>
        <item x="67"/>
        <item x="92"/>
        <item x="196"/>
        <item x="138"/>
        <item x="116"/>
        <item x="155"/>
        <item x="161"/>
        <item x="19"/>
        <item x="64"/>
        <item x="32"/>
        <item x="58"/>
        <item x="131"/>
        <item x="20"/>
        <item x="120"/>
        <item x="73"/>
        <item x="21"/>
        <item x="55"/>
        <item x="167"/>
        <item x="180"/>
        <item x="12"/>
        <item x="105"/>
        <item x="63"/>
        <item x="60"/>
        <item x="189"/>
        <item x="40"/>
        <item x="85"/>
        <item x="110"/>
        <item x="179"/>
        <item x="48"/>
        <item x="100"/>
        <item x="134"/>
        <item x="77"/>
        <item x="195"/>
        <item x="141"/>
        <item x="44"/>
        <item x="11"/>
        <item x="33"/>
        <item x="191"/>
        <item x="193"/>
        <item x="0"/>
        <item x="99"/>
        <item x="52"/>
        <item x="114"/>
        <item x="97"/>
        <item x="136"/>
        <item x="178"/>
        <item x="13"/>
        <item x="118"/>
        <item x="187"/>
        <item x="91"/>
        <item x="31"/>
        <item x="139"/>
        <item x="146"/>
        <item x="153"/>
        <item x="45"/>
        <item x="27"/>
        <item x="137"/>
        <item x="61"/>
        <item x="197"/>
        <item x="57"/>
        <item x="53"/>
        <item x="164"/>
        <item x="89"/>
        <item x="83"/>
        <item x="50"/>
        <item x="95"/>
        <item x="124"/>
        <item x="113"/>
        <item x="16"/>
        <item x="71"/>
        <item x="84"/>
        <item x="168"/>
        <item x="82"/>
        <item x="101"/>
        <item x="28"/>
        <item x="127"/>
        <item x="39"/>
        <item x="98"/>
        <item x="42"/>
        <item x="102"/>
        <item x="159"/>
        <item x="41"/>
        <item x="30"/>
        <item x="14"/>
        <item x="130"/>
        <item x="175"/>
        <item x="69"/>
        <item x="80"/>
        <item x="192"/>
        <item x="2"/>
        <item x="186"/>
        <item x="169"/>
        <item x="26"/>
        <item x="104"/>
        <item x="108"/>
        <item x="81"/>
      </items>
    </pivotField>
    <pivotField name="Program Studi S-1/D-IV" axis="axisRow" compact="0" outline="0" multipleItemSelectionAllowed="1" showAll="0" sortType="ascending" defaultSubtotal="0">
      <items>
        <item x="122"/>
        <item x="118"/>
        <item x="15"/>
        <item x="110"/>
        <item x="66"/>
        <item x="10"/>
        <item x="41"/>
        <item x="58"/>
        <item x="109"/>
        <item x="108"/>
        <item x="86"/>
        <item x="104"/>
        <item x="96"/>
        <item x="95"/>
        <item x="97"/>
        <item x="81"/>
        <item x="69"/>
        <item x="28"/>
        <item x="76"/>
        <item x="91"/>
        <item x="12"/>
        <item x="88"/>
        <item x="2"/>
        <item x="14"/>
        <item x="31"/>
        <item x="57"/>
        <item x="64"/>
        <item x="18"/>
        <item x="1"/>
        <item x="20"/>
        <item x="24"/>
        <item x="32"/>
        <item x="56"/>
        <item x="17"/>
        <item x="26"/>
        <item x="103"/>
        <item x="116"/>
        <item x="75"/>
        <item x="90"/>
        <item x="55"/>
        <item x="117"/>
        <item x="79"/>
        <item x="21"/>
        <item x="49"/>
        <item x="62"/>
        <item x="71"/>
        <item x="0"/>
        <item x="40"/>
        <item x="51"/>
        <item x="53"/>
        <item x="4"/>
        <item x="35"/>
        <item x="29"/>
        <item x="8"/>
        <item x="46"/>
        <item x="44"/>
        <item x="34"/>
        <item x="37"/>
        <item x="9"/>
        <item x="70"/>
        <item x="63"/>
        <item x="3"/>
        <item x="94"/>
        <item x="120"/>
        <item x="42"/>
        <item x="25"/>
        <item x="65"/>
        <item x="92"/>
        <item x="50"/>
        <item x="16"/>
        <item x="114"/>
        <item x="105"/>
        <item x="39"/>
        <item x="102"/>
        <item x="36"/>
        <item x="48"/>
        <item x="60"/>
        <item x="101"/>
        <item x="23"/>
        <item x="11"/>
        <item x="67"/>
        <item x="107"/>
        <item x="77"/>
        <item x="106"/>
        <item x="113"/>
        <item x="119"/>
        <item x="59"/>
        <item x="89"/>
        <item x="13"/>
        <item x="80"/>
        <item x="6"/>
        <item x="73"/>
        <item x="5"/>
        <item x="84"/>
        <item x="52"/>
        <item x="27"/>
        <item x="54"/>
        <item x="121"/>
        <item x="72"/>
        <item x="7"/>
        <item x="19"/>
        <item x="78"/>
        <item x="47"/>
        <item x="115"/>
        <item x="100"/>
        <item x="93"/>
        <item x="45"/>
        <item x="43"/>
        <item x="74"/>
        <item x="99"/>
        <item x="111"/>
        <item x="98"/>
        <item x="68"/>
        <item x="38"/>
        <item x="61"/>
        <item x="83"/>
        <item x="87"/>
        <item x="85"/>
        <item x="82"/>
        <item x="33"/>
        <item x="22"/>
        <item x="30"/>
        <item x="112"/>
      </items>
    </pivotField>
    <pivotField name="Asal Universitas S-1/D-I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Bidang Studi PPG (sesuai yg tertulis di Serdik)" axis="axisRow" compact="0" outline="0" multipleItemSelectionAllowed="1" showAll="0" sortType="ascending" defaultSubtotal="0">
      <items>
        <item x="22"/>
        <item x="19"/>
        <item x="9"/>
        <item x="2"/>
        <item x="12"/>
        <item x="11"/>
        <item x="8"/>
        <item x="1"/>
        <item x="14"/>
        <item x="16"/>
        <item x="15"/>
        <item x="4"/>
        <item x="5"/>
        <item x="17"/>
        <item x="21"/>
        <item x="18"/>
        <item x="6"/>
        <item x="20"/>
        <item x="10"/>
        <item x="0"/>
        <item x="13"/>
        <item x="7"/>
        <item x="3"/>
      </items>
    </pivotField>
    <pivotField name="Angkatan PPG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ahun Lulus PPG&#10;(sesuai dengan tahun penerbitan Sertifikat Pendidik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PK saat S1" axis="axisRow" compact="0" outline="0" multipleItemSelectionAllowed="1" showAll="0" sortType="ascending" defaultSubtotal="0">
      <items>
        <item x="97"/>
        <item x="55"/>
        <item x="78"/>
        <item x="81"/>
        <item x="72"/>
        <item x="91"/>
        <item x="84"/>
        <item x="66"/>
        <item x="68"/>
        <item x="30"/>
        <item x="8"/>
        <item x="38"/>
        <item x="43"/>
        <item x="95"/>
        <item x="85"/>
        <item x="11"/>
        <item x="14"/>
        <item x="23"/>
        <item x="34"/>
        <item x="74"/>
        <item x="52"/>
        <item x="35"/>
        <item x="42"/>
        <item x="40"/>
        <item x="90"/>
        <item x="61"/>
        <item x="49"/>
        <item x="83"/>
        <item x="70"/>
        <item x="82"/>
        <item x="7"/>
        <item x="63"/>
        <item x="31"/>
        <item x="56"/>
        <item x="57"/>
        <item x="77"/>
        <item x="88"/>
        <item x="89"/>
        <item x="3"/>
        <item x="46"/>
        <item x="87"/>
        <item x="50"/>
        <item x="4"/>
        <item x="6"/>
        <item x="65"/>
        <item x="15"/>
        <item x="80"/>
        <item x="76"/>
        <item x="39"/>
        <item x="48"/>
        <item x="16"/>
        <item x="44"/>
        <item x="53"/>
        <item x="5"/>
        <item x="27"/>
        <item x="64"/>
        <item x="1"/>
        <item x="94"/>
        <item x="73"/>
        <item x="54"/>
        <item x="62"/>
        <item x="18"/>
        <item x="37"/>
        <item x="0"/>
        <item x="26"/>
        <item x="25"/>
        <item x="47"/>
        <item x="20"/>
        <item x="13"/>
        <item x="51"/>
        <item x="96"/>
        <item x="10"/>
        <item x="36"/>
        <item x="67"/>
        <item x="12"/>
        <item x="32"/>
        <item x="19"/>
        <item x="9"/>
        <item x="33"/>
        <item x="21"/>
        <item x="60"/>
        <item x="69"/>
        <item x="22"/>
        <item x="58"/>
        <item x="2"/>
        <item x="24"/>
        <item x="17"/>
        <item x="86"/>
        <item x="59"/>
        <item x="41"/>
        <item x="71"/>
        <item x="75"/>
        <item x="79"/>
        <item x="92"/>
        <item x="29"/>
        <item x="28"/>
        <item x="93"/>
        <item x="45"/>
      </items>
    </pivotField>
    <pivotField name="IPK saat P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Domisili Anda saat ini? (Contoh : Kota Surakarta, Jawa Tengah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t="default"/>
      </items>
    </pivotField>
    <pivotField name="Berkedudukan sebagai calon PNS, PNS, PPPK, PPPK Paruh Waktu, prajurit Tentara Nasional Indonesia, atau anggota Kepolisian Negara Republik Indonesia;" compact="0" outline="0" multipleItemSelectionAllowed="1" showAll="0">
      <items>
        <item x="0"/>
        <item x="1"/>
        <item x="2"/>
        <item t="default"/>
      </items>
    </pivotField>
    <pivotField name="Jabatan dan Lokasi TPP yang dilamar" axis="axisRow" compact="0" outline="0" multipleItemSelectionAllowed="1" showAll="0" sortType="ascending" defaultSubtotal="0">
      <items>
        <item x="22"/>
        <item x="13"/>
        <item x="18"/>
        <item x="19"/>
        <item x="15"/>
        <item x="17"/>
        <item x="10"/>
        <item x="16"/>
        <item x="12"/>
        <item x="11"/>
        <item x="21"/>
        <item x="20"/>
        <item x="14"/>
        <item x="2"/>
        <item x="8"/>
        <item x="7"/>
        <item x="1"/>
        <item x="6"/>
        <item x="5"/>
        <item x="9"/>
        <item x="0"/>
        <item x="3"/>
        <item x="4"/>
      </items>
    </pivotField>
    <pivotField name="Pilihan Lokasi Sekolah Nasional Terintegrasi" axis="axisRow" compact="0" outline="0" multipleItemSelectionAllowed="1" showAll="0" sortType="ascending" defaultSubtotal="0">
      <items>
        <item x="2"/>
        <item x="1"/>
        <item x="0"/>
      </items>
    </pivotField>
    <pivotField name="Sertifikat Pelatihan Peningkatan Komptenesi (5 tahun terakhir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Video Microteaching" axis="axisRow" compact="0" outline="0" multipleItemSelectionAllowed="1" showAll="0" sortType="ascending">
      <items>
        <item x="207"/>
        <item x="80"/>
        <item x="75"/>
        <item x="77"/>
        <item x="110"/>
        <item x="148"/>
        <item x="164"/>
        <item x="87"/>
        <item x="11"/>
        <item x="185"/>
        <item x="54"/>
        <item x="163"/>
        <item x="146"/>
        <item x="57"/>
        <item x="9"/>
        <item x="41"/>
        <item x="10"/>
        <item x="38"/>
        <item x="20"/>
        <item x="26"/>
        <item x="68"/>
        <item x="195"/>
        <item x="76"/>
        <item x="35"/>
        <item x="89"/>
        <item x="19"/>
        <item x="191"/>
        <item x="65"/>
        <item x="14"/>
        <item x="63"/>
        <item x="61"/>
        <item x="50"/>
        <item x="64"/>
        <item x="13"/>
        <item x="189"/>
        <item x="149"/>
        <item x="24"/>
        <item x="140"/>
        <item x="22"/>
        <item x="127"/>
        <item x="183"/>
        <item x="62"/>
        <item x="21"/>
        <item x="71"/>
        <item x="1"/>
        <item x="69"/>
        <item x="7"/>
        <item x="40"/>
        <item x="136"/>
        <item x="2"/>
        <item x="196"/>
        <item x="73"/>
        <item x="52"/>
        <item x="150"/>
        <item x="106"/>
        <item x="28"/>
        <item x="18"/>
        <item x="182"/>
        <item x="88"/>
        <item x="66"/>
        <item x="6"/>
        <item x="32"/>
        <item x="4"/>
        <item x="42"/>
        <item x="8"/>
        <item x="159"/>
        <item x="3"/>
        <item x="36"/>
        <item x="199"/>
        <item x="91"/>
        <item x="29"/>
        <item x="34"/>
        <item x="5"/>
        <item x="25"/>
        <item x="49"/>
        <item x="152"/>
        <item x="188"/>
        <item x="108"/>
        <item x="130"/>
        <item x="74"/>
        <item x="179"/>
        <item x="103"/>
        <item x="105"/>
        <item x="98"/>
        <item x="142"/>
        <item x="84"/>
        <item x="138"/>
        <item x="46"/>
        <item x="44"/>
        <item x="31"/>
        <item x="86"/>
        <item x="82"/>
        <item x="83"/>
        <item x="23"/>
        <item x="206"/>
        <item x="85"/>
        <item x="175"/>
        <item x="104"/>
        <item x="172"/>
        <item x="15"/>
        <item x="95"/>
        <item x="162"/>
        <item x="197"/>
        <item x="157"/>
        <item x="115"/>
        <item x="153"/>
        <item x="160"/>
        <item x="124"/>
        <item x="143"/>
        <item x="137"/>
        <item x="190"/>
        <item x="116"/>
        <item x="122"/>
        <item x="158"/>
        <item x="93"/>
        <item x="112"/>
        <item x="111"/>
        <item x="139"/>
        <item x="154"/>
        <item x="27"/>
        <item x="109"/>
        <item x="156"/>
        <item x="92"/>
        <item x="193"/>
        <item x="47"/>
        <item x="141"/>
        <item x="70"/>
        <item x="186"/>
        <item x="132"/>
        <item x="99"/>
        <item x="119"/>
        <item x="194"/>
        <item x="117"/>
        <item x="39"/>
        <item x="145"/>
        <item x="114"/>
        <item x="0"/>
        <item x="121"/>
        <item x="37"/>
        <item x="170"/>
        <item x="192"/>
        <item x="174"/>
        <item x="125"/>
        <item x="155"/>
        <item x="161"/>
        <item x="45"/>
        <item x="135"/>
        <item x="30"/>
        <item x="102"/>
        <item x="173"/>
        <item x="123"/>
        <item x="129"/>
        <item x="178"/>
        <item x="180"/>
        <item x="147"/>
        <item x="56"/>
        <item x="101"/>
        <item x="81"/>
        <item x="131"/>
        <item x="144"/>
        <item x="72"/>
        <item x="201"/>
        <item x="200"/>
        <item x="168"/>
        <item x="198"/>
        <item x="55"/>
        <item x="176"/>
        <item x="187"/>
        <item x="171"/>
        <item x="60"/>
        <item x="107"/>
        <item x="97"/>
        <item x="166"/>
        <item x="48"/>
        <item x="43"/>
        <item x="78"/>
        <item x="53"/>
        <item x="134"/>
        <item x="58"/>
        <item x="94"/>
        <item x="151"/>
        <item x="120"/>
        <item x="79"/>
        <item x="204"/>
        <item x="177"/>
        <item x="167"/>
        <item x="17"/>
        <item x="113"/>
        <item x="133"/>
        <item x="33"/>
        <item x="16"/>
        <item x="12"/>
        <item x="202"/>
        <item x="165"/>
        <item x="90"/>
        <item x="205"/>
        <item x="126"/>
        <item x="51"/>
        <item x="181"/>
        <item x="100"/>
        <item x="118"/>
        <item x="169"/>
        <item x="67"/>
        <item x="184"/>
        <item x="203"/>
        <item x="59"/>
        <item x="128"/>
        <item x="96"/>
        <item t="default"/>
      </items>
    </pivotField>
    <pivotField name="Kategori Pendafta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IM PPG&#10;(dapat dilihat pada web: https://valid.fkip.uns.ac.i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NIM S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Program Studi S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LPTK P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NIM P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Upload Scan Sertifikat Pendidik (serdik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Column 27" compact="0" outline="0" multipleItemSelectionAllowed="1" showAll="0">
      <items>
        <item x="0"/>
        <item t="default"/>
      </items>
    </pivotField>
    <pivotField name="Column 28" compact="0" outline="0" multipleItemSelectionAllowed="1" showAll="0">
      <items>
        <item x="0"/>
        <item t="default"/>
      </items>
    </pivotField>
    <pivotField name="Column 29" compact="0" outline="0" multipleItemSelectionAllowed="1" showAll="0">
      <items>
        <item x="0"/>
        <item t="default"/>
      </items>
    </pivotField>
    <pivotField name="Column 30" compact="0" outline="0" multipleItemSelectionAllowed="1" showAll="0">
      <items>
        <item x="0"/>
        <item t="default"/>
      </items>
    </pivotField>
    <pivotField name="Column 31" compact="0" outline="0" multipleItemSelectionAllowed="1" showAll="0">
      <items>
        <item x="0"/>
        <item t="default"/>
      </items>
    </pivotField>
    <pivotField name="Column 32" compact="0" outline="0" multipleItemSelectionAllowed="1" showAll="0">
      <items>
        <item x="0"/>
        <item t="default"/>
      </items>
    </pivotField>
  </pivotFields>
  <rowFields>
    <field x="16"/>
    <field x="15"/>
    <field x="2"/>
    <field x="5"/>
    <field x="6"/>
    <field x="11"/>
    <field x="8"/>
    <field x="18"/>
  </rowFields>
</pivotTableDefinition>
</file>

<file path=xl/pivotTables/pivotTable5.xml><?xml version="1.0" encoding="utf-8"?>
<pivotTableDefinition xmlns="http://schemas.openxmlformats.org/spreadsheetml/2006/main" name="Copy of Olah Data Administrasi" cacheId="3" dataCaption="" rowGrandTotals="0" compact="0" compactData="0">
  <location ref="A1:I217" firstHeaderRow="0" firstDataRow="8" firstDataCol="0"/>
  <pivotFields>
    <pivotField name="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t="default"/>
      </items>
    </pivotField>
    <pivotField name="Email 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t="default"/>
      </items>
    </pivotField>
    <pivotField name="Nama Lengkap (disertai gelar)" axis="axisRow" compact="0" outline="0" multipleItemSelectionAllowed="1" showAll="0" sortType="ascending" defaultSubtotal="0">
      <items>
        <item x="211"/>
        <item x="129"/>
        <item x="49"/>
        <item x="85"/>
        <item x="165"/>
        <item x="66"/>
        <item x="55"/>
        <item x="130"/>
        <item x="33"/>
        <item x="18"/>
        <item x="125"/>
        <item x="156"/>
        <item x="181"/>
        <item x="199"/>
        <item x="127"/>
        <item x="121"/>
        <item x="194"/>
        <item x="81"/>
        <item x="47"/>
        <item x="27"/>
        <item x="167"/>
        <item x="138"/>
        <item x="205"/>
        <item x="174"/>
        <item x="120"/>
        <item x="11"/>
        <item x="40"/>
        <item x="162"/>
        <item x="147"/>
        <item x="69"/>
        <item x="60"/>
        <item x="97"/>
        <item x="42"/>
        <item x="160"/>
        <item x="207"/>
        <item x="178"/>
        <item x="153"/>
        <item x="78"/>
        <item x="52"/>
        <item x="91"/>
        <item x="76"/>
        <item x="209"/>
        <item x="190"/>
        <item x="70"/>
        <item x="170"/>
        <item x="140"/>
        <item x="100"/>
        <item x="79"/>
        <item x="192"/>
        <item x="61"/>
        <item x="94"/>
        <item x="17"/>
        <item x="109"/>
        <item x="43"/>
        <item x="83"/>
        <item x="59"/>
        <item x="23"/>
        <item x="32"/>
        <item x="146"/>
        <item x="10"/>
        <item x="193"/>
        <item x="2"/>
        <item x="202"/>
        <item x="159"/>
        <item x="184"/>
        <item x="67"/>
        <item x="187"/>
        <item x="136"/>
        <item x="25"/>
        <item x="20"/>
        <item x="200"/>
        <item x="7"/>
        <item x="175"/>
        <item x="197"/>
        <item x="110"/>
        <item x="105"/>
        <item x="65"/>
        <item x="137"/>
        <item x="185"/>
        <item x="19"/>
        <item x="144"/>
        <item x="35"/>
        <item x="161"/>
        <item x="177"/>
        <item x="163"/>
        <item x="122"/>
        <item x="149"/>
        <item x="203"/>
        <item x="132"/>
        <item x="108"/>
        <item x="72"/>
        <item x="201"/>
        <item x="118"/>
        <item x="15"/>
        <item x="9"/>
        <item x="41"/>
        <item x="71"/>
        <item x="101"/>
        <item x="50"/>
        <item x="119"/>
        <item x="89"/>
        <item x="143"/>
        <item x="114"/>
        <item x="56"/>
        <item x="12"/>
        <item x="104"/>
        <item x="95"/>
        <item x="64"/>
        <item x="28"/>
        <item x="63"/>
        <item x="75"/>
        <item x="115"/>
        <item x="3"/>
        <item x="208"/>
        <item x="22"/>
        <item x="133"/>
        <item x="134"/>
        <item x="141"/>
        <item x="172"/>
        <item x="157"/>
        <item x="14"/>
        <item x="189"/>
        <item x="24"/>
        <item x="112"/>
        <item x="111"/>
        <item x="34"/>
        <item x="182"/>
        <item x="36"/>
        <item x="26"/>
        <item x="88"/>
        <item x="124"/>
        <item x="102"/>
        <item x="98"/>
        <item x="46"/>
        <item x="90"/>
        <item x="107"/>
        <item x="13"/>
        <item x="77"/>
        <item x="1"/>
        <item x="103"/>
        <item x="164"/>
        <item x="113"/>
        <item x="145"/>
        <item x="176"/>
        <item x="58"/>
        <item x="152"/>
        <item x="128"/>
        <item x="148"/>
        <item x="116"/>
        <item x="45"/>
        <item x="180"/>
        <item x="155"/>
        <item x="168"/>
        <item x="191"/>
        <item x="99"/>
        <item x="166"/>
        <item x="173"/>
        <item x="0"/>
        <item x="21"/>
        <item x="126"/>
        <item x="29"/>
        <item x="142"/>
        <item x="57"/>
        <item x="86"/>
        <item x="117"/>
        <item x="84"/>
        <item x="31"/>
        <item x="204"/>
        <item x="38"/>
        <item x="92"/>
        <item x="206"/>
        <item x="80"/>
        <item x="73"/>
        <item x="54"/>
        <item x="179"/>
        <item x="8"/>
        <item x="195"/>
        <item x="4"/>
        <item x="106"/>
        <item x="51"/>
        <item x="37"/>
        <item x="196"/>
        <item x="30"/>
        <item x="169"/>
        <item x="5"/>
        <item x="135"/>
        <item x="139"/>
        <item x="6"/>
        <item x="210"/>
        <item x="93"/>
        <item x="158"/>
        <item x="131"/>
        <item x="186"/>
        <item x="123"/>
        <item x="44"/>
        <item x="188"/>
        <item x="87"/>
        <item x="53"/>
        <item x="96"/>
        <item x="82"/>
        <item x="62"/>
        <item x="198"/>
        <item x="16"/>
        <item x="74"/>
        <item x="68"/>
        <item x="150"/>
        <item x="39"/>
        <item x="154"/>
        <item x="151"/>
        <item x="48"/>
        <item x="183"/>
        <item x="171"/>
      </items>
    </pivotField>
    <pivotField name="PTK ID / SIMPKB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t="default"/>
      </items>
    </pivotField>
    <pivotField name="Nomor W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t="default"/>
      </items>
    </pivotField>
    <pivotField name="Tanggal Lahir" axis="axisRow" compact="0" numFmtId="14" outline="0" multipleItemSelectionAllowed="1" showAll="0" sortType="ascending" defaultSubtotal="0">
      <items>
        <item x="199"/>
        <item x="140"/>
        <item x="126"/>
        <item x="148"/>
        <item x="74"/>
        <item x="79"/>
        <item x="106"/>
        <item x="68"/>
        <item x="125"/>
        <item x="62"/>
        <item x="78"/>
        <item x="158"/>
        <item x="129"/>
        <item x="194"/>
        <item x="107"/>
        <item x="173"/>
        <item x="176"/>
        <item x="90"/>
        <item x="152"/>
        <item x="119"/>
        <item x="156"/>
        <item x="8"/>
        <item x="144"/>
        <item x="174"/>
        <item x="157"/>
        <item x="47"/>
        <item x="17"/>
        <item x="70"/>
        <item x="4"/>
        <item x="172"/>
        <item x="38"/>
        <item x="103"/>
        <item x="170"/>
        <item x="36"/>
        <item x="111"/>
        <item x="29"/>
        <item x="87"/>
        <item x="162"/>
        <item x="15"/>
        <item x="184"/>
        <item x="150"/>
        <item x="112"/>
        <item x="49"/>
        <item x="166"/>
        <item x="132"/>
        <item x="96"/>
        <item x="122"/>
        <item x="109"/>
        <item x="93"/>
        <item x="160"/>
        <item x="183"/>
        <item x="171"/>
        <item x="115"/>
        <item x="24"/>
        <item x="6"/>
        <item x="142"/>
        <item x="135"/>
        <item x="66"/>
        <item x="54"/>
        <item x="198"/>
        <item x="10"/>
        <item x="46"/>
        <item x="123"/>
        <item x="185"/>
        <item x="188"/>
        <item x="72"/>
        <item x="9"/>
        <item x="43"/>
        <item x="165"/>
        <item x="177"/>
        <item x="128"/>
        <item x="34"/>
        <item x="147"/>
        <item x="88"/>
        <item x="94"/>
        <item x="51"/>
        <item x="56"/>
        <item x="25"/>
        <item x="182"/>
        <item x="23"/>
        <item x="149"/>
        <item x="154"/>
        <item x="59"/>
        <item x="145"/>
        <item x="3"/>
        <item x="86"/>
        <item x="181"/>
        <item x="5"/>
        <item x="163"/>
        <item x="7"/>
        <item x="22"/>
        <item x="151"/>
        <item x="1"/>
        <item x="37"/>
        <item x="18"/>
        <item x="75"/>
        <item x="143"/>
        <item x="117"/>
        <item x="65"/>
        <item x="190"/>
        <item x="121"/>
        <item x="133"/>
        <item x="76"/>
        <item x="35"/>
        <item x="67"/>
        <item x="92"/>
        <item x="196"/>
        <item x="138"/>
        <item x="116"/>
        <item x="155"/>
        <item x="161"/>
        <item x="19"/>
        <item x="64"/>
        <item x="32"/>
        <item x="58"/>
        <item x="131"/>
        <item x="20"/>
        <item x="120"/>
        <item x="73"/>
        <item x="21"/>
        <item x="55"/>
        <item x="167"/>
        <item x="180"/>
        <item x="12"/>
        <item x="105"/>
        <item x="63"/>
        <item x="60"/>
        <item x="189"/>
        <item x="40"/>
        <item x="85"/>
        <item x="110"/>
        <item x="179"/>
        <item x="48"/>
        <item x="100"/>
        <item x="134"/>
        <item x="77"/>
        <item x="195"/>
        <item x="141"/>
        <item x="44"/>
        <item x="11"/>
        <item x="33"/>
        <item x="191"/>
        <item x="193"/>
        <item x="0"/>
        <item x="99"/>
        <item x="52"/>
        <item x="114"/>
        <item x="97"/>
        <item x="136"/>
        <item x="178"/>
        <item x="13"/>
        <item x="118"/>
        <item x="187"/>
        <item x="91"/>
        <item x="31"/>
        <item x="139"/>
        <item x="146"/>
        <item x="153"/>
        <item x="45"/>
        <item x="27"/>
        <item x="137"/>
        <item x="61"/>
        <item x="197"/>
        <item x="57"/>
        <item x="53"/>
        <item x="164"/>
        <item x="89"/>
        <item x="83"/>
        <item x="50"/>
        <item x="95"/>
        <item x="124"/>
        <item x="113"/>
        <item x="16"/>
        <item x="71"/>
        <item x="84"/>
        <item x="168"/>
        <item x="82"/>
        <item x="101"/>
        <item x="28"/>
        <item x="127"/>
        <item x="39"/>
        <item x="98"/>
        <item x="42"/>
        <item x="102"/>
        <item x="159"/>
        <item x="41"/>
        <item x="30"/>
        <item x="14"/>
        <item x="130"/>
        <item x="175"/>
        <item x="69"/>
        <item x="80"/>
        <item x="192"/>
        <item x="2"/>
        <item x="186"/>
        <item x="169"/>
        <item x="26"/>
        <item x="104"/>
        <item x="108"/>
        <item x="81"/>
      </items>
    </pivotField>
    <pivotField name="Program Studi S-1/D-IV" axis="axisRow" compact="0" outline="0" multipleItemSelectionAllowed="1" showAll="0" sortType="ascending" defaultSubtotal="0">
      <items>
        <item x="122"/>
        <item x="118"/>
        <item x="15"/>
        <item x="110"/>
        <item x="66"/>
        <item x="10"/>
        <item x="41"/>
        <item x="58"/>
        <item x="109"/>
        <item x="108"/>
        <item x="86"/>
        <item x="104"/>
        <item x="96"/>
        <item x="95"/>
        <item x="97"/>
        <item x="81"/>
        <item x="69"/>
        <item x="28"/>
        <item x="76"/>
        <item x="91"/>
        <item x="12"/>
        <item x="88"/>
        <item x="2"/>
        <item x="14"/>
        <item x="31"/>
        <item x="57"/>
        <item x="64"/>
        <item x="18"/>
        <item x="1"/>
        <item x="20"/>
        <item x="24"/>
        <item x="32"/>
        <item x="56"/>
        <item x="17"/>
        <item x="26"/>
        <item x="103"/>
        <item x="116"/>
        <item x="75"/>
        <item x="90"/>
        <item x="55"/>
        <item x="117"/>
        <item x="79"/>
        <item x="21"/>
        <item x="49"/>
        <item x="62"/>
        <item x="71"/>
        <item x="0"/>
        <item x="40"/>
        <item x="51"/>
        <item x="53"/>
        <item x="4"/>
        <item x="35"/>
        <item x="29"/>
        <item x="8"/>
        <item x="46"/>
        <item x="44"/>
        <item x="34"/>
        <item x="37"/>
        <item x="9"/>
        <item x="70"/>
        <item x="63"/>
        <item x="3"/>
        <item x="94"/>
        <item x="120"/>
        <item x="42"/>
        <item x="25"/>
        <item x="65"/>
        <item x="92"/>
        <item x="50"/>
        <item x="16"/>
        <item x="114"/>
        <item x="105"/>
        <item x="39"/>
        <item x="102"/>
        <item x="36"/>
        <item x="48"/>
        <item x="60"/>
        <item x="101"/>
        <item x="23"/>
        <item x="11"/>
        <item x="67"/>
        <item x="107"/>
        <item x="77"/>
        <item x="106"/>
        <item x="113"/>
        <item x="119"/>
        <item x="59"/>
        <item x="89"/>
        <item x="13"/>
        <item x="80"/>
        <item x="6"/>
        <item x="73"/>
        <item x="5"/>
        <item x="84"/>
        <item x="52"/>
        <item x="27"/>
        <item x="54"/>
        <item x="121"/>
        <item x="72"/>
        <item x="7"/>
        <item x="19"/>
        <item x="78"/>
        <item x="47"/>
        <item x="115"/>
        <item x="100"/>
        <item x="93"/>
        <item x="45"/>
        <item x="43"/>
        <item x="74"/>
        <item x="99"/>
        <item x="111"/>
        <item x="98"/>
        <item x="68"/>
        <item x="38"/>
        <item x="61"/>
        <item x="83"/>
        <item x="87"/>
        <item x="85"/>
        <item x="82"/>
        <item x="33"/>
        <item x="22"/>
        <item x="30"/>
        <item x="112"/>
      </items>
    </pivotField>
    <pivotField name="Asal Universitas S-1/D-I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Bidang Studi PPG (sesuai yg tertulis di Serdik)" axis="axisRow" compact="0" outline="0" multipleItemSelectionAllowed="1" showAll="0" sortType="ascending" defaultSubtotal="0">
      <items>
        <item x="22"/>
        <item x="19"/>
        <item x="9"/>
        <item x="2"/>
        <item x="12"/>
        <item x="11"/>
        <item x="8"/>
        <item x="1"/>
        <item x="14"/>
        <item x="16"/>
        <item x="15"/>
        <item x="4"/>
        <item x="5"/>
        <item x="17"/>
        <item x="21"/>
        <item x="18"/>
        <item x="6"/>
        <item x="20"/>
        <item x="10"/>
        <item x="0"/>
        <item x="13"/>
        <item x="7"/>
        <item x="3"/>
      </items>
    </pivotField>
    <pivotField name="Angkatan PPG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ahun Lulus PPG&#10;(sesuai dengan tahun penerbitan Sertifikat Pendidik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PK saat S1" axis="axisRow" compact="0" outline="0" multipleItemSelectionAllowed="1" showAll="0" sortType="ascending" defaultSubtotal="0">
      <items>
        <item x="97"/>
        <item x="55"/>
        <item x="78"/>
        <item x="81"/>
        <item x="72"/>
        <item x="91"/>
        <item x="84"/>
        <item x="66"/>
        <item x="68"/>
        <item x="30"/>
        <item x="8"/>
        <item x="38"/>
        <item x="43"/>
        <item x="95"/>
        <item x="85"/>
        <item x="11"/>
        <item x="14"/>
        <item x="23"/>
        <item x="34"/>
        <item x="74"/>
        <item x="52"/>
        <item x="35"/>
        <item x="42"/>
        <item x="40"/>
        <item x="90"/>
        <item x="61"/>
        <item x="49"/>
        <item x="83"/>
        <item x="70"/>
        <item x="82"/>
        <item x="7"/>
        <item x="63"/>
        <item x="31"/>
        <item x="56"/>
        <item x="57"/>
        <item x="77"/>
        <item x="88"/>
        <item x="89"/>
        <item x="3"/>
        <item x="46"/>
        <item x="87"/>
        <item x="50"/>
        <item x="4"/>
        <item x="6"/>
        <item x="65"/>
        <item x="15"/>
        <item x="80"/>
        <item x="76"/>
        <item x="39"/>
        <item x="48"/>
        <item x="16"/>
        <item x="44"/>
        <item x="53"/>
        <item x="5"/>
        <item x="27"/>
        <item x="64"/>
        <item x="1"/>
        <item x="94"/>
        <item x="73"/>
        <item x="54"/>
        <item x="62"/>
        <item x="18"/>
        <item x="37"/>
        <item x="0"/>
        <item x="26"/>
        <item x="25"/>
        <item x="47"/>
        <item x="20"/>
        <item x="13"/>
        <item x="51"/>
        <item x="96"/>
        <item x="10"/>
        <item x="36"/>
        <item x="67"/>
        <item x="12"/>
        <item x="32"/>
        <item x="19"/>
        <item x="9"/>
        <item x="33"/>
        <item x="21"/>
        <item x="60"/>
        <item x="69"/>
        <item x="22"/>
        <item x="58"/>
        <item x="2"/>
        <item x="24"/>
        <item x="17"/>
        <item x="86"/>
        <item x="59"/>
        <item x="41"/>
        <item x="71"/>
        <item x="75"/>
        <item x="79"/>
        <item x="92"/>
        <item x="29"/>
        <item x="28"/>
        <item x="93"/>
        <item x="45"/>
      </items>
    </pivotField>
    <pivotField name="IPK saat P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Domisili Anda saat ini? (Contoh : Kota Surakarta, Jawa Tengah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t="default"/>
      </items>
    </pivotField>
    <pivotField name="Berkedudukan sebagai calon PNS, PNS, PPPK, PPPK Paruh Waktu, prajurit Tentara Nasional Indonesia, atau anggota Kepolisian Negara Republik Indonesia;" compact="0" outline="0" multipleItemSelectionAllowed="1" showAll="0">
      <items>
        <item x="0"/>
        <item x="1"/>
        <item x="2"/>
        <item t="default"/>
      </items>
    </pivotField>
    <pivotField name="Jabatan dan Lokasi TPP yang dilamar" axis="axisRow" compact="0" outline="0" multipleItemSelectionAllowed="1" showAll="0" sortType="ascending" defaultSubtotal="0">
      <items>
        <item x="22"/>
        <item x="13"/>
        <item x="18"/>
        <item x="19"/>
        <item x="15"/>
        <item x="17"/>
        <item x="10"/>
        <item x="16"/>
        <item x="12"/>
        <item x="11"/>
        <item x="21"/>
        <item x="20"/>
        <item x="14"/>
        <item x="2"/>
        <item x="8"/>
        <item x="7"/>
        <item x="1"/>
        <item x="6"/>
        <item x="5"/>
        <item x="9"/>
        <item x="0"/>
        <item x="3"/>
        <item x="4"/>
      </items>
    </pivotField>
    <pivotField name="Pilihan Lokasi Sekolah Nasional Terintegrasi" axis="axisRow" compact="0" outline="0" multipleItemSelectionAllowed="1" showAll="0" sortType="ascending" defaultSubtotal="0">
      <items>
        <item x="2"/>
        <item x="1"/>
        <item x="0"/>
      </items>
    </pivotField>
    <pivotField name="Sertifikat Pelatihan Peningkatan Komptenesi (5 tahun terakhir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Video Microteaching" axis="axisRow" compact="0" outline="0" multipleItemSelectionAllowed="1" showAll="0" sortType="ascending">
      <items>
        <item x="207"/>
        <item x="80"/>
        <item x="75"/>
        <item x="77"/>
        <item x="110"/>
        <item x="148"/>
        <item x="164"/>
        <item x="87"/>
        <item x="11"/>
        <item x="185"/>
        <item x="54"/>
        <item x="163"/>
        <item x="146"/>
        <item x="57"/>
        <item x="9"/>
        <item x="41"/>
        <item x="10"/>
        <item x="38"/>
        <item x="20"/>
        <item x="26"/>
        <item x="68"/>
        <item x="195"/>
        <item x="76"/>
        <item x="35"/>
        <item x="89"/>
        <item x="19"/>
        <item x="191"/>
        <item x="65"/>
        <item x="14"/>
        <item x="63"/>
        <item x="61"/>
        <item x="50"/>
        <item x="64"/>
        <item x="13"/>
        <item x="189"/>
        <item x="149"/>
        <item x="24"/>
        <item x="140"/>
        <item x="22"/>
        <item x="127"/>
        <item x="183"/>
        <item x="62"/>
        <item x="21"/>
        <item x="71"/>
        <item x="1"/>
        <item x="69"/>
        <item x="7"/>
        <item x="40"/>
        <item x="136"/>
        <item x="2"/>
        <item x="196"/>
        <item x="73"/>
        <item x="52"/>
        <item x="150"/>
        <item x="106"/>
        <item x="28"/>
        <item x="18"/>
        <item x="182"/>
        <item x="88"/>
        <item x="66"/>
        <item x="6"/>
        <item x="32"/>
        <item x="4"/>
        <item x="42"/>
        <item x="8"/>
        <item x="159"/>
        <item x="3"/>
        <item x="36"/>
        <item x="199"/>
        <item x="91"/>
        <item x="29"/>
        <item x="34"/>
        <item x="5"/>
        <item x="25"/>
        <item x="49"/>
        <item x="152"/>
        <item x="188"/>
        <item x="108"/>
        <item x="130"/>
        <item x="74"/>
        <item x="179"/>
        <item x="103"/>
        <item x="105"/>
        <item x="98"/>
        <item x="142"/>
        <item x="84"/>
        <item x="138"/>
        <item x="46"/>
        <item x="44"/>
        <item x="31"/>
        <item x="86"/>
        <item x="82"/>
        <item x="83"/>
        <item x="23"/>
        <item x="206"/>
        <item x="85"/>
        <item x="175"/>
        <item x="104"/>
        <item x="172"/>
        <item x="15"/>
        <item x="95"/>
        <item x="162"/>
        <item x="197"/>
        <item x="157"/>
        <item x="115"/>
        <item x="153"/>
        <item x="160"/>
        <item x="124"/>
        <item x="143"/>
        <item x="137"/>
        <item x="190"/>
        <item x="116"/>
        <item x="122"/>
        <item x="158"/>
        <item x="93"/>
        <item x="112"/>
        <item x="111"/>
        <item x="139"/>
        <item x="154"/>
        <item x="27"/>
        <item x="109"/>
        <item x="156"/>
        <item x="92"/>
        <item x="193"/>
        <item x="47"/>
        <item x="141"/>
        <item x="70"/>
        <item x="186"/>
        <item x="132"/>
        <item x="99"/>
        <item x="119"/>
        <item x="194"/>
        <item x="117"/>
        <item x="39"/>
        <item x="145"/>
        <item x="114"/>
        <item x="0"/>
        <item x="121"/>
        <item x="37"/>
        <item x="170"/>
        <item x="192"/>
        <item x="174"/>
        <item x="125"/>
        <item x="155"/>
        <item x="161"/>
        <item x="45"/>
        <item x="135"/>
        <item x="30"/>
        <item x="102"/>
        <item x="173"/>
        <item x="123"/>
        <item x="129"/>
        <item x="178"/>
        <item x="180"/>
        <item x="147"/>
        <item x="56"/>
        <item x="101"/>
        <item x="81"/>
        <item x="131"/>
        <item x="144"/>
        <item x="72"/>
        <item x="201"/>
        <item x="200"/>
        <item x="168"/>
        <item x="198"/>
        <item x="55"/>
        <item x="176"/>
        <item x="187"/>
        <item x="171"/>
        <item x="60"/>
        <item x="107"/>
        <item x="97"/>
        <item x="166"/>
        <item x="48"/>
        <item x="43"/>
        <item x="78"/>
        <item x="53"/>
        <item x="134"/>
        <item x="58"/>
        <item x="94"/>
        <item x="151"/>
        <item x="120"/>
        <item x="79"/>
        <item x="204"/>
        <item x="177"/>
        <item x="167"/>
        <item x="17"/>
        <item x="113"/>
        <item x="133"/>
        <item x="33"/>
        <item x="16"/>
        <item x="12"/>
        <item x="202"/>
        <item x="165"/>
        <item x="90"/>
        <item x="205"/>
        <item x="126"/>
        <item x="51"/>
        <item x="181"/>
        <item x="100"/>
        <item x="118"/>
        <item x="169"/>
        <item x="67"/>
        <item x="184"/>
        <item x="203"/>
        <item x="59"/>
        <item x="128"/>
        <item x="96"/>
        <item t="default"/>
      </items>
    </pivotField>
    <pivotField name="Kategori Pendafta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IM PPG&#10;(dapat dilihat pada web: https://valid.fkip.uns.ac.i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NIM S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Program Studi S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LPTK P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NIM P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Upload Scan Sertifikat Pendidik (serdik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Column 27" compact="0" outline="0" multipleItemSelectionAllowed="1" showAll="0">
      <items>
        <item x="0"/>
        <item t="default"/>
      </items>
    </pivotField>
    <pivotField name="Column 28" compact="0" outline="0" multipleItemSelectionAllowed="1" showAll="0">
      <items>
        <item x="0"/>
        <item t="default"/>
      </items>
    </pivotField>
    <pivotField name="Column 29" compact="0" outline="0" multipleItemSelectionAllowed="1" showAll="0">
      <items>
        <item x="0"/>
        <item t="default"/>
      </items>
    </pivotField>
    <pivotField name="Column 30" compact="0" outline="0" multipleItemSelectionAllowed="1" showAll="0">
      <items>
        <item x="0"/>
        <item t="default"/>
      </items>
    </pivotField>
    <pivotField name="Column 31" compact="0" outline="0" multipleItemSelectionAllowed="1" showAll="0">
      <items>
        <item x="0"/>
        <item t="default"/>
      </items>
    </pivotField>
    <pivotField name="Column 32" compact="0" outline="0" multipleItemSelectionAllowed="1" showAll="0">
      <items>
        <item x="0"/>
        <item t="default"/>
      </items>
    </pivotField>
  </pivotFields>
  <rowFields>
    <field x="16"/>
    <field x="15"/>
    <field x="2"/>
    <field x="5"/>
    <field x="6"/>
    <field x="11"/>
    <field x="8"/>
    <field x="18"/>
  </rowFields>
</pivotTableDefinition>
</file>

<file path=xl/pivotTables/pivotTable6.xml><?xml version="1.0" encoding="utf-8"?>
<pivotTableDefinition xmlns="http://schemas.openxmlformats.org/spreadsheetml/2006/main" name="Pivot Table 1" cacheId="3" dataCaption="" compact="0" compactData="0">
  <location ref="A1:E26" firstHeaderRow="0" firstDataRow="1" firstDataCol="1"/>
  <pivotFields>
    <pivotField name="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t="default"/>
      </items>
    </pivotField>
    <pivotField name="Email 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t="default"/>
      </items>
    </pivotField>
    <pivotField name="Nama Lengkap (disertai gelar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t="default"/>
      </items>
    </pivotField>
    <pivotField name="PTK ID / SIMPKB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t="default"/>
      </items>
    </pivotField>
    <pivotField name="Nomor W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t="default"/>
      </items>
    </pivotField>
    <pivotField name="Tanggal Lahir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Program Studi S-1/D-I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name="Asal Universitas S-1/D-I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Bidang Studi PPG (sesuai yg tertulis di Serdik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Angkatan PPG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ahun Lulus PPG&#10;(sesuai dengan tahun penerbitan Sertifikat Pendidik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PK saat S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IPK saat P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Domisili Anda saat ini? (Contoh : Kota Surakarta, Jawa Tengah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t="default"/>
      </items>
    </pivotField>
    <pivotField name="Berkedudukan sebagai calon PNS, PNS, PPPK, PPPK Paruh Waktu, prajurit Tentara Nasional Indonesia, atau anggota Kepolisian Negara Republik Indonesia;" compact="0" outline="0" multipleItemSelectionAllowed="1" showAll="0">
      <items>
        <item x="0"/>
        <item x="1"/>
        <item x="2"/>
        <item t="default"/>
      </items>
    </pivotField>
    <pivotField name="Jabatan dan Lokasi TPP yang dilamar" axis="axisRow" compact="0" outline="0" multipleItemSelectionAllowed="1" showAll="0" sortType="ascending">
      <items>
        <item x="22"/>
        <item x="13"/>
        <item x="18"/>
        <item x="19"/>
        <item x="15"/>
        <item x="17"/>
        <item x="10"/>
        <item x="16"/>
        <item x="12"/>
        <item x="11"/>
        <item x="21"/>
        <item x="20"/>
        <item x="14"/>
        <item x="2"/>
        <item x="8"/>
        <item x="7"/>
        <item x="1"/>
        <item x="6"/>
        <item x="5"/>
        <item x="9"/>
        <item x="0"/>
        <item x="3"/>
        <item x="4"/>
        <item t="default"/>
      </items>
    </pivotField>
    <pivotField name="Pilihan Lokasi Sekolah Nasional Terintegrasi" axis="axisCol" compact="0" outline="0" multipleItemSelectionAllowed="1" showAll="0" sortType="ascending">
      <items>
        <item x="2"/>
        <item x="1"/>
        <item x="0"/>
        <item t="default"/>
      </items>
    </pivotField>
    <pivotField name="Sertifikat Pelatihan Peningkatan Komptenesi (5 tahun terakhir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Video Microteach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t="default"/>
      </items>
    </pivotField>
    <pivotField name="Kategori Pendafta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IM PPG&#10;(dapat dilihat pada web: https://valid.fkip.uns.ac.i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NIM S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Program Studi S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LPTK P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NIM P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Upload Scan Sertifikat Pendidik (serdik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Column 27" compact="0" outline="0" multipleItemSelectionAllowed="1" showAll="0">
      <items>
        <item x="0"/>
        <item t="default"/>
      </items>
    </pivotField>
    <pivotField name="Column 28" compact="0" outline="0" multipleItemSelectionAllowed="1" showAll="0">
      <items>
        <item x="0"/>
        <item t="default"/>
      </items>
    </pivotField>
    <pivotField name="Column 29" compact="0" outline="0" multipleItemSelectionAllowed="1" showAll="0">
      <items>
        <item x="0"/>
        <item t="default"/>
      </items>
    </pivotField>
    <pivotField name="Column 30" compact="0" outline="0" multipleItemSelectionAllowed="1" showAll="0">
      <items>
        <item x="0"/>
        <item t="default"/>
      </items>
    </pivotField>
    <pivotField name="Column 31" compact="0" outline="0" multipleItemSelectionAllowed="1" showAll="0">
      <items>
        <item x="0"/>
        <item t="default"/>
      </items>
    </pivotField>
    <pivotField name="Column 32" compact="0" outline="0" multipleItemSelectionAllowed="1" showAll="0">
      <items>
        <item x="0"/>
        <item t="default"/>
      </items>
    </pivotField>
  </pivotFields>
  <rowFields>
    <field x="15"/>
  </rowFields>
  <colFields>
    <field x="16"/>
  </colFields>
  <dataFields>
    <dataField name="COUNTA of Nama Lengkap (disertai gelar)" fld="2" subtotal="count" baseField="0"/>
  </dataFields>
</pivotTableDefinition>
</file>

<file path=xl/tables/table1.xml><?xml version="1.0" encoding="utf-8"?>
<table xmlns="http://schemas.openxmlformats.org/spreadsheetml/2006/main" headerRowCount="0" ref="C91:J99" displayName="Table_2" name="Table_2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Pivot Table 5-style" showColumnStripes="0" showFirstColumn="1" showLastColumn="1" showRowStripes="1"/>
</table>
</file>

<file path=xl/tables/table2.xml><?xml version="1.0" encoding="utf-8"?>
<table xmlns="http://schemas.openxmlformats.org/spreadsheetml/2006/main" ref="A1:AF217" displayName="Form_Responses" name="Form_Responses" id="3">
  <autoFilter ref="$A$1:$AF$217"/>
  <tableColumns count="32">
    <tableColumn name="Timestamp" id="1"/>
    <tableColumn name="Email Address" id="2"/>
    <tableColumn name="Nama Lengkap (disertai gelar)" id="3"/>
    <tableColumn name="PTK ID / SIMPKB ID" id="4"/>
    <tableColumn name="Nomor WA" id="5"/>
    <tableColumn name="Tanggal Lahir" id="6"/>
    <tableColumn name="Program Studi S-1/D-IV" id="7"/>
    <tableColumn name="Asal Universitas S-1/D-IV" id="8"/>
    <tableColumn name="Bidang Studi PPG (sesuai yg tertulis di Serdik)" id="9"/>
    <tableColumn name="Angkatan PPG" id="10"/>
    <tableColumn name="Tahun Lulus PPG_x000a_(sesuai dengan tahun penerbitan Sertifikat Pendidik)" id="11"/>
    <tableColumn name="IPK saat S1" id="12"/>
    <tableColumn name="IPK saat PPG" id="13"/>
    <tableColumn name="Domisili Anda saat ini? (Contoh : Kota Surakarta, Jawa Tengah)" id="14"/>
    <tableColumn name="Berkedudukan sebagai calon PNS, PNS, PPPK, PPPK Paruh Waktu, prajurit Tentara Nasional Indonesia, atau anggota Kepolisian Negara Republik Indonesia;" id="15"/>
    <tableColumn name="Jabatan dan Lokasi TPP yang dilamar" id="16"/>
    <tableColumn name="Pilihan Lokasi Sekolah Nasional Terintegrasi" id="17"/>
    <tableColumn name="Sertifikat Pelatihan Peningkatan Komptenesi (5 tahun terakhir)" id="18"/>
    <tableColumn name="Video Microteaching" id="19"/>
    <tableColumn name="Kategori Pendaftar" id="20"/>
    <tableColumn name="NIM PPG_x000a_(dapat dilihat pada web: https://valid.fkip.uns.ac.id)" id="21"/>
    <tableColumn name="NIM S1" id="22"/>
    <tableColumn name="Program Studi S1" id="23"/>
    <tableColumn name="LPTK PPG" id="24"/>
    <tableColumn name="NIM PPG" id="25"/>
    <tableColumn name="Upload Scan Sertifikat Pendidik (serdik)" id="26"/>
    <tableColumn name="Column 27" id="27"/>
    <tableColumn name="Column 28" id="28"/>
    <tableColumn name="Column 29" id="29"/>
    <tableColumn name="Column 30" id="30"/>
    <tableColumn name="Column 31" id="31"/>
    <tableColumn name="Column 32" id="32"/>
  </tableColumns>
  <tableStyleInfo name="Form Responses 1-style" showColumnStripes="0" showFirstColumn="1" showLastColumn="1" showRowStripes="1"/>
</table>
</file>

<file path=xl/tables/table3.xml><?xml version="1.0" encoding="utf-8"?>
<table xmlns="http://schemas.openxmlformats.org/spreadsheetml/2006/main" ref="A1:AB217" displayName="Table_1" name="Table_1" id="1">
  <tableColumns count="28">
    <tableColumn name="Timestamp" id="1"/>
    <tableColumn name="Email Address" id="2"/>
    <tableColumn name="Nama Lengkap (disertai gelar)" id="3"/>
    <tableColumn name="PTK ID / SIMPKB ID" id="4"/>
    <tableColumn name="Nomor WA" id="5"/>
    <tableColumn name="Tanggal Lahir" id="6"/>
    <tableColumn name="Program Studi S-1/D-IV" id="7"/>
    <tableColumn name="Asal Universitas S-1/D-IV" id="8"/>
    <tableColumn name="Bidang Studi PPG (sesuai yg tertulis di Serdik)" id="9"/>
    <tableColumn name="Angkatan PPG" id="10"/>
    <tableColumn name="Tahun Lulus PPG_x000a_(sesuai dengan tahun penerbitan Sertifikat Pendidik)" id="11"/>
    <tableColumn name="IPK saat S1" id="12"/>
    <tableColumn name="IPK saat PPG" id="13"/>
    <tableColumn name="Domisili Anda saat ini? (Contoh : Kota Surakarta, Jawa Tengah)" id="14"/>
    <tableColumn name="Berkedudukan sebagai calon PNS, PNS, PPPK, PPPK Paruh Waktu, prajurit Tentara Nasional Indonesia, atau anggota Kepolisian Negara Republik Indonesia;" id="15"/>
    <tableColumn name="Jabatan dan Lokasi TPP yang dilamar" id="16"/>
    <tableColumn name="Pilihan Lokasi Sekolah Nasional Terintegrasi" id="17"/>
    <tableColumn name="Sertifikat Pelatihan Peningkatan Komptenesi (5 tahun terakhir)" id="18"/>
    <tableColumn name="Video Microteaching" id="19"/>
    <tableColumn name="Kategori Pendaftar" id="20"/>
    <tableColumn name="NIM PPG_x000a_(dapat dilihat pada web: https://valid.fkip.uns.ac.id)" id="21"/>
    <tableColumn name="NIM S1" id="22"/>
    <tableColumn name="Program Studi S1" id="23"/>
    <tableColumn name="LPTK PPG" id="24"/>
    <tableColumn name="NIM PPG" id="25"/>
    <tableColumn name="Upload Scan Sertifikat Pendidik (serdik)" id="26"/>
    <tableColumn name="Hasil Seleksi" id="27"/>
    <tableColumn name="Keterangan" id="28"/>
  </tableColumns>
  <tableStyleInfo name="Admin Tahap 2-style" showColumnStripes="0" showFirstColumn="1" showLastColumn="1" showRowStripes="1"/>
</table>
</file>

<file path=xl/tables/table4.xml><?xml version="1.0" encoding="utf-8"?>
<table xmlns="http://schemas.openxmlformats.org/spreadsheetml/2006/main" headerRowCount="0" ref="A2:F26" displayName="Table_3" name="Table_3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ivot Table 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RtFvDOOgoqM" TargetMode="External"/><Relationship Id="rId42" Type="http://schemas.openxmlformats.org/officeDocument/2006/relationships/hyperlink" Target="https://drive.google.com/drive/folders/18L-lFRallenmFr2eSdMYor8T3gFby5iv?usp=sharing" TargetMode="External"/><Relationship Id="rId41" Type="http://schemas.openxmlformats.org/officeDocument/2006/relationships/hyperlink" Target="https://drive.google.com/drive/folders/1ziBRYwAgtkkyPnTwpaQQlUVLoINNFHrH" TargetMode="External"/><Relationship Id="rId44" Type="http://schemas.openxmlformats.org/officeDocument/2006/relationships/hyperlink" Target="https://drive.google.com/drive/folders/1LUwVcKfRJZTw2XbLLprTSDJ04eWDmd0c?usp=sharing" TargetMode="External"/><Relationship Id="rId43" Type="http://schemas.openxmlformats.org/officeDocument/2006/relationships/hyperlink" Target="https://drive.google.com/file/d/1q-2IZ9iExO_p1ito2WG__QJ0JhY5ERou/view?usp=drivesdk" TargetMode="External"/><Relationship Id="rId46" Type="http://schemas.openxmlformats.org/officeDocument/2006/relationships/hyperlink" Target="https://drive.google.com/drive/folders/1ow4-6NaDSh-0U4S7plIc-icO8HYC61WV?usp=sharing" TargetMode="External"/><Relationship Id="rId45" Type="http://schemas.openxmlformats.org/officeDocument/2006/relationships/hyperlink" Target="https://drive.google.com/drive/folders/1lbHZOdolmlsxx6yX2iLAARnS1OT7OdSP" TargetMode="External"/><Relationship Id="rId48" Type="http://schemas.openxmlformats.org/officeDocument/2006/relationships/hyperlink" Target="https://drive.google.com/drive/folders/1zI1VsvS3r7N2xgGHzHSOeXsPBlYpL9ku?usp=sharing" TargetMode="External"/><Relationship Id="rId47" Type="http://schemas.openxmlformats.org/officeDocument/2006/relationships/hyperlink" Target="https://drive.google.com/drive/folders/137kIPlKQmFYB8LTfhzVwbj1J2Vc6niis?usp=sharing" TargetMode="External"/><Relationship Id="rId49" Type="http://schemas.openxmlformats.org/officeDocument/2006/relationships/hyperlink" Target="https://drive.google.com/drive/folders/1sDPOjTor3XOExzch1Qzi6KmtuS5XvMav?usp=drive_link" TargetMode="External"/><Relationship Id="rId31" Type="http://schemas.openxmlformats.org/officeDocument/2006/relationships/hyperlink" Target="https://drive.google.com/drive/folders/1cJkn_IoYOOXnOYMya1m1-G4ZZwiFqF5_" TargetMode="External"/><Relationship Id="rId30" Type="http://schemas.openxmlformats.org/officeDocument/2006/relationships/hyperlink" Target="https://drive.google.com/drive/folders/1nSG76BaQdtMG-CDvZEJRGPQJe22CUPnC" TargetMode="External"/><Relationship Id="rId33" Type="http://schemas.openxmlformats.org/officeDocument/2006/relationships/hyperlink" Target="https://drive.google.com/drive/folders/11lA10UXXoYhzvsfhUICgbtGtbGv8eSte" TargetMode="External"/><Relationship Id="rId32" Type="http://schemas.openxmlformats.org/officeDocument/2006/relationships/hyperlink" Target="https://drive.google.com/drive/folders/1hp2AsPIKeEgMhUWbzwgDRHlp34wSTNCN?usp=sharing" TargetMode="External"/><Relationship Id="rId35" Type="http://schemas.openxmlformats.org/officeDocument/2006/relationships/hyperlink" Target="https://drive.google.com/drive/folders/1ZMdpKDuNX2Ug5GuQm0IKJcqbtSXsXuoq?usp=sharing" TargetMode="External"/><Relationship Id="rId34" Type="http://schemas.openxmlformats.org/officeDocument/2006/relationships/hyperlink" Target="https://drive.google.com/file/d/1nT111QsyrXyp_zYgfzUpVxBvNOXr5vjm/view?usp=drivesdk" TargetMode="External"/><Relationship Id="rId37" Type="http://schemas.openxmlformats.org/officeDocument/2006/relationships/hyperlink" Target="https://drive.google.com/drive/folders/18yBJOjtpw6PsG4DRETVg2yP5SJnmcY39?usp=sharing" TargetMode="External"/><Relationship Id="rId36" Type="http://schemas.openxmlformats.org/officeDocument/2006/relationships/hyperlink" Target="https://drive.google.com/drive/folders/1mjoMheW0r7Ofaf4cfqv62KvsYys3__xT" TargetMode="External"/><Relationship Id="rId39" Type="http://schemas.openxmlformats.org/officeDocument/2006/relationships/hyperlink" Target="https://drive.google.com/drive/folders/15ZPYQ3Clfe0EygnIfgBgzYEpRIik_sBB?usp=sharing" TargetMode="External"/><Relationship Id="rId38" Type="http://schemas.openxmlformats.org/officeDocument/2006/relationships/hyperlink" Target="https://youtu.be/yymDyHaEmW0?si=6tkWnWhAcI23Xxf8" TargetMode="External"/><Relationship Id="rId20" Type="http://schemas.openxmlformats.org/officeDocument/2006/relationships/hyperlink" Target="https://drive.google.com/drive/folders/1yVRF9S8gmJh2aANEg8KX6ndxm6WfzhOc?usp=sharing" TargetMode="External"/><Relationship Id="rId22" Type="http://schemas.openxmlformats.org/officeDocument/2006/relationships/hyperlink" Target="https://drive.google.com/file/d/1L2HeacFitfJzYYLnhEHSiZpRNZi6DIfH/view?usp=drivesdk" TargetMode="External"/><Relationship Id="rId21" Type="http://schemas.openxmlformats.org/officeDocument/2006/relationships/hyperlink" Target="https://drive.google.com/drive/folders/1w3AotyxcLiwjWuZcnqdtSFTGCadiF0xD?usp=sharing" TargetMode="External"/><Relationship Id="rId24" Type="http://schemas.openxmlformats.org/officeDocument/2006/relationships/hyperlink" Target="https://drive.google.com/drive/folders/1v7ET-0MLyK3nfkDv6QSCOQu7jdaH58zl" TargetMode="External"/><Relationship Id="rId23" Type="http://schemas.openxmlformats.org/officeDocument/2006/relationships/hyperlink" Target="https://drive.google.com/file/d/143JHDzse3sObZEzbFHQZvZdWWfCEdKTl/view?usp=drivesdk" TargetMode="External"/><Relationship Id="rId26" Type="http://schemas.openxmlformats.org/officeDocument/2006/relationships/hyperlink" Target="https://drive.google.com/file/d/1-BbTbD6dRGBlX3AWGJ92R7ATswHSzRJr/view?usp=drivesdk" TargetMode="External"/><Relationship Id="rId25" Type="http://schemas.openxmlformats.org/officeDocument/2006/relationships/hyperlink" Target="https://drive.google.com/drive/folders/11IqJDpjcTXnE4CSXbzC3pwb5BIKVYs--?usp=drive_link" TargetMode="External"/><Relationship Id="rId28" Type="http://schemas.openxmlformats.org/officeDocument/2006/relationships/hyperlink" Target="https://drive.google.com/drive/folders/1DvcSMjkGajB_4DTsRI2BJi9k6R619G3v" TargetMode="External"/><Relationship Id="rId27" Type="http://schemas.openxmlformats.org/officeDocument/2006/relationships/hyperlink" Target="https://drive.google.com/file/d/1Eaqx9EWaqZ9QKFvtgEjSf1OH0v-fotPS/view?usp=drive_link" TargetMode="External"/><Relationship Id="rId29" Type="http://schemas.openxmlformats.org/officeDocument/2006/relationships/hyperlink" Target="https://drive.google.com/file/d/14HJ3UJHAzqXiOJWas24_Koh5HDncUtR-/view?usp=sharing" TargetMode="External"/><Relationship Id="rId95" Type="http://schemas.openxmlformats.org/officeDocument/2006/relationships/hyperlink" Target="https://drive.google.com/file/d/1cmV4eplHOudpvjZyn_HVJK6lNiw9g58G/view?usp=drivesdk" TargetMode="External"/><Relationship Id="rId94" Type="http://schemas.openxmlformats.org/officeDocument/2006/relationships/hyperlink" Target="https://drive.google.com/file/d/1esCIwzUph4H8JVvdlxBZpkGt2mgfGEOw/view?usp=sharing" TargetMode="External"/><Relationship Id="rId97" Type="http://schemas.openxmlformats.org/officeDocument/2006/relationships/drawing" Target="../drawings/drawing1.xml"/><Relationship Id="rId96" Type="http://schemas.openxmlformats.org/officeDocument/2006/relationships/hyperlink" Target="https://drive.google.com/file/d/1pC-5PPO96WmgmPD63ulKwXOSpWLxgzJw/view?usp=drivesdk" TargetMode="External"/><Relationship Id="rId11" Type="http://schemas.openxmlformats.org/officeDocument/2006/relationships/hyperlink" Target="https://drive.google.com/file/d/125S5BykyAsUYhePZcozF54aMpBkwCf9m/view?usp=drivesdk" TargetMode="External"/><Relationship Id="rId99" Type="http://schemas.openxmlformats.org/officeDocument/2006/relationships/table" Target="../tables/table1.xml"/><Relationship Id="rId10" Type="http://schemas.openxmlformats.org/officeDocument/2006/relationships/hyperlink" Target="https://drive.google.com/drive/folders/1-40u8UNH_SNeIkwr8FZ6hdjDyNuH11WZ" TargetMode="External"/><Relationship Id="rId13" Type="http://schemas.openxmlformats.org/officeDocument/2006/relationships/hyperlink" Target="https://drive.google.com/file/d/12O1DB7FIoqIZRTC1SggA8lB7Wtp7A1WW/view?usp=drivesdk" TargetMode="External"/><Relationship Id="rId12" Type="http://schemas.openxmlformats.org/officeDocument/2006/relationships/hyperlink" Target="https://www.youtube.com/watch?v=jM1e_5OwKnw" TargetMode="External"/><Relationship Id="rId91" Type="http://schemas.openxmlformats.org/officeDocument/2006/relationships/hyperlink" Target="https://youtu.be/37xNnZIRYh8?si=ZntzwVImPe4feJBs" TargetMode="External"/><Relationship Id="rId90" Type="http://schemas.openxmlformats.org/officeDocument/2006/relationships/hyperlink" Target="https://drive.google.com/drive/folders/19r7Cl5nUN2M2MKhSE7bGX8tAGaPZ57JC" TargetMode="External"/><Relationship Id="rId93" Type="http://schemas.openxmlformats.org/officeDocument/2006/relationships/hyperlink" Target="https://drive.google.com/drive/folders/17MT469v6DaHmpoLFdWBe241N_dObmepV?usp=drive_link" TargetMode="External"/><Relationship Id="rId92" Type="http://schemas.openxmlformats.org/officeDocument/2006/relationships/hyperlink" Target="https://drive.google.com/drive/folders/1YLcx8j3x4rEq2EPc1oUEnY0ns2CZx521" TargetMode="External"/><Relationship Id="rId15" Type="http://schemas.openxmlformats.org/officeDocument/2006/relationships/hyperlink" Target="https://drive.google.com/drive/folders/1GuUofoo8Ml4RxgfNRLC35L22Cqhy-kvo?usp=drive_link" TargetMode="External"/><Relationship Id="rId14" Type="http://schemas.openxmlformats.org/officeDocument/2006/relationships/hyperlink" Target="https://drive.google.com/folderview?id=1-GJrqYOfO4bnWQzG1X4FXH_EjpFWvBSi" TargetMode="External"/><Relationship Id="rId17" Type="http://schemas.openxmlformats.org/officeDocument/2006/relationships/hyperlink" Target="https://drive.google.com/file/d/1xC1-O8NQibAtMRCBDo8VBwZEXn2Edt3L/view?usp=drivesdk" TargetMode="External"/><Relationship Id="rId16" Type="http://schemas.openxmlformats.org/officeDocument/2006/relationships/hyperlink" Target="https://drive.google.com/drive/folders/1jt4YLBNVmmQlbLqan48uzpTgjZJgPJtc" TargetMode="External"/><Relationship Id="rId19" Type="http://schemas.openxmlformats.org/officeDocument/2006/relationships/hyperlink" Target="https://drive.google.com/file/d/1K8Bi3qh64CvDS9EXYN8fxBMknWkIhU7a/view?usp=drive_link" TargetMode="External"/><Relationship Id="rId18" Type="http://schemas.openxmlformats.org/officeDocument/2006/relationships/hyperlink" Target="https://drive.google.com/file/d/1YlN9LWOGX_duy7lpVzaDTpDDBGlh7HwO/view?usp=drivesdk" TargetMode="External"/><Relationship Id="rId84" Type="http://schemas.openxmlformats.org/officeDocument/2006/relationships/hyperlink" Target="https://drive.google.com/drive/folders/1M6zYjueC4knG4C45THwrSOKv3fiE93TK?usp=sharing" TargetMode="External"/><Relationship Id="rId83" Type="http://schemas.openxmlformats.org/officeDocument/2006/relationships/hyperlink" Target="https://drive.google.com/drive/folders/1v9Rl1ZkNsT6Jw6hEo64E-fGeNru0Mo2a?usp=sharing" TargetMode="External"/><Relationship Id="rId86" Type="http://schemas.openxmlformats.org/officeDocument/2006/relationships/hyperlink" Target="https://drive.google.com/drive/folders/1ltUU36tlXxgfeMDDdoLQOBEN6rzRAnT4" TargetMode="External"/><Relationship Id="rId85" Type="http://schemas.openxmlformats.org/officeDocument/2006/relationships/hyperlink" Target="https://drive.google.com/drive/folders/19MRaOM80DF038NWPqHaqqcWNbEgyOpsX" TargetMode="External"/><Relationship Id="rId88" Type="http://schemas.openxmlformats.org/officeDocument/2006/relationships/hyperlink" Target="https://drive.google.com/file/d/10vZFJJ6HLCd0q9kJFe38K6ug4wCZSDnp/view?usp=sharing" TargetMode="External"/><Relationship Id="rId87" Type="http://schemas.openxmlformats.org/officeDocument/2006/relationships/hyperlink" Target="https://drive.google.com/drive/folders/1PQQxwZNzVypS3yGp4a0HX6Wmibz9ALEQ" TargetMode="External"/><Relationship Id="rId89" Type="http://schemas.openxmlformats.org/officeDocument/2006/relationships/hyperlink" Target="https://drive.google.com/drive/folders/14FG_yPqAGC6X1onGD48pZn4hF_PPEfMz?usp=sharing" TargetMode="External"/><Relationship Id="rId80" Type="http://schemas.openxmlformats.org/officeDocument/2006/relationships/hyperlink" Target="https://drive.google.com/drive/folders/1yCvx2arxXyITby30A4zMMaHb1zIP3NMt?hl=ID" TargetMode="External"/><Relationship Id="rId82" Type="http://schemas.openxmlformats.org/officeDocument/2006/relationships/hyperlink" Target="https://drive.google.com/file/d/1iq8cDdVfuoJxTaGIJK-5C0uFxCjY3984/view?usp=drivesdk" TargetMode="External"/><Relationship Id="rId81" Type="http://schemas.openxmlformats.org/officeDocument/2006/relationships/hyperlink" Target="https://drive.google.com/drive/folders/1IBUHZ570KJFy5CmkAqk3hdSbP9e0B9cp" TargetMode="External"/><Relationship Id="rId1" Type="http://schemas.openxmlformats.org/officeDocument/2006/relationships/pivotTable" Target="../pivotTables/pivotTable1.xml"/><Relationship Id="rId2" Type="http://schemas.openxmlformats.org/officeDocument/2006/relationships/hyperlink" Target="https://drive.google.com/file/d/1wXg4JCK74uFkX830RohLlRR_dRCpabfJ/view?usp=sharing" TargetMode="External"/><Relationship Id="rId3" Type="http://schemas.openxmlformats.org/officeDocument/2006/relationships/hyperlink" Target="https://drive.google.com/drive/folders/1SNu-qFtK02OmLkQZ1AWo5DDVTH46tRqo" TargetMode="External"/><Relationship Id="rId4" Type="http://schemas.openxmlformats.org/officeDocument/2006/relationships/hyperlink" Target="https://drive.google.com/file/d/16I25Hub_4HCCCCFxaPj0dOUzgE7zysB3/view?usp=sharing" TargetMode="External"/><Relationship Id="rId9" Type="http://schemas.openxmlformats.org/officeDocument/2006/relationships/hyperlink" Target="https://drive.google.com/file/d/10gR1poUJUv4Bp7RvR9-QMDkoqIoCFID6/view?usp=drivesdk" TargetMode="External"/><Relationship Id="rId5" Type="http://schemas.openxmlformats.org/officeDocument/2006/relationships/hyperlink" Target="https://drive.google.com/drive/folders/1QCz4bH3wjl2517dnFzL0-0FyB0_Hr0eA?usp=sharing" TargetMode="External"/><Relationship Id="rId6" Type="http://schemas.openxmlformats.org/officeDocument/2006/relationships/hyperlink" Target="https://drive.google.com/file/d/11wzIy8pLPUhf9NFE6RP2ma53wXYu3e4C/view?usp=drivesdk" TargetMode="External"/><Relationship Id="rId7" Type="http://schemas.openxmlformats.org/officeDocument/2006/relationships/hyperlink" Target="https://drive.google.com/file/d/1peyjAV00fNYAk1KhW_TI0Z-Tyzfr-pjB/view?usp=drive_link" TargetMode="External"/><Relationship Id="rId8" Type="http://schemas.openxmlformats.org/officeDocument/2006/relationships/hyperlink" Target="https://drive.google.com/file/d/14w0SrHcah5KVYYJRxX4GoYuo6Arj4xmT/view?usp=drivesdk" TargetMode="External"/><Relationship Id="rId73" Type="http://schemas.openxmlformats.org/officeDocument/2006/relationships/hyperlink" Target="https://drive.google.com/drive/folders/1Rs9HB-oZ3H5yNrDt9DFHXgAhgSOFkiIK?usp=sharing" TargetMode="External"/><Relationship Id="rId72" Type="http://schemas.openxmlformats.org/officeDocument/2006/relationships/hyperlink" Target="https://drive.google.com/drive/folders/1DUcWJvg3MRjkBfV1Wb2SOf09W0KOXuia" TargetMode="External"/><Relationship Id="rId75" Type="http://schemas.openxmlformats.org/officeDocument/2006/relationships/hyperlink" Target="https://drive.google.com/drive/folders/1PzS9P01UHo8ahunVVv6jD4ARfGViRjOG" TargetMode="External"/><Relationship Id="rId74" Type="http://schemas.openxmlformats.org/officeDocument/2006/relationships/hyperlink" Target="https://drive.google.com/file/d/1TmBNpVmZwK0wgwjA5wKHVM0mU3d3fWmw/view?usp=drivesdk" TargetMode="External"/><Relationship Id="rId77" Type="http://schemas.openxmlformats.org/officeDocument/2006/relationships/hyperlink" Target="https://drive.google.com/file/d/1fI_gpiFidC35PhUgS4AL5664hKzkHvrn/view?usp=drivesdk" TargetMode="External"/><Relationship Id="rId76" Type="http://schemas.openxmlformats.org/officeDocument/2006/relationships/hyperlink" Target="https://drive.google.com/file/d/1UUanyQLNkOSugUWXDQLx6cbMy9rhomU-/view?usp=sharing" TargetMode="External"/><Relationship Id="rId79" Type="http://schemas.openxmlformats.org/officeDocument/2006/relationships/hyperlink" Target="https://drive.google.com/file/d/1WoZ2dEnTCug0Ziv3_iuegw3MELqpmkZC/view?usp=drivesdk" TargetMode="External"/><Relationship Id="rId78" Type="http://schemas.openxmlformats.org/officeDocument/2006/relationships/hyperlink" Target="https://drive.google.com/file/d/1iCxSV9hd262CkcTCjL23f6n7t7EoV6ur/view?usp=sharing" TargetMode="External"/><Relationship Id="rId71" Type="http://schemas.openxmlformats.org/officeDocument/2006/relationships/hyperlink" Target="https://drive.google.com/drive/folders/1eQb9Ydk0eATBDcczvp7yz_FB4O4O3AS3" TargetMode="External"/><Relationship Id="rId70" Type="http://schemas.openxmlformats.org/officeDocument/2006/relationships/hyperlink" Target="https://drive.google.com/drive/folders/1LzuVejBMa0nJuaBNUC6Wmo059tSnk3PX?usp=drive_link" TargetMode="External"/><Relationship Id="rId62" Type="http://schemas.openxmlformats.org/officeDocument/2006/relationships/hyperlink" Target="https://drive.google.com/file/d/1XKpWEV3EZ7UQ8B2bUYrKN3HfbjZtr2ZC/view?usp=drivesdk" TargetMode="External"/><Relationship Id="rId61" Type="http://schemas.openxmlformats.org/officeDocument/2006/relationships/hyperlink" Target="https://drive.google.com/file/d/11F5pPmxQ30JyYcnGJHbV6ofW54-DPLlK/view?usp=drivesdk" TargetMode="External"/><Relationship Id="rId64" Type="http://schemas.openxmlformats.org/officeDocument/2006/relationships/hyperlink" Target="https://drive.google.com/drive/folders/1Ox-0TUCz6hG9Myk2xhpFEEvKdlv8dm0C?usp=sharing" TargetMode="External"/><Relationship Id="rId63" Type="http://schemas.openxmlformats.org/officeDocument/2006/relationships/hyperlink" Target="https://drive.google.com/file/d/1hhvZIEChyA9oW7HYA2tM058Q0lahrG6T/view?usp=sharing" TargetMode="External"/><Relationship Id="rId66" Type="http://schemas.openxmlformats.org/officeDocument/2006/relationships/hyperlink" Target="https://drive.google.com/drive/folders/1GaI6YVgutsBMNIGY3HaluvXIH5nka1r3" TargetMode="External"/><Relationship Id="rId65" Type="http://schemas.openxmlformats.org/officeDocument/2006/relationships/hyperlink" Target="https://drive.google.com/drive/folders/1BunhS9ZC30KIV72NDCiDcLA3-Ud7Jkt9" TargetMode="External"/><Relationship Id="rId68" Type="http://schemas.openxmlformats.org/officeDocument/2006/relationships/hyperlink" Target="https://drive.google.com/file/d/1zV2figavABF53g88ty1zBwjNJ4TwwTWj/view?usp=drivesdk" TargetMode="External"/><Relationship Id="rId67" Type="http://schemas.openxmlformats.org/officeDocument/2006/relationships/hyperlink" Target="https://drive.google.com/drive/folders/17MT469v6DaHmpoLFdWBe241N_dObmepV?usp=drive_link" TargetMode="External"/><Relationship Id="rId60" Type="http://schemas.openxmlformats.org/officeDocument/2006/relationships/hyperlink" Target="https://youtu.be/ggULze_hHGY?si=3LHoSa1RXTS34FsR" TargetMode="External"/><Relationship Id="rId69" Type="http://schemas.openxmlformats.org/officeDocument/2006/relationships/hyperlink" Target="https://drive.google.com/file/d/1EYnoMc565zoK0J826IOUtHJ9sB9Z2CQo/view?usp=drivesdk" TargetMode="External"/><Relationship Id="rId51" Type="http://schemas.openxmlformats.org/officeDocument/2006/relationships/hyperlink" Target="https://drive.google.com/file/d/1ZM2qaVqkQD-_tnv9zBhxAM7nrL9WyS0c/view?usp=drive_link" TargetMode="External"/><Relationship Id="rId50" Type="http://schemas.openxmlformats.org/officeDocument/2006/relationships/hyperlink" Target="https://drive.google.com/drive/folders/18vJaaPkf_N1kQFEIOq34K1CHZlOV1Yxr" TargetMode="External"/><Relationship Id="rId53" Type="http://schemas.openxmlformats.org/officeDocument/2006/relationships/hyperlink" Target="https://drive.google.com/drive/folders/14tm61sfbexmy9YMN6u3Mp_YaYsqT-5st" TargetMode="External"/><Relationship Id="rId52" Type="http://schemas.openxmlformats.org/officeDocument/2006/relationships/hyperlink" Target="https://drive.google.com/drive/folders/19wdv2SGiikjLmsRGeg6Us3PtGVYARdEH?usp=sharing" TargetMode="External"/><Relationship Id="rId55" Type="http://schemas.openxmlformats.org/officeDocument/2006/relationships/hyperlink" Target="https://uns.id/veditukinthaariq" TargetMode="External"/><Relationship Id="rId54" Type="http://schemas.openxmlformats.org/officeDocument/2006/relationships/hyperlink" Target="https://drive.google.com/drive/folders/14tm61sfbexmy9YMN6u3Mp_YaYsqT-5st?usp=sharing" TargetMode="External"/><Relationship Id="rId57" Type="http://schemas.openxmlformats.org/officeDocument/2006/relationships/hyperlink" Target="https://drive.google.com/drive/folders/1YHV5XDphM0hO8XmD0XXIw26hn__uS09N" TargetMode="External"/><Relationship Id="rId56" Type="http://schemas.openxmlformats.org/officeDocument/2006/relationships/hyperlink" Target="https://drive.google.com/drive/folders/1ZemobWCxQpWbWK-4F6mIDlYPJB6PQgHU" TargetMode="External"/><Relationship Id="rId59" Type="http://schemas.openxmlformats.org/officeDocument/2006/relationships/hyperlink" Target="https://drive.google.com/file/d/1XqoJbX6jTFwvy6oafg-KztlO_gpV_jlC/view?usp=sharing" TargetMode="External"/><Relationship Id="rId58" Type="http://schemas.openxmlformats.org/officeDocument/2006/relationships/hyperlink" Target="https://drive.google.com/drive/folders/18O0MONVMBSmYlQuiTTTxKi2Ty4RuE13V?usp=sharing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open?id=1bDNTo08NetCUDF1bVK6Max1FqTNZPTWV" TargetMode="External"/><Relationship Id="rId194" Type="http://schemas.openxmlformats.org/officeDocument/2006/relationships/hyperlink" Target="https://drive.google.com/file/d/1Csp-KkryWS8OW0y5WtdeB1RAF5D19SxY/view?usp=sharing" TargetMode="External"/><Relationship Id="rId193" Type="http://schemas.openxmlformats.org/officeDocument/2006/relationships/hyperlink" Target="https://drive.google.com/drive/folders/1zr9jpWWKJhLxyFvydPkYe9rMQodbRowa?usp=sharing" TargetMode="External"/><Relationship Id="rId192" Type="http://schemas.openxmlformats.org/officeDocument/2006/relationships/hyperlink" Target="https://drive.google.com/open?id=1qSuSI31VSIYpGGFUa8mK2rYS5II8WDLd" TargetMode="External"/><Relationship Id="rId191" Type="http://schemas.openxmlformats.org/officeDocument/2006/relationships/hyperlink" Target="https://drive.google.com/file/d/1czFk9KIDKjBbNttApLuhEDIHMjlZgs_J/view?usp=drivesdk" TargetMode="External"/><Relationship Id="rId187" Type="http://schemas.openxmlformats.org/officeDocument/2006/relationships/hyperlink" Target="https://drive.google.com/open?id=1JuEq4djty-y8fLohK7DzB44mwckUib5b" TargetMode="External"/><Relationship Id="rId186" Type="http://schemas.openxmlformats.org/officeDocument/2006/relationships/hyperlink" Target="https://drive.google.com/file/d/1egvuICb9Fe5dZ-cPpgczoxhMGrxXWj7x/view?usp=sharing" TargetMode="External"/><Relationship Id="rId185" Type="http://schemas.openxmlformats.org/officeDocument/2006/relationships/hyperlink" Target="https://drive.google.com/open?id=1ArTrUXGa5_LwDpsgC7-ab0pmArpupKhp" TargetMode="External"/><Relationship Id="rId184" Type="http://schemas.openxmlformats.org/officeDocument/2006/relationships/hyperlink" Target="https://drive.google.com/file/d/1-4bh_3Gsx8QMHDML1RTcjQU860Yb8vUF/view?usp=drivesdk" TargetMode="External"/><Relationship Id="rId189" Type="http://schemas.openxmlformats.org/officeDocument/2006/relationships/hyperlink" Target="https://drive.google.com/drive/folders/10gdRNvHaesOYapEBw9VjuyApTvEMW3oo" TargetMode="External"/><Relationship Id="rId188" Type="http://schemas.openxmlformats.org/officeDocument/2006/relationships/hyperlink" Target="https://drive.google.com/drive/folders/1uiFCL4Z40gteEeW8JX4SV-y9TpDFELEc" TargetMode="External"/><Relationship Id="rId183" Type="http://schemas.openxmlformats.org/officeDocument/2006/relationships/hyperlink" Target="https://drive.google.com/drive/folders/1D4s0ysl23nOrJgQmY_nJosQ0JjPXaT2X" TargetMode="External"/><Relationship Id="rId182" Type="http://schemas.openxmlformats.org/officeDocument/2006/relationships/hyperlink" Target="https://drive.google.com/open?id=1-YUnvwdNiYug1XyXP1s5OcnNyLH_tN69" TargetMode="External"/><Relationship Id="rId181" Type="http://schemas.openxmlformats.org/officeDocument/2006/relationships/hyperlink" Target="https://drive.google.com/file/d/1W12YEq3GjE_L-y-bTkeot7UzdvOLJSjt/view?usp=sharing" TargetMode="External"/><Relationship Id="rId180" Type="http://schemas.openxmlformats.org/officeDocument/2006/relationships/hyperlink" Target="https://drive.google.com/drive/folders/1aYXA4C27v4RjA_Uci2XyWDLUHMd94gOA?usp=sharing" TargetMode="External"/><Relationship Id="rId176" Type="http://schemas.openxmlformats.org/officeDocument/2006/relationships/hyperlink" Target="https://drive.google.com/file/d/1-hu-TQKdbX2yJqHvYDuEs4clAxm-Zpym/view?usp=drivesdk" TargetMode="External"/><Relationship Id="rId297" Type="http://schemas.openxmlformats.org/officeDocument/2006/relationships/hyperlink" Target="https://drive.google.com/drive/folders/13TzkmruK-0Q2-WN0ppe31VLzRKgKDuYM" TargetMode="External"/><Relationship Id="rId175" Type="http://schemas.openxmlformats.org/officeDocument/2006/relationships/hyperlink" Target="https://drive.google.com/file/d/1LqTRWW3H2LxmnAH_IaS6gp1Fb_Cf23vf/view?usp=drivesdk" TargetMode="External"/><Relationship Id="rId296" Type="http://schemas.openxmlformats.org/officeDocument/2006/relationships/hyperlink" Target="https://drive.google.com/open?id=1bQ2oUUyz-zVSwvLfgbV2C4EUHFznG4lN" TargetMode="External"/><Relationship Id="rId174" Type="http://schemas.openxmlformats.org/officeDocument/2006/relationships/hyperlink" Target="https://drive.google.com/file/d/1oidTQvbYYr9E_r5QpJQ4_ChE2QZYGqwu/view?usp=drivesdk" TargetMode="External"/><Relationship Id="rId295" Type="http://schemas.openxmlformats.org/officeDocument/2006/relationships/hyperlink" Target="https://drive.google.com/file/d/1HOO4AhlgFuNZ7xAZC4wNngOPjGlzNUe2/view?usp=sharing" TargetMode="External"/><Relationship Id="rId173" Type="http://schemas.openxmlformats.org/officeDocument/2006/relationships/hyperlink" Target="https://youtu.be/O5RQVJUPqL4?feature=shared" TargetMode="External"/><Relationship Id="rId294" Type="http://schemas.openxmlformats.org/officeDocument/2006/relationships/hyperlink" Target="https://drive.google.com/drive/folders/1hdzssX16IwtOVDMzPJYkcQjPZRYFPj5T?usp=sharing" TargetMode="External"/><Relationship Id="rId179" Type="http://schemas.openxmlformats.org/officeDocument/2006/relationships/hyperlink" Target="https://drive.google.com/drive/folders/1PqLz8RYnnSg7ZDxnd7U7A6x_JUgroK7k" TargetMode="External"/><Relationship Id="rId178" Type="http://schemas.openxmlformats.org/officeDocument/2006/relationships/hyperlink" Target="https://drive.google.com/file/d/1-Po-XTK9UlujepB_GgEvK8kp6CHoC-3E/view?usp=drivesdk" TargetMode="External"/><Relationship Id="rId299" Type="http://schemas.openxmlformats.org/officeDocument/2006/relationships/hyperlink" Target="https://drive.google.com/file/d/1KCjaHp7aBGdze2qoC9en5wf8eGI0n-zF/view?usp=drivesdk" TargetMode="External"/><Relationship Id="rId177" Type="http://schemas.openxmlformats.org/officeDocument/2006/relationships/hyperlink" Target="https://drive.google.com/file/d/15q8UosXFDYh3syfvPaoLfg-s64HJpX-M/view?usp=drivesdk" TargetMode="External"/><Relationship Id="rId298" Type="http://schemas.openxmlformats.org/officeDocument/2006/relationships/hyperlink" Target="https://drive.google.com/open?id=1FuEIuashz6ALfptPp9CGgDxXt8_yKzSU" TargetMode="External"/><Relationship Id="rId198" Type="http://schemas.openxmlformats.org/officeDocument/2006/relationships/hyperlink" Target="https://drive.google.com/file/d/14nqA5xOhaV7LTMonONLJ2-rWSCf3FYn0/view?usp=sharing" TargetMode="External"/><Relationship Id="rId197" Type="http://schemas.openxmlformats.org/officeDocument/2006/relationships/hyperlink" Target="https://drive.google.com/open?id=1Aejyf_GILUbTtV5qiNfaM6kisjoRwbMV" TargetMode="External"/><Relationship Id="rId196" Type="http://schemas.openxmlformats.org/officeDocument/2006/relationships/hyperlink" Target="https://drive.google.com/file/d/1ZP7zckiKpLuo6ihpZfeBTDIdqQ5XkoCD/view?usp=drive_link" TargetMode="External"/><Relationship Id="rId195" Type="http://schemas.openxmlformats.org/officeDocument/2006/relationships/hyperlink" Target="https://drive.google.com/open?id=1bljDvqw0hCR-1KQfSqBqY7fgf1IBh9mz" TargetMode="External"/><Relationship Id="rId199" Type="http://schemas.openxmlformats.org/officeDocument/2006/relationships/hyperlink" Target="https://drive.google.com/file/d/1hzKaO3nYD5NWhwX-5DNSbiKnTHiwK7T3/view?usp=sharing" TargetMode="External"/><Relationship Id="rId150" Type="http://schemas.openxmlformats.org/officeDocument/2006/relationships/hyperlink" Target="https://drive.google.com/file/d/125S5BykyAsUYhePZcozF54aMpBkwCf9m/view?usp=drivesdk" TargetMode="External"/><Relationship Id="rId271" Type="http://schemas.openxmlformats.org/officeDocument/2006/relationships/hyperlink" Target="https://drive.google.com/open?id=1pl-X1oB5tn088a2znovqUykPSku-87ra" TargetMode="External"/><Relationship Id="rId392" Type="http://schemas.openxmlformats.org/officeDocument/2006/relationships/hyperlink" Target="https://drive.google.com/drive/folders/11TfA6roqNDL6OMfdjoFtc2YIMcUaqF6D?usp=sharing" TargetMode="External"/><Relationship Id="rId270" Type="http://schemas.openxmlformats.org/officeDocument/2006/relationships/hyperlink" Target="https://drive.google.com/file/d/1ar4kGy1qfg_uktfh803TTJLH1ex1jIjx/view?usp=sharing" TargetMode="External"/><Relationship Id="rId391" Type="http://schemas.openxmlformats.org/officeDocument/2006/relationships/hyperlink" Target="https://drive.google.com/open?id=1_ll002soiNKTF6O2F27UQ_I69o44QfBf" TargetMode="External"/><Relationship Id="rId390" Type="http://schemas.openxmlformats.org/officeDocument/2006/relationships/hyperlink" Target="https://youtu.be/hacGCThujds?si=TyXtnwvGHmLHWeEi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drive/folders/1dsYqEqelctlZxB4Hys2aTvWw_xo7AZBD?usp=drive_link" TargetMode="External"/><Relationship Id="rId3" Type="http://schemas.openxmlformats.org/officeDocument/2006/relationships/hyperlink" Target="https://drive.google.com/file/d/1iCxSV9hd262CkcTCjL23f6n7t7EoV6ur/view?usp=sharing" TargetMode="External"/><Relationship Id="rId149" Type="http://schemas.openxmlformats.org/officeDocument/2006/relationships/hyperlink" Target="https://drive.google.com/drive/folders/1_Lxo5HWobtllKRhx4DoAPo3psCWgujfd" TargetMode="External"/><Relationship Id="rId4" Type="http://schemas.openxmlformats.org/officeDocument/2006/relationships/hyperlink" Target="https://drive.google.com/drive/folders/16x0nmGx6I5WGw8jgQGGJwL-c62fCaeiM?usp=drive_link" TargetMode="External"/><Relationship Id="rId148" Type="http://schemas.openxmlformats.org/officeDocument/2006/relationships/hyperlink" Target="https://drive.google.com/file/d/14w0SrHcah5KVYYJRxX4GoYuo6Arj4xmT/view?usp=drivesdk" TargetMode="External"/><Relationship Id="rId269" Type="http://schemas.openxmlformats.org/officeDocument/2006/relationships/hyperlink" Target="https://drive.google.com/drive/folders/1Yk_3znP-E_7NeJzSXSYZoZ4RQmCFsPVZ?usp=sharing" TargetMode="External"/><Relationship Id="rId9" Type="http://schemas.openxmlformats.org/officeDocument/2006/relationships/hyperlink" Target="https://drive.google.com/file/d/1RTVKYZC70VNFZ0Li44B1okppAyidoSP2/view?usp=sharing" TargetMode="External"/><Relationship Id="rId143" Type="http://schemas.openxmlformats.org/officeDocument/2006/relationships/hyperlink" Target="https://drive.google.com/file/d/12O1DB7FIoqIZRTC1SggA8lB7Wtp7A1WW/view?usp=drivesdk" TargetMode="External"/><Relationship Id="rId264" Type="http://schemas.openxmlformats.org/officeDocument/2006/relationships/hyperlink" Target="https://drive.google.com/file/d/1q2WATHk4Ogu6nNhq0EnQlwkB49xuDrUM/view?usp=sharing" TargetMode="External"/><Relationship Id="rId385" Type="http://schemas.openxmlformats.org/officeDocument/2006/relationships/hyperlink" Target="https://drive.google.com/file/d/1-E6elHxJDXxCqW0udD7ymA9ux653j06c/view?usp=drivesdk" TargetMode="External"/><Relationship Id="rId142" Type="http://schemas.openxmlformats.org/officeDocument/2006/relationships/hyperlink" Target="https://drive.google.com/file/d/1peyjAV00fNYAk1KhW_TI0Z-Tyzfr-pjB/view?usp=drive_link" TargetMode="External"/><Relationship Id="rId263" Type="http://schemas.openxmlformats.org/officeDocument/2006/relationships/hyperlink" Target="https://drive.google.com/open?id=1w5UG_iPw5oVqoNTW21govm8wMFJiDQvF" TargetMode="External"/><Relationship Id="rId384" Type="http://schemas.openxmlformats.org/officeDocument/2006/relationships/hyperlink" Target="https://drive.google.com/open?id=10RytqU2OVz93cUkyObN9Lrv3Oip_nEsg" TargetMode="External"/><Relationship Id="rId141" Type="http://schemas.openxmlformats.org/officeDocument/2006/relationships/hyperlink" Target="https://www.youtube.com/watch?v=jM1e_5OwKnw" TargetMode="External"/><Relationship Id="rId262" Type="http://schemas.openxmlformats.org/officeDocument/2006/relationships/hyperlink" Target="https://drive.google.com/file/d/1xOPDBiutDsUcljQkrhY4_4Ho6vGNem5I/view?usp=drivesdk" TargetMode="External"/><Relationship Id="rId383" Type="http://schemas.openxmlformats.org/officeDocument/2006/relationships/hyperlink" Target="https://drive.google.com/file/d/1mqHsEuBiuAkI9IQqrp9iBb4ZzPvSo2Hw/view?usp=drivesdk" TargetMode="External"/><Relationship Id="rId140" Type="http://schemas.openxmlformats.org/officeDocument/2006/relationships/hyperlink" Target="https://drive.google.com/drive/folders/1oDDFY2xrlyT8xOLSLtaWcTorLaV2gd-T?usp=sharing" TargetMode="External"/><Relationship Id="rId261" Type="http://schemas.openxmlformats.org/officeDocument/2006/relationships/hyperlink" Target="https://drive.google.com/file/d/1828YPcHKu6psAeNtu5uNmkT3uRrX203z/view?usp=drivesdk" TargetMode="External"/><Relationship Id="rId382" Type="http://schemas.openxmlformats.org/officeDocument/2006/relationships/hyperlink" Target="https://drive.google.com/drive/folders/1I6nLkdMZqvJAU2L43X-kVh_2_sopTxj3" TargetMode="External"/><Relationship Id="rId5" Type="http://schemas.openxmlformats.org/officeDocument/2006/relationships/hyperlink" Target="https://drive.google.com/drive/folders/1LUwVcKfRJZTw2XbLLprTSDJ04eWDmd0c?usp=sharing" TargetMode="External"/><Relationship Id="rId147" Type="http://schemas.openxmlformats.org/officeDocument/2006/relationships/hyperlink" Target="https://drive.google.com/drive/folders/1RiA64zDPMGWcUQJbujjzdvuiiFbqOYv-" TargetMode="External"/><Relationship Id="rId268" Type="http://schemas.openxmlformats.org/officeDocument/2006/relationships/hyperlink" Target="https://drive.google.com/open?id=1N6zbpCJ1tfnv8iIDpu8YUaVtAb3NFRNv" TargetMode="External"/><Relationship Id="rId389" Type="http://schemas.openxmlformats.org/officeDocument/2006/relationships/hyperlink" Target="https://drive.google.com/drive/folders/1LVjY_dM104LYW2SS6hI4p3y_74uBxRxg" TargetMode="External"/><Relationship Id="rId6" Type="http://schemas.openxmlformats.org/officeDocument/2006/relationships/hyperlink" Target="https://drive.google.com/drive/folders/1sbX_gWwophHrTMrZOyC0f5Nbdw36cMSx" TargetMode="External"/><Relationship Id="rId146" Type="http://schemas.openxmlformats.org/officeDocument/2006/relationships/hyperlink" Target="https://drive.google.com/file/d/10gR1poUJUv4Bp7RvR9-QMDkoqIoCFID6/view?usp=drivesdk" TargetMode="External"/><Relationship Id="rId267" Type="http://schemas.openxmlformats.org/officeDocument/2006/relationships/hyperlink" Target="https://drive.google.com/drive/folders/1MSCACZOM7BzVsQwuJ0JlJxgh0BU8L-UG" TargetMode="External"/><Relationship Id="rId388" Type="http://schemas.openxmlformats.org/officeDocument/2006/relationships/hyperlink" Target="https://drive.google.com/open?id=1Tero7wxuYRFJD15Nwjf-mpzKUdENWFSi" TargetMode="External"/><Relationship Id="rId7" Type="http://schemas.openxmlformats.org/officeDocument/2006/relationships/hyperlink" Target="https://drive.google.com/drive/folders/1nSG76BaQdtMG-CDvZEJRGPQJe22CUPnC" TargetMode="External"/><Relationship Id="rId145" Type="http://schemas.openxmlformats.org/officeDocument/2006/relationships/hyperlink" Target="https://drive.google.com/drive/folders/1KztHH-x7AAkCa0Y68fAPNtOjI1uXYp8N" TargetMode="External"/><Relationship Id="rId266" Type="http://schemas.openxmlformats.org/officeDocument/2006/relationships/hyperlink" Target="https://drive.google.com/open?id=1YSxUo6otlpnmQDm2V2_VyILCo96nBpQ1" TargetMode="External"/><Relationship Id="rId387" Type="http://schemas.openxmlformats.org/officeDocument/2006/relationships/hyperlink" Target="https://drive.google.com/file/d/1n2WAyt9F20OXDGt_kHtZrYIWrFHd46Gv/view?usp=drive_link" TargetMode="External"/><Relationship Id="rId8" Type="http://schemas.openxmlformats.org/officeDocument/2006/relationships/hyperlink" Target="https://drive.google.com/drive/folders/1yCvx2arxXyITby30A4zMMaHb1zIP3NMt?hl=ID" TargetMode="External"/><Relationship Id="rId144" Type="http://schemas.openxmlformats.org/officeDocument/2006/relationships/hyperlink" Target="https://drive.google.com/file/d/143JHDzse3sObZEzbFHQZvZdWWfCEdKTl/view?usp=drivesdk" TargetMode="External"/><Relationship Id="rId265" Type="http://schemas.openxmlformats.org/officeDocument/2006/relationships/hyperlink" Target="https://drive.google.com/file/d/1kebzPEnjn8cLYmp2y7HRyvi4KUEM7GYg/view?usp=sharing" TargetMode="External"/><Relationship Id="rId386" Type="http://schemas.openxmlformats.org/officeDocument/2006/relationships/hyperlink" Target="https://drive.google.com/open?id=1ob8mAKiXrDZQtJQapkC2gNfYon89bQnI" TargetMode="External"/><Relationship Id="rId260" Type="http://schemas.openxmlformats.org/officeDocument/2006/relationships/hyperlink" Target="https://drive.google.com/open?id=1e1BnOFWjJWkpXp0QWDjDOrERBYvo68Xx" TargetMode="External"/><Relationship Id="rId381" Type="http://schemas.openxmlformats.org/officeDocument/2006/relationships/hyperlink" Target="https://drive.google.com/open?id=1BNPA1Mbkwluk1NfmGRRYFVZPuP-F0Fmx" TargetMode="External"/><Relationship Id="rId380" Type="http://schemas.openxmlformats.org/officeDocument/2006/relationships/hyperlink" Target="https://drive.google.com/file/d/1Z0OtvaaPj_hoVvHlUmcOKq1RJZ8us2f0/view?usp=sharing" TargetMode="External"/><Relationship Id="rId139" Type="http://schemas.openxmlformats.org/officeDocument/2006/relationships/hyperlink" Target="https://drive.google.com/file/d/1YlN9LWOGX_duy7lpVzaDTpDDBGlh7HwO/view?usp=drivesdk" TargetMode="External"/><Relationship Id="rId138" Type="http://schemas.openxmlformats.org/officeDocument/2006/relationships/hyperlink" Target="https://drive.google.com/file/d/1xC1-O8NQibAtMRCBDo8VBwZEXn2Edt3L/view?usp=drivesdk" TargetMode="External"/><Relationship Id="rId259" Type="http://schemas.openxmlformats.org/officeDocument/2006/relationships/hyperlink" Target="https://drive.google.com/file/d/1zUFHU7edYhhn5rtoUV5i6yHLXhfx_YPt/view?usp=drivesdk" TargetMode="External"/><Relationship Id="rId137" Type="http://schemas.openxmlformats.org/officeDocument/2006/relationships/hyperlink" Target="https://drive.google.com/drive/folders/1-40u8UNH_SNeIkwr8FZ6hdjDyNuH11WZ" TargetMode="External"/><Relationship Id="rId258" Type="http://schemas.openxmlformats.org/officeDocument/2006/relationships/hyperlink" Target="https://drive.google.com/drive/folders/13mZOYxtPxMB3lu4cg9nGsyp06JExoD3V" TargetMode="External"/><Relationship Id="rId379" Type="http://schemas.openxmlformats.org/officeDocument/2006/relationships/hyperlink" Target="https://drive.google.com/open?id=1lPLcJeflAkOP4t5DkRolkpH8Hh6VBEyL" TargetMode="External"/><Relationship Id="rId132" Type="http://schemas.openxmlformats.org/officeDocument/2006/relationships/hyperlink" Target="https://drive.google.com/file/d/1Cp2XvZpha_BsmVKXrwzzbt50zrXWFIgd/view?usp=sharing" TargetMode="External"/><Relationship Id="rId253" Type="http://schemas.openxmlformats.org/officeDocument/2006/relationships/hyperlink" Target="https://drive.google.com/open?id=1bFUJ2Qt4v56uhI32hQ2Cv95ucKLoP4MF" TargetMode="External"/><Relationship Id="rId374" Type="http://schemas.openxmlformats.org/officeDocument/2006/relationships/hyperlink" Target="https://drive.google.com/open?id=1v0OvSZeu0kAF5sP-dxp4DA3fI3GPwDUf" TargetMode="External"/><Relationship Id="rId131" Type="http://schemas.openxmlformats.org/officeDocument/2006/relationships/hyperlink" Target="https://drive.google.com/file/d/1q-2IZ9iExO_p1ito2WG__QJ0JhY5ERou/view?usp=drivesdk" TargetMode="External"/><Relationship Id="rId252" Type="http://schemas.openxmlformats.org/officeDocument/2006/relationships/hyperlink" Target="https://drive.google.com/file/d/1pM2_9_ydITQwkfilNCICdwxqTh-anOk_/view?usp=drivesdk" TargetMode="External"/><Relationship Id="rId373" Type="http://schemas.openxmlformats.org/officeDocument/2006/relationships/hyperlink" Target="https://drive.google.com/file/d/1jfu9QLcFkUIRToh11Ezjc2rHHgjxXIzl/view?usp=drivesdk" TargetMode="External"/><Relationship Id="rId130" Type="http://schemas.openxmlformats.org/officeDocument/2006/relationships/hyperlink" Target="https://drive.google.com/file/d/1mWsPvV-wLUvQFuPoZ0oy-IU7zRHdrqM2/view?usp=drivesdk" TargetMode="External"/><Relationship Id="rId251" Type="http://schemas.openxmlformats.org/officeDocument/2006/relationships/hyperlink" Target="https://drive.google.com/file/d/1MZapdCM3BI0aEDf1zUk79aECGn5lhx0U/view?usp=drivesdk" TargetMode="External"/><Relationship Id="rId372" Type="http://schemas.openxmlformats.org/officeDocument/2006/relationships/hyperlink" Target="https://drive.google.com/file/d/135s2eY1pnAEWfIfOiMIwnJXlWbqMIkCP/view?usp=sharing" TargetMode="External"/><Relationship Id="rId250" Type="http://schemas.openxmlformats.org/officeDocument/2006/relationships/hyperlink" Target="https://drive.google.com/open?id=1TyHTEJgn2IGyLDTEmzt_EBAEENFKub6d" TargetMode="External"/><Relationship Id="rId371" Type="http://schemas.openxmlformats.org/officeDocument/2006/relationships/hyperlink" Target="https://drive.google.com/open?id=10biL2L-Yv12WNuw04xgno9JseVyuPRZh" TargetMode="External"/><Relationship Id="rId136" Type="http://schemas.openxmlformats.org/officeDocument/2006/relationships/hyperlink" Target="https://drive.google.com/drive/folders/18yBJOjtpw6PsG4DRETVg2yP5SJnmcY39?usp=sharing" TargetMode="External"/><Relationship Id="rId257" Type="http://schemas.openxmlformats.org/officeDocument/2006/relationships/hyperlink" Target="https://drive.google.com/open?id=1-Wn5XUd-SaWXtzXivToimWAhKmVjOIve" TargetMode="External"/><Relationship Id="rId378" Type="http://schemas.openxmlformats.org/officeDocument/2006/relationships/hyperlink" Target="https://drive.google.com/file/d/1TSMxPbSYCE-wGzRrKrkCo5WhXMY4oK6Y/view?usp=drivesdk" TargetMode="External"/><Relationship Id="rId135" Type="http://schemas.openxmlformats.org/officeDocument/2006/relationships/hyperlink" Target="https://drive.google.com/drive/folders/1ZqAJMDrwcjCIBwezainJPSq-Af5FR8ad?usp=sharing" TargetMode="External"/><Relationship Id="rId256" Type="http://schemas.openxmlformats.org/officeDocument/2006/relationships/hyperlink" Target="https://drive.google.com/open?id=1y6TdiYDHlTqqV5zCA5fhfaZCRJu-iV02" TargetMode="External"/><Relationship Id="rId377" Type="http://schemas.openxmlformats.org/officeDocument/2006/relationships/hyperlink" Target="https://drive.google.com/open?id=1Ly0YqjhuygZ9yiU9FdUIthfmXv-qtJiQ" TargetMode="External"/><Relationship Id="rId134" Type="http://schemas.openxmlformats.org/officeDocument/2006/relationships/hyperlink" Target="https://drive.google.com/file/d/1-BbTbD6dRGBlX3AWGJ92R7ATswHSzRJr/view?usp=drivesdk" TargetMode="External"/><Relationship Id="rId255" Type="http://schemas.openxmlformats.org/officeDocument/2006/relationships/hyperlink" Target="https://drive.google.com/file/d/1FO1apaLrvm6OonO-6m8-hbivpRlxH__O/view?usp=sharing" TargetMode="External"/><Relationship Id="rId376" Type="http://schemas.openxmlformats.org/officeDocument/2006/relationships/hyperlink" Target="https://drive.google.com/file/d/15DvaHVYPeSBauHFW_AUm0GxGrFWrx0UA/view?usp=drivesdk" TargetMode="External"/><Relationship Id="rId133" Type="http://schemas.openxmlformats.org/officeDocument/2006/relationships/hyperlink" Target="https://drive.google.com/drive/folders/1ow4-6NaDSh-0U4S7plIc-icO8HYC61WV?usp=sharing" TargetMode="External"/><Relationship Id="rId254" Type="http://schemas.openxmlformats.org/officeDocument/2006/relationships/hyperlink" Target="https://drive.google.com/file/d/1q2WATHk4Ogu6nNhq0EnQlwkB49xuDrUM/view?usp=drive_link" TargetMode="External"/><Relationship Id="rId375" Type="http://schemas.openxmlformats.org/officeDocument/2006/relationships/hyperlink" Target="https://drive.google.com/drive/folders/1BOLsbpZenoUTbTOk1887z8HGqXUo-DJ1" TargetMode="External"/><Relationship Id="rId172" Type="http://schemas.openxmlformats.org/officeDocument/2006/relationships/hyperlink" Target="https://drive.google.com/drive/folders/1LTWCeJsS3uOTO0e7hqMI7AzpaE9Twr0Q" TargetMode="External"/><Relationship Id="rId293" Type="http://schemas.openxmlformats.org/officeDocument/2006/relationships/hyperlink" Target="https://drive.google.com/open?id=13efrdOnk2YAnhyQB6NFga0E7riHni7kP" TargetMode="External"/><Relationship Id="rId171" Type="http://schemas.openxmlformats.org/officeDocument/2006/relationships/hyperlink" Target="https://drive.google.com/file/d/1g0DJjf0-Ir1o_hN675z6JetJWDctZMtK/view?usp=drive_link" TargetMode="External"/><Relationship Id="rId292" Type="http://schemas.openxmlformats.org/officeDocument/2006/relationships/hyperlink" Target="https://drive.google.com/file/d/1PsEE8P50ldpBgaiCWhSJgB8M5EUIE9P9/view?usp=sharing" TargetMode="External"/><Relationship Id="rId170" Type="http://schemas.openxmlformats.org/officeDocument/2006/relationships/hyperlink" Target="https://drive.google.com/drive/folders/1UYBeT19vfcK88TXH2vxKfNkkOJm3Yxon?usp=sharing" TargetMode="External"/><Relationship Id="rId291" Type="http://schemas.openxmlformats.org/officeDocument/2006/relationships/hyperlink" Target="https://drive.google.com/drive/project/1ypNhOfZ1ErOar424uG5L-X1688R0hlne?usp=sharing" TargetMode="External"/><Relationship Id="rId290" Type="http://schemas.openxmlformats.org/officeDocument/2006/relationships/hyperlink" Target="https://drive.google.com/open?id=1li1CUEKu0XCU_tmEhaP6CafX3qmhIcTC" TargetMode="External"/><Relationship Id="rId165" Type="http://schemas.openxmlformats.org/officeDocument/2006/relationships/hyperlink" Target="https://drive.google.com/drive/folders/1mnSHPVEjQdxRANgN3JMjVU82XqtfeJhp?usp=sharing" TargetMode="External"/><Relationship Id="rId286" Type="http://schemas.openxmlformats.org/officeDocument/2006/relationships/hyperlink" Target="https://drive.google.com/file/d/1-TaIQ-qTH3qR6Y29OSSEaY-clgJR9eLz/view?usp=drivesdk" TargetMode="External"/><Relationship Id="rId164" Type="http://schemas.openxmlformats.org/officeDocument/2006/relationships/hyperlink" Target="https://drive.google.com/file/d/1Y1HflIYtf8a__N_hRkDkNxk37uHu01vn/view?usp=drive_link" TargetMode="External"/><Relationship Id="rId285" Type="http://schemas.openxmlformats.org/officeDocument/2006/relationships/hyperlink" Target="https://drive.google.com/open?id=1_eKchie8AK4JPg7bK13FqM0WGnXoz7Cd" TargetMode="External"/><Relationship Id="rId163" Type="http://schemas.openxmlformats.org/officeDocument/2006/relationships/hyperlink" Target="https://drive.google.com/drive/folders/1p-kQdNiRgjOIiTD_RhX1uvRJKUvgJ4xc?usp=sharing" TargetMode="External"/><Relationship Id="rId284" Type="http://schemas.openxmlformats.org/officeDocument/2006/relationships/hyperlink" Target="https://drive.google.com/drive/folders/1ow4-6NaDSh-0U4S7plIc-icO8HYC61WV?usp=sharing" TargetMode="External"/><Relationship Id="rId162" Type="http://schemas.openxmlformats.org/officeDocument/2006/relationships/hyperlink" Target="https://drive.google.com/file/d/1cmV4eplHOudpvjZyn_HVJK6lNiw9g58G/view?usp=drivesdk" TargetMode="External"/><Relationship Id="rId283" Type="http://schemas.openxmlformats.org/officeDocument/2006/relationships/hyperlink" Target="https://drive.google.com/file/d/1Cp2XvZpha_BsmVKXrwzzbt50zrXWFIgd/view?usp=sharing" TargetMode="External"/><Relationship Id="rId169" Type="http://schemas.openxmlformats.org/officeDocument/2006/relationships/hyperlink" Target="https://drive.google.com/file/d/1-SETGpp9B0XD1g83-CBJArNMGexKzuCJ/view?usp=drivesdk" TargetMode="External"/><Relationship Id="rId168" Type="http://schemas.openxmlformats.org/officeDocument/2006/relationships/hyperlink" Target="https://drive.google.com/file/d/1W9Fy8z1hWSMDv7tcpLGtmPPvb85l4l67/view?usp=drivesdk" TargetMode="External"/><Relationship Id="rId289" Type="http://schemas.openxmlformats.org/officeDocument/2006/relationships/hyperlink" Target="https://drive.google.com/file/d/1AfQy3sXG0vwWQZi-bW91KmA1x5v2byR0/view?usp=drivesdk" TargetMode="External"/><Relationship Id="rId167" Type="http://schemas.openxmlformats.org/officeDocument/2006/relationships/hyperlink" Target="https://drive.google.com/drive/folders/1Jo5cOOJOGSkcnrln3SZE_oV49sGq04i6?usp=drive_link" TargetMode="External"/><Relationship Id="rId288" Type="http://schemas.openxmlformats.org/officeDocument/2006/relationships/hyperlink" Target="https://drive.google.com/drive/folders/1mPwEHOmEtm1mnwgvhXtqIN7Ec_tO0qIR" TargetMode="External"/><Relationship Id="rId166" Type="http://schemas.openxmlformats.org/officeDocument/2006/relationships/hyperlink" Target="https://drive.google.com/file/d/16iPyUf7iTQQhSLQ91kRa-Q5r3R0NU1Zz/view?usp=drive_link" TargetMode="External"/><Relationship Id="rId287" Type="http://schemas.openxmlformats.org/officeDocument/2006/relationships/hyperlink" Target="https://drive.google.com/open?id=19eR_aYZGb-0a2r-q_mX5F2e_byiiyeRc" TargetMode="External"/><Relationship Id="rId161" Type="http://schemas.openxmlformats.org/officeDocument/2006/relationships/hyperlink" Target="https://drive.google.com/file/d/1esCIwzUph4H8JVvdlxBZpkGt2mgfGEOw/view?usp=sharing" TargetMode="External"/><Relationship Id="rId282" Type="http://schemas.openxmlformats.org/officeDocument/2006/relationships/hyperlink" Target="https://drive.google.com/open?id=1vW5UTUaNOhJUK3zusOjr2AE5BtCVDS5H" TargetMode="External"/><Relationship Id="rId160" Type="http://schemas.openxmlformats.org/officeDocument/2006/relationships/hyperlink" Target="https://drive.google.com/drive/folders/17MT469v6DaHmpoLFdWBe241N_dObmepV?usp=drive_link" TargetMode="External"/><Relationship Id="rId281" Type="http://schemas.openxmlformats.org/officeDocument/2006/relationships/hyperlink" Target="https://drive.google.com/file/d/1fgjFP7heZob1byrZ08PNTEvBkkmy4XS3/view?usp=drivesdk" TargetMode="External"/><Relationship Id="rId280" Type="http://schemas.openxmlformats.org/officeDocument/2006/relationships/hyperlink" Target="https://drive.google.com/file/d/1tEeQRo0wNeGKuciO9W-2k-w4rrEA90mB/view?usp=drivesdk" TargetMode="External"/><Relationship Id="rId159" Type="http://schemas.openxmlformats.org/officeDocument/2006/relationships/hyperlink" Target="https://drive.google.com/drive/folders/17MT469v6DaHmpoLFdWBe241N_dObmepV?usp=drive_link" TargetMode="External"/><Relationship Id="rId154" Type="http://schemas.openxmlformats.org/officeDocument/2006/relationships/hyperlink" Target="https://drive.google.com/drive/folders/19r7Cl5nUN2M2MKhSE7bGX8tAGaPZ57JC" TargetMode="External"/><Relationship Id="rId275" Type="http://schemas.openxmlformats.org/officeDocument/2006/relationships/hyperlink" Target="https://drive.google.com/file/d/1e3MIskV95w9vhLcemJFBqQ339QT6D07m/view?usp=drivesdk" TargetMode="External"/><Relationship Id="rId396" Type="http://schemas.openxmlformats.org/officeDocument/2006/relationships/hyperlink" Target="https://drive.google.com/drive/folders/1jF5iXvAak7HvSCd1b7rBtYYGGnJAKMtV?usp=sharing" TargetMode="External"/><Relationship Id="rId153" Type="http://schemas.openxmlformats.org/officeDocument/2006/relationships/hyperlink" Target="https://drive.google.com/drive/folders/1QCz4bH3wjl2517dnFzL0-0FyB0_Hr0eA?usp=sharing" TargetMode="External"/><Relationship Id="rId274" Type="http://schemas.openxmlformats.org/officeDocument/2006/relationships/hyperlink" Target="https://drive.google.com/open?id=1Sa3m1E248jbKo6mNiEQ--47DLK3YRc9s" TargetMode="External"/><Relationship Id="rId395" Type="http://schemas.openxmlformats.org/officeDocument/2006/relationships/hyperlink" Target="https://drive.google.com/drive/folders/1WxNebxIxkO-FMfKaVDq0uLdP2F8Kp-nT?usp=sharing" TargetMode="External"/><Relationship Id="rId152" Type="http://schemas.openxmlformats.org/officeDocument/2006/relationships/hyperlink" Target="https://drive.google.com/drive/folders/1QCz4bH3wjl2517dnFzL0-0FyB0_Hr0eA?usp=sharing" TargetMode="External"/><Relationship Id="rId273" Type="http://schemas.openxmlformats.org/officeDocument/2006/relationships/hyperlink" Target="https://drive.google.com/file/d/10nhWSrB9Ujt_hKAXf4doFhwHicSA0Cgt/view?usp=drivesdk" TargetMode="External"/><Relationship Id="rId394" Type="http://schemas.openxmlformats.org/officeDocument/2006/relationships/hyperlink" Target="https://drive.google.com/open?id=1EB8Kp8OO2zPVtEV1dJpG4G1jCKeuSklr" TargetMode="External"/><Relationship Id="rId151" Type="http://schemas.openxmlformats.org/officeDocument/2006/relationships/hyperlink" Target="https://drive.google.com/drive/folders/11IqJDpjcTXnE4CSXbzC3pwb5BIKVYs--?usp=drive_link" TargetMode="External"/><Relationship Id="rId272" Type="http://schemas.openxmlformats.org/officeDocument/2006/relationships/hyperlink" Target="https://drive.google.com/file/d/1Q1G14BzAhbQSQoSiLSt9YJjxUYVzcP6x/view?usp=drivesdk" TargetMode="External"/><Relationship Id="rId393" Type="http://schemas.openxmlformats.org/officeDocument/2006/relationships/hyperlink" Target="https://drive.google.com/drive/folders/1q5MXF6g_jehPTrF_zsdYxpbD_t6As1he?usp=sharing" TargetMode="External"/><Relationship Id="rId158" Type="http://schemas.openxmlformats.org/officeDocument/2006/relationships/hyperlink" Target="https://drive.google.com/drive/folders/1YLcx8j3x4rEq2EPc1oUEnY0ns2CZx521" TargetMode="External"/><Relationship Id="rId279" Type="http://schemas.openxmlformats.org/officeDocument/2006/relationships/hyperlink" Target="https://drive.google.com/open?id=1wnAGa_ZOP4sX5bhQJCKGTnTIC5pjRHH6" TargetMode="External"/><Relationship Id="rId157" Type="http://schemas.openxmlformats.org/officeDocument/2006/relationships/hyperlink" Target="https://drive.google.com/drive/folders/1Eea9hOlnFGbYLubLsrKFIDH0A0S4mwyr" TargetMode="External"/><Relationship Id="rId278" Type="http://schemas.openxmlformats.org/officeDocument/2006/relationships/hyperlink" Target="https://drive.google.com/drive/folders/1HSEr75Zc8RhUxysY7jW4NqvKaxmcwt7C?usp=sharing" TargetMode="External"/><Relationship Id="rId399" Type="http://schemas.openxmlformats.org/officeDocument/2006/relationships/hyperlink" Target="https://youtu.be/s8eTiNsgjME?si=Q4fka42_T56GGDeF" TargetMode="External"/><Relationship Id="rId156" Type="http://schemas.openxmlformats.org/officeDocument/2006/relationships/hyperlink" Target="https://youtu.be/37xNnZIRYh8?si=ZntzwVImPe4feJBs" TargetMode="External"/><Relationship Id="rId277" Type="http://schemas.openxmlformats.org/officeDocument/2006/relationships/hyperlink" Target="https://drive.google.com/drive/folders/1HSEr75Zc8RhUxysY7jW4NqvKaxmcwt7C?usp=sharing" TargetMode="External"/><Relationship Id="rId398" Type="http://schemas.openxmlformats.org/officeDocument/2006/relationships/hyperlink" Target="https://drive.google.com/drive/folders/1YSuJjYatX6HeWWXX2IyrLBKYKqMxmqqH" TargetMode="External"/><Relationship Id="rId155" Type="http://schemas.openxmlformats.org/officeDocument/2006/relationships/hyperlink" Target="https://drive.google.com/drive/u/0/folders/1wXlUMPMbMO0PPDAIm87fHTYI2gRiO5u_" TargetMode="External"/><Relationship Id="rId276" Type="http://schemas.openxmlformats.org/officeDocument/2006/relationships/hyperlink" Target="https://drive.google.com/open?id=1o9nod8kmC_gokMKK38rh2YfoxHydqneD" TargetMode="External"/><Relationship Id="rId397" Type="http://schemas.openxmlformats.org/officeDocument/2006/relationships/hyperlink" Target="https://drive.google.com/open?id=19fbpFT8OlpIPyOGAInadGmE2ynkwlMLY" TargetMode="External"/><Relationship Id="rId40" Type="http://schemas.openxmlformats.org/officeDocument/2006/relationships/hyperlink" Target="https://drive.google.com/drive/folders/1L5fpaS1ICiKr9JtvjgoxgIawdl_9z-EH?usp=sharing" TargetMode="External"/><Relationship Id="rId42" Type="http://schemas.openxmlformats.org/officeDocument/2006/relationships/hyperlink" Target="https://drive.google.com/drive/folders/13-I7mBQQA8ynEqdL74VxwPk3mvJOc4i4" TargetMode="External"/><Relationship Id="rId41" Type="http://schemas.openxmlformats.org/officeDocument/2006/relationships/hyperlink" Target="https://drive.google.com/drive/folders/18L-lFRallenmFr2eSdMYor8T3gFby5iv?usp=sharing" TargetMode="External"/><Relationship Id="rId44" Type="http://schemas.openxmlformats.org/officeDocument/2006/relationships/hyperlink" Target="https://drive.google.com/drive/folders/1adI29tKHJKq3bur8xGZSWfHHrhJWKmVY" TargetMode="External"/><Relationship Id="rId43" Type="http://schemas.openxmlformats.org/officeDocument/2006/relationships/hyperlink" Target="https://drive.google.com/drive/folders/1lbHZOdolmlsxx6yX2iLAARnS1OT7OdSP" TargetMode="External"/><Relationship Id="rId46" Type="http://schemas.openxmlformats.org/officeDocument/2006/relationships/hyperlink" Target="https://drive.google.com/drive/folders/1tEAq9LnaQpzTD0-eTxuLY8gkiO9MuXKQ?usp=sharing" TargetMode="External"/><Relationship Id="rId45" Type="http://schemas.openxmlformats.org/officeDocument/2006/relationships/hyperlink" Target="https://drive.google.com/drive/folders/1IBUHZ570KJFy5CmkAqk3hdSbP9e0B9cp" TargetMode="External"/><Relationship Id="rId48" Type="http://schemas.openxmlformats.org/officeDocument/2006/relationships/hyperlink" Target="https://drive.google.com/drive/folders/1k_AcGyq3Q6qsc9WEwa0jYfv1W0X4zc2g?usp=sharing" TargetMode="External"/><Relationship Id="rId47" Type="http://schemas.openxmlformats.org/officeDocument/2006/relationships/hyperlink" Target="https://drive.google.com/file/d/14HJ3UJHAzqXiOJWas24_Koh5HDncUtR-/view?usp=sharing" TargetMode="External"/><Relationship Id="rId49" Type="http://schemas.openxmlformats.org/officeDocument/2006/relationships/hyperlink" Target="https://drive.google.com/drive/folders/1hp2AsPIKeEgMhUWbzwgDRHlp34wSTNCN?usp=sharing" TargetMode="External"/><Relationship Id="rId31" Type="http://schemas.openxmlformats.org/officeDocument/2006/relationships/hyperlink" Target="https://drive.google.com/file/d/16I25Hub_4HCCCCFxaPj0dOUzgE7zysB3/view?usp=sharing" TargetMode="External"/><Relationship Id="rId30" Type="http://schemas.openxmlformats.org/officeDocument/2006/relationships/hyperlink" Target="https://drive.google.com/drive/folders/12b_894tcCUKoJy5WHk7I7pof-VbaAG9v?usp=sharing" TargetMode="External"/><Relationship Id="rId33" Type="http://schemas.openxmlformats.org/officeDocument/2006/relationships/hyperlink" Target="https://drive.google.com/folderview?id=1-GJrqYOfO4bnWQzG1X4FXH_EjpFWvBSi" TargetMode="External"/><Relationship Id="rId32" Type="http://schemas.openxmlformats.org/officeDocument/2006/relationships/hyperlink" Target="https://drive.google.com/folderview?id=1-H0dgyCTkBx1Sx2sbwB_7BZN52kyclaR" TargetMode="External"/><Relationship Id="rId35" Type="http://schemas.openxmlformats.org/officeDocument/2006/relationships/hyperlink" Target="https://drive.google.com/file/d/1ZM2qaVqkQD-_tnv9zBhxAM7nrL9WyS0c/view?usp=drive_link" TargetMode="External"/><Relationship Id="rId34" Type="http://schemas.openxmlformats.org/officeDocument/2006/relationships/hyperlink" Target="https://drive.google.com/drive/folders/1m91u-ixafYRtV4PP1DwSgpzZITA4pMTK?usp=sharing" TargetMode="External"/><Relationship Id="rId37" Type="http://schemas.openxmlformats.org/officeDocument/2006/relationships/hyperlink" Target="https://drive.google.com/drive/folders/1PzS9P01UHo8ahunVVv6jD4ARfGViRjOG" TargetMode="External"/><Relationship Id="rId36" Type="http://schemas.openxmlformats.org/officeDocument/2006/relationships/hyperlink" Target="https://drive.google.com/drive/folders/1qirwr70MFDx3AkmSPCtOXtF91TmXq43v" TargetMode="External"/><Relationship Id="rId39" Type="http://schemas.openxmlformats.org/officeDocument/2006/relationships/hyperlink" Target="https://drive.google.com/drive/folders/19wdv2SGiikjLmsRGeg6Us3PtGVYARdEH?usp=sharing" TargetMode="External"/><Relationship Id="rId38" Type="http://schemas.openxmlformats.org/officeDocument/2006/relationships/hyperlink" Target="https://drive.google.com/drive/folders/1qtGqu3dQCug1Ta3kijfkP0VPhlHpTTpT?usp=drive_link" TargetMode="External"/><Relationship Id="rId20" Type="http://schemas.openxmlformats.org/officeDocument/2006/relationships/hyperlink" Target="https://drive.google.com/drive/folders/14tm61sfbexmy9YMN6u3Mp_YaYsqT-5st" TargetMode="External"/><Relationship Id="rId22" Type="http://schemas.openxmlformats.org/officeDocument/2006/relationships/hyperlink" Target="https://drive.google.com/drive/folders/15ZPYQ3Clfe0EygnIfgBgzYEpRIik_sBB?usp=sharing" TargetMode="External"/><Relationship Id="rId21" Type="http://schemas.openxmlformats.org/officeDocument/2006/relationships/hyperlink" Target="https://drive.google.com/drive/folders/1e8cKyNE3L_Zkdzx_WNKYqXprhRNVOZaq?usp=sharing" TargetMode="External"/><Relationship Id="rId24" Type="http://schemas.openxmlformats.org/officeDocument/2006/relationships/hyperlink" Target="https://drive.google.com/drive/folders/11lA10UXXoYhzvsfhUICgbtGtbGv8eSte" TargetMode="External"/><Relationship Id="rId23" Type="http://schemas.openxmlformats.org/officeDocument/2006/relationships/hyperlink" Target="https://drive.google.com/drive/folders/11lA10UXXoYhzvsfhUICgbtGtbGv8eSte" TargetMode="External"/><Relationship Id="rId409" Type="http://schemas.openxmlformats.org/officeDocument/2006/relationships/hyperlink" Target="https://drive.google.com/drive/folders/1U8I5vPnWwIsN2f8oExY0XJlhTyhNt1PA" TargetMode="External"/><Relationship Id="rId404" Type="http://schemas.openxmlformats.org/officeDocument/2006/relationships/hyperlink" Target="https://drive.google.com/file/d/1aPeTRXqQ99p9K_WWsJwflL0YYD7NrQtE/view?usp=drivesdk" TargetMode="External"/><Relationship Id="rId403" Type="http://schemas.openxmlformats.org/officeDocument/2006/relationships/hyperlink" Target="https://drive.google.com/open?id=1i_sH4jbEtFWxETz7lmRSkOaoSntBuCCz" TargetMode="External"/><Relationship Id="rId402" Type="http://schemas.openxmlformats.org/officeDocument/2006/relationships/hyperlink" Target="https://drive.google.com/drive/folders/12gvXc4u-CJvLa9dRi4J6Dv223OV0Uy_c" TargetMode="External"/><Relationship Id="rId401" Type="http://schemas.openxmlformats.org/officeDocument/2006/relationships/hyperlink" Target="https://drive.google.com/drive/folders/1QNufrZxxerCm2AkkS7Wgw_FZ8T9yjmy3" TargetMode="External"/><Relationship Id="rId408" Type="http://schemas.openxmlformats.org/officeDocument/2006/relationships/hyperlink" Target="https://drive.google.com/open?id=1iLdDNZ6ANl2FKkpWWiXnOy-Tl9n4nbB8" TargetMode="External"/><Relationship Id="rId407" Type="http://schemas.openxmlformats.org/officeDocument/2006/relationships/hyperlink" Target="https://drive.google.com/file/d/1Ufyc9tWS1ANuf-f0gjQrhNhNSwyNN7Ih/view?usp=drivesdk" TargetMode="External"/><Relationship Id="rId406" Type="http://schemas.openxmlformats.org/officeDocument/2006/relationships/hyperlink" Target="https://drive.google.com/open?id=1pM1_X0C_jQsuTqGqi2D3eSXNsP4xNaJw" TargetMode="External"/><Relationship Id="rId405" Type="http://schemas.openxmlformats.org/officeDocument/2006/relationships/hyperlink" Target="https://drive.google.com/file/d/1Fk2iDKXorKUI_KKNxIOx6us3Z02nTHO1/view?usp=drivesdk" TargetMode="External"/><Relationship Id="rId26" Type="http://schemas.openxmlformats.org/officeDocument/2006/relationships/hyperlink" Target="https://uns.id/veditukinthaariq" TargetMode="External"/><Relationship Id="rId25" Type="http://schemas.openxmlformats.org/officeDocument/2006/relationships/hyperlink" Target="https://uns.id/sertifpendidikanthaariq" TargetMode="External"/><Relationship Id="rId28" Type="http://schemas.openxmlformats.org/officeDocument/2006/relationships/hyperlink" Target="https://drive.google.com/drive/folders/1PUlPUxJ9ULoWvGmLXEt0GU-YNtECwhXO" TargetMode="External"/><Relationship Id="rId27" Type="http://schemas.openxmlformats.org/officeDocument/2006/relationships/hyperlink" Target="https://drive.google.com/drive/folders/1GuUofoo8Ml4RxgfNRLC35L22Cqhy-kvo?usp=drive_link" TargetMode="External"/><Relationship Id="rId400" Type="http://schemas.openxmlformats.org/officeDocument/2006/relationships/hyperlink" Target="https://drive.google.com/open?id=1xmKdsFkyKUkzWAbg-R1yzR_XaY1XjXvI" TargetMode="External"/><Relationship Id="rId29" Type="http://schemas.openxmlformats.org/officeDocument/2006/relationships/hyperlink" Target="https://drive.google.com/drive/folders/1cJkn_IoYOOXnOYMya1m1-G4ZZwiFqF5_" TargetMode="External"/><Relationship Id="rId11" Type="http://schemas.openxmlformats.org/officeDocument/2006/relationships/hyperlink" Target="https://drive.google.com/drive/folders/1zI1VsvS3r7N2xgGHzHSOeXsPBlYpL9ku?usp=sharing" TargetMode="External"/><Relationship Id="rId10" Type="http://schemas.openxmlformats.org/officeDocument/2006/relationships/hyperlink" Target="https://drive.google.com/drive/folders/1v7ET-0MLyK3nfkDv6QSCOQu7jdaH58zl" TargetMode="External"/><Relationship Id="rId13" Type="http://schemas.openxmlformats.org/officeDocument/2006/relationships/hyperlink" Target="https://drive.google.com/file/d/1X90srqhGWSBgzBIWf55Q0lMEEvUwXmVt/view?usp=sharing" TargetMode="External"/><Relationship Id="rId12" Type="http://schemas.openxmlformats.org/officeDocument/2006/relationships/hyperlink" Target="https://drive.google.com/drive/folders/1zI1VsvS3r7N2xgGHzHSOeXsPBlYpL9ku?usp=sharing" TargetMode="External"/><Relationship Id="rId15" Type="http://schemas.openxmlformats.org/officeDocument/2006/relationships/hyperlink" Target="https://drive.google.com/drive/folders/1M6zYjueC4knG4C45THwrSOKv3fiE93TK?usp=sharing" TargetMode="External"/><Relationship Id="rId14" Type="http://schemas.openxmlformats.org/officeDocument/2006/relationships/hyperlink" Target="https://drive.google.com/drive/folders/1sDPOjTor3XOExzch1Qzi6KmtuS5XvMav?usp=drive_link" TargetMode="External"/><Relationship Id="rId17" Type="http://schemas.openxmlformats.org/officeDocument/2006/relationships/hyperlink" Target="https://drive.google.com/drive/folders/1W1SJkFGvffoQIz8_dEpLvZ7DVpQoENcq?usp=sharing" TargetMode="External"/><Relationship Id="rId16" Type="http://schemas.openxmlformats.org/officeDocument/2006/relationships/hyperlink" Target="https://drive.google.com/drive/folders/1M6zYjueC4knG4C45THwrSOKv3fiE93TK?usp=sharing" TargetMode="External"/><Relationship Id="rId19" Type="http://schemas.openxmlformats.org/officeDocument/2006/relationships/hyperlink" Target="https://drive.google.com/drive/folders/14p8zvTWQB0cfS1KGcdo-A9IR61ZpUngs" TargetMode="External"/><Relationship Id="rId18" Type="http://schemas.openxmlformats.org/officeDocument/2006/relationships/hyperlink" Target="https://drive.google.com/drive/folders/1w3AotyxcLiwjWuZcnqdtSFTGCadiF0xD?usp=sharing" TargetMode="External"/><Relationship Id="rId84" Type="http://schemas.openxmlformats.org/officeDocument/2006/relationships/hyperlink" Target="https://drive.google.com/file/d/1K8Bi3qh64CvDS9EXYN8fxBMknWkIhU7a/view?usp=drive_link" TargetMode="External"/><Relationship Id="rId83" Type="http://schemas.openxmlformats.org/officeDocument/2006/relationships/hyperlink" Target="https://drive.google.com/file/d/11F5pPmxQ30JyYcnGJHbV6ofW54-DPLlK/view?usp=drivesdk" TargetMode="External"/><Relationship Id="rId86" Type="http://schemas.openxmlformats.org/officeDocument/2006/relationships/hyperlink" Target="https://drive.google.com/file/d/10vZFJJ6HLCd0q9kJFe38K6ug4wCZSDnp/view?usp=sharing" TargetMode="External"/><Relationship Id="rId85" Type="http://schemas.openxmlformats.org/officeDocument/2006/relationships/hyperlink" Target="https://drive.google.com/drive/folders/1wEPRgq-LJktmgSReVBVb_4qjO7jjp2A7?usp=sharing" TargetMode="External"/><Relationship Id="rId88" Type="http://schemas.openxmlformats.org/officeDocument/2006/relationships/hyperlink" Target="https://drive.google.com/file/d/1EYnoMc565zoK0J826IOUtHJ9sB9Z2CQo/view?usp=drivesdk" TargetMode="External"/><Relationship Id="rId87" Type="http://schemas.openxmlformats.org/officeDocument/2006/relationships/hyperlink" Target="https://drive.google.com/file/d/1frp5f7viKQmAZ4FGqYLgdVweGBRuM-xe/view?usp=drivesdk" TargetMode="External"/><Relationship Id="rId89" Type="http://schemas.openxmlformats.org/officeDocument/2006/relationships/hyperlink" Target="https://drive.google.com/file/d/1WoZ2dEnTCug0Ziv3_iuegw3MELqpmkZC/view?usp=drivesdk" TargetMode="External"/><Relationship Id="rId80" Type="http://schemas.openxmlformats.org/officeDocument/2006/relationships/hyperlink" Target="https://drive.google.com/file/d/1Oge2a8bGcTr_G7WIckjygM9_RiWe7iGW/view?usp=drive_link" TargetMode="External"/><Relationship Id="rId82" Type="http://schemas.openxmlformats.org/officeDocument/2006/relationships/hyperlink" Target="https://drive.google.com/file/d/10j2MkzdpbRaZnGiceEXvNFNioXggv2oa/view?usp=drivesdk" TargetMode="External"/><Relationship Id="rId81" Type="http://schemas.openxmlformats.org/officeDocument/2006/relationships/hyperlink" Target="https://drive.google.com/file/d/1wXg4JCK74uFkX830RohLlRR_dRCpabfJ/view?usp=sharing" TargetMode="External"/><Relationship Id="rId73" Type="http://schemas.openxmlformats.org/officeDocument/2006/relationships/hyperlink" Target="https://drive.google.com/file/d/1wDAZ_wDIjpdbkq8h7kXvWAEEOa7ESmDe/view?usp=drivesdk" TargetMode="External"/><Relationship Id="rId72" Type="http://schemas.openxmlformats.org/officeDocument/2006/relationships/hyperlink" Target="https://drive.google.com/drive/folders/17MT469v6DaHmpoLFdWBe241N_dObmepV?usp=drive_link" TargetMode="External"/><Relationship Id="rId75" Type="http://schemas.openxmlformats.org/officeDocument/2006/relationships/hyperlink" Target="https://drive.google.com/drive/folders/1mjoMheW0r7Ofaf4cfqv62KvsYys3__xT" TargetMode="External"/><Relationship Id="rId74" Type="http://schemas.openxmlformats.org/officeDocument/2006/relationships/hyperlink" Target="https://drive.google.com/file/d/1hhvZIEChyA9oW7HYA2tM058Q0lahrG6T/view?usp=sharing" TargetMode="External"/><Relationship Id="rId77" Type="http://schemas.openxmlformats.org/officeDocument/2006/relationships/hyperlink" Target="https://drive.google.com/drive/folders/14p8zvTWQB0cfS1KGcdo-A9IR61ZpUngs?usp=sharing" TargetMode="External"/><Relationship Id="rId76" Type="http://schemas.openxmlformats.org/officeDocument/2006/relationships/hyperlink" Target="https://drive.google.com/drive/folders/1mjoMheW0r7Ofaf4cfqv62KvsYys3__xT" TargetMode="External"/><Relationship Id="rId79" Type="http://schemas.openxmlformats.org/officeDocument/2006/relationships/hyperlink" Target="https://drive.google.com/drive/folders/1v9Rl1ZkNsT6Jw6hEo64E-fGeNru0Mo2a?usp=sharing" TargetMode="External"/><Relationship Id="rId78" Type="http://schemas.openxmlformats.org/officeDocument/2006/relationships/hyperlink" Target="https://drive.google.com/drive/folders/14tm61sfbexmy9YMN6u3Mp_YaYsqT-5st?usp=sharing" TargetMode="External"/><Relationship Id="rId71" Type="http://schemas.openxmlformats.org/officeDocument/2006/relationships/hyperlink" Target="https://drive.google.com/drive/folders/17MT469v6DaHmpoLFdWBe241N_dObmepV?usp=drive_link" TargetMode="External"/><Relationship Id="rId70" Type="http://schemas.openxmlformats.org/officeDocument/2006/relationships/hyperlink" Target="https://drive.google.com/file/d/1iq8cDdVfuoJxTaGIJK-5C0uFxCjY3984/view?usp=drivesdk" TargetMode="External"/><Relationship Id="rId62" Type="http://schemas.openxmlformats.org/officeDocument/2006/relationships/hyperlink" Target="https://drive.google.com/drive/folders/1KQEjYEuRliiWwNZ-UeRxx7vH3kFna984?usp=drive_link" TargetMode="External"/><Relationship Id="rId61" Type="http://schemas.openxmlformats.org/officeDocument/2006/relationships/hyperlink" Target="https://drive.google.com/drive/folders/1SNu-qFtK02OmLkQZ1AWo5DDVTH46tRqo" TargetMode="External"/><Relationship Id="rId64" Type="http://schemas.openxmlformats.org/officeDocument/2006/relationships/hyperlink" Target="https://drive.google.com/drive/folders/1Eg6r0rlH0F6MAdubmYPJPFh87S0nvJrm" TargetMode="External"/><Relationship Id="rId63" Type="http://schemas.openxmlformats.org/officeDocument/2006/relationships/hyperlink" Target="https://drive.google.com/file/d/1zV2figavABF53g88ty1zBwjNJ4TwwTWj/view?usp=drivesdk" TargetMode="External"/><Relationship Id="rId66" Type="http://schemas.openxmlformats.org/officeDocument/2006/relationships/hyperlink" Target="https://drive.google.com/drive/folders/19MRaOM80DF038NWPqHaqqcWNbEgyOpsX" TargetMode="External"/><Relationship Id="rId65" Type="http://schemas.openxmlformats.org/officeDocument/2006/relationships/hyperlink" Target="https://drive.google.com/drive/folders/1ZemobWCxQpWbWK-4F6mIDlYPJB6PQgHU" TargetMode="External"/><Relationship Id="rId68" Type="http://schemas.openxmlformats.org/officeDocument/2006/relationships/hyperlink" Target="https://drive.google.com/drive/folders/1YHV5XDphM0hO8XmD0XXIw26hn__uS09N" TargetMode="External"/><Relationship Id="rId67" Type="http://schemas.openxmlformats.org/officeDocument/2006/relationships/hyperlink" Target="https://drive.google.com/drive/folders/18oRqAvm67ggqMfNCM47RhToEBBLw5A_4?usp=sharing" TargetMode="External"/><Relationship Id="rId60" Type="http://schemas.openxmlformats.org/officeDocument/2006/relationships/hyperlink" Target="https://drive.google.com/file/d/11wzIy8pLPUhf9NFE6RP2ma53wXYu3e4C/view?usp=drivesdk" TargetMode="External"/><Relationship Id="rId69" Type="http://schemas.openxmlformats.org/officeDocument/2006/relationships/hyperlink" Target="https://drive.google.com/drive/folders/1zgl0YiZyomWwF6BEe19h0ZLsRC-Uf7It" TargetMode="External"/><Relationship Id="rId51" Type="http://schemas.openxmlformats.org/officeDocument/2006/relationships/hyperlink" Target="https://drive.google.com/drive/folders/1ziBRYwAgtkkyPnTwpaQQlUVLoINNFHrH" TargetMode="External"/><Relationship Id="rId50" Type="http://schemas.openxmlformats.org/officeDocument/2006/relationships/hyperlink" Target="https://drive.google.com/drive/folders/1gZ-dtO59v_zpZMFk_rlSncfOBy3CNMlI" TargetMode="External"/><Relationship Id="rId53" Type="http://schemas.openxmlformats.org/officeDocument/2006/relationships/hyperlink" Target="https://drive.google.com/drive/folders/18O0MONVMBSmYlQuiTTTxKi2Ty4RuE13V?usp=sharing" TargetMode="External"/><Relationship Id="rId52" Type="http://schemas.openxmlformats.org/officeDocument/2006/relationships/hyperlink" Target="https://drive.google.com/drive/folders/1bnp3dRme-Dr3vc9InIaUR0cB0yXpXWIB?usp=sharing" TargetMode="External"/><Relationship Id="rId55" Type="http://schemas.openxmlformats.org/officeDocument/2006/relationships/hyperlink" Target="https://drive.google.com/file/d/1Eaqx9EWaqZ9QKFvtgEjSf1OH0v-fotPS/view?usp=drive_link" TargetMode="External"/><Relationship Id="rId54" Type="http://schemas.openxmlformats.org/officeDocument/2006/relationships/hyperlink" Target="https://drive.google.com/drive/folders/1udkPKpK1nytH6b-EDpdcT6Od2JddCBv0?usp=drive_link" TargetMode="External"/><Relationship Id="rId57" Type="http://schemas.openxmlformats.org/officeDocument/2006/relationships/hyperlink" Target="https://drive.google.com/drive/folders/1PQQxwZNzVypS3yGp4a0HX6Wmibz9ALEQ" TargetMode="External"/><Relationship Id="rId56" Type="http://schemas.openxmlformats.org/officeDocument/2006/relationships/hyperlink" Target="https://drive.google.com/drive/folders/106d7lnYeq5BLtiUnJLXPSLeoEJCTNUMm" TargetMode="External"/><Relationship Id="rId59" Type="http://schemas.openxmlformats.org/officeDocument/2006/relationships/hyperlink" Target="https://drive.google.com/file/d/1L2HeacFitfJzYYLnhEHSiZpRNZi6DIfH/view?usp=drivesdk" TargetMode="External"/><Relationship Id="rId58" Type="http://schemas.openxmlformats.org/officeDocument/2006/relationships/hyperlink" Target="https://drive.google.com/drive/folders/1yVRF9S8gmJh2aANEg8KX6ndxm6WfzhOc?usp=sharing" TargetMode="External"/><Relationship Id="rId107" Type="http://schemas.openxmlformats.org/officeDocument/2006/relationships/hyperlink" Target="https://drive.google.com/file/d/1JqeYKkI0snm15XS8a9iG7uO-GmS7ru9g/view?usp=drivesdk" TargetMode="External"/><Relationship Id="rId228" Type="http://schemas.openxmlformats.org/officeDocument/2006/relationships/hyperlink" Target="https://drive.google.com/file/d/19VmPXQZthQlw0DZ-snxETmPub7V5d3RE/view?usp=sharing" TargetMode="External"/><Relationship Id="rId349" Type="http://schemas.openxmlformats.org/officeDocument/2006/relationships/hyperlink" Target="https://drive.google.com/open?id=14t-X2PJ0VOz1A4g7P67HoD-MaarDNsc9" TargetMode="External"/><Relationship Id="rId106" Type="http://schemas.openxmlformats.org/officeDocument/2006/relationships/hyperlink" Target="https://drive.google.com/file/d/1XqoJbX6jTFwvy6oafg-KztlO_gpV_jlC/view?usp=sharing" TargetMode="External"/><Relationship Id="rId227" Type="http://schemas.openxmlformats.org/officeDocument/2006/relationships/hyperlink" Target="https://drive.google.com/drive/folders/1p02hk2pCEFDBH0h7NzeD-PxmMvx7B-cD?usp=sharing" TargetMode="External"/><Relationship Id="rId348" Type="http://schemas.openxmlformats.org/officeDocument/2006/relationships/hyperlink" Target="https://www.youtube.com/watch?v=Y7RSD79zK0M" TargetMode="External"/><Relationship Id="rId105" Type="http://schemas.openxmlformats.org/officeDocument/2006/relationships/hyperlink" Target="https://drive.google.com/drive/folders/14FG_yPqAGC6X1onGD48pZn4hF_PPEfMz?usp=sharing" TargetMode="External"/><Relationship Id="rId226" Type="http://schemas.openxmlformats.org/officeDocument/2006/relationships/hyperlink" Target="https://drive.google.com/open?id=1711mTM3smZ4rITMESesub-4mmPJ0UDcw" TargetMode="External"/><Relationship Id="rId347" Type="http://schemas.openxmlformats.org/officeDocument/2006/relationships/hyperlink" Target="https://drive.google.com/drive/folders/1ICeef0wQTCT9S8mdkQaRK57ifVIK1OcE?usp=sharing" TargetMode="External"/><Relationship Id="rId104" Type="http://schemas.openxmlformats.org/officeDocument/2006/relationships/hyperlink" Target="https://drive.google.com/drive/folders/1HhzMRvnjbxoaiiZE49d6huoyL_PJs3RL?usp=sharing" TargetMode="External"/><Relationship Id="rId225" Type="http://schemas.openxmlformats.org/officeDocument/2006/relationships/hyperlink" Target="https://drive.google.com/file/d/1MDgO8wyA5Ky-V_4yvxhKBLDemJPoL33Z/view?usp=drivesdk" TargetMode="External"/><Relationship Id="rId346" Type="http://schemas.openxmlformats.org/officeDocument/2006/relationships/hyperlink" Target="https://drive.google.com/open?id=1A6si8rghPSrxwUZuTEOSbhu1zyKJezWM" TargetMode="External"/><Relationship Id="rId467" Type="http://schemas.openxmlformats.org/officeDocument/2006/relationships/table" Target="../tables/table2.xml"/><Relationship Id="rId109" Type="http://schemas.openxmlformats.org/officeDocument/2006/relationships/hyperlink" Target="https://drive.google.com/drive/folders/1u4l7ODolDKuTT4UpSd-ix0QVQbpTp03x" TargetMode="External"/><Relationship Id="rId108" Type="http://schemas.openxmlformats.org/officeDocument/2006/relationships/hyperlink" Target="https://youtu.be/yymDyHaEmW0?si=6tkWnWhAcI23Xxf8" TargetMode="External"/><Relationship Id="rId229" Type="http://schemas.openxmlformats.org/officeDocument/2006/relationships/hyperlink" Target="https://drive.google.com/open?id=1FteXGy1njf_MSQW8lISmToYwMYKO1xro" TargetMode="External"/><Relationship Id="rId220" Type="http://schemas.openxmlformats.org/officeDocument/2006/relationships/hyperlink" Target="https://drive.google.com/open?id=1DkBa6amopGHRrlDn_4AkPPFgIwhhSafj" TargetMode="External"/><Relationship Id="rId341" Type="http://schemas.openxmlformats.org/officeDocument/2006/relationships/hyperlink" Target="https://drive.google.com/drive/folders/19ZaeMbjpdH449ZYhMj6QlN3JF3TdnMn3?usp=sharing" TargetMode="External"/><Relationship Id="rId462" Type="http://schemas.openxmlformats.org/officeDocument/2006/relationships/hyperlink" Target="https://drive.google.com/file/d/14KQVmfuC8MSj2Rmmu4-PodxAX09NV-2t/view?usp=sharing" TargetMode="External"/><Relationship Id="rId340" Type="http://schemas.openxmlformats.org/officeDocument/2006/relationships/hyperlink" Target="https://drive.google.com/open?id=1H8DJtB-4-coeIgzOA1w8WR0R1W5sgzkK" TargetMode="External"/><Relationship Id="rId461" Type="http://schemas.openxmlformats.org/officeDocument/2006/relationships/hyperlink" Target="https://drive.google.com/drive/folders/1IKDXa-KVd8FNR0pkQjvYi7FSMJeSDV_I" TargetMode="External"/><Relationship Id="rId460" Type="http://schemas.openxmlformats.org/officeDocument/2006/relationships/hyperlink" Target="https://drive.google.com/open?id=1y1yaJwBBFrz2NGUrkwC_hsCp89B64vEP" TargetMode="External"/><Relationship Id="rId103" Type="http://schemas.openxmlformats.org/officeDocument/2006/relationships/hyperlink" Target="https://drive.google.com/file/d/1nT111QsyrXyp_zYgfzUpVxBvNOXr5vjm/view?usp=drivesdk" TargetMode="External"/><Relationship Id="rId224" Type="http://schemas.openxmlformats.org/officeDocument/2006/relationships/hyperlink" Target="https://drive.google.com/drive/folders/1XsMCUlchwcIlnTpW3i2f_44hqHIdj6Qd" TargetMode="External"/><Relationship Id="rId345" Type="http://schemas.openxmlformats.org/officeDocument/2006/relationships/hyperlink" Target="https://drive.google.com/drive/folders/11AM3M-pMv6xsy4fEdku3wpgYdWZ-b-S9" TargetMode="External"/><Relationship Id="rId102" Type="http://schemas.openxmlformats.org/officeDocument/2006/relationships/hyperlink" Target="https://drive.google.com/drive/folders/1oEwTcAljZevTWrYYCIZ2Ve4RKXCETdJg?usp=sharing" TargetMode="External"/><Relationship Id="rId223" Type="http://schemas.openxmlformats.org/officeDocument/2006/relationships/hyperlink" Target="https://drive.google.com/open?id=1yiLLIgF2KMyVwTOkhP0MajWm-p4tQ4n4" TargetMode="External"/><Relationship Id="rId344" Type="http://schemas.openxmlformats.org/officeDocument/2006/relationships/hyperlink" Target="https://drive.google.com/drive/folders/11AM3M-pMv6xsy4fEdku3wpgYdWZ-b-S9" TargetMode="External"/><Relationship Id="rId465" Type="http://schemas.openxmlformats.org/officeDocument/2006/relationships/vmlDrawing" Target="../drawings/vmlDrawing1.vml"/><Relationship Id="rId101" Type="http://schemas.openxmlformats.org/officeDocument/2006/relationships/hyperlink" Target="https://drive.google.com/file/d/1TmBNpVmZwK0wgwjA5wKHVM0mU3d3fWmw/view?usp=drivesdk" TargetMode="External"/><Relationship Id="rId222" Type="http://schemas.openxmlformats.org/officeDocument/2006/relationships/hyperlink" Target="https://drive.google.com/file/d/1CFs00UBUQCekRLavWxUV47wLbsqjWAt5/view?usp=sharing" TargetMode="External"/><Relationship Id="rId343" Type="http://schemas.openxmlformats.org/officeDocument/2006/relationships/hyperlink" Target="https://drive.google.com/open?id=1clQt07YYNZaakzi5VJWcsmUiqsYJe2nr" TargetMode="External"/><Relationship Id="rId464" Type="http://schemas.openxmlformats.org/officeDocument/2006/relationships/drawing" Target="../drawings/drawing2.xml"/><Relationship Id="rId100" Type="http://schemas.openxmlformats.org/officeDocument/2006/relationships/hyperlink" Target="https://drive.google.com/file/d/1mZaiMfFkLgfg4XOc-kQwjCkdCNMpvDMs/view?usp=drivesdk" TargetMode="External"/><Relationship Id="rId221" Type="http://schemas.openxmlformats.org/officeDocument/2006/relationships/hyperlink" Target="https://drive.google.com/drive/folders/1SZ1ZPD_q15yjwwsA-5ciCU9QFu3qcg6p?usp=sharing" TargetMode="External"/><Relationship Id="rId342" Type="http://schemas.openxmlformats.org/officeDocument/2006/relationships/hyperlink" Target="https://drive.google.com/drive/folders/13EBQ6zkg47_cYMeEfaosw1H8pEf7UVeF?usp=sharing" TargetMode="External"/><Relationship Id="rId463" Type="http://schemas.openxmlformats.org/officeDocument/2006/relationships/hyperlink" Target="https://drive.google.com/open?id=1dpbml_nZxhR3E34nBD3P7nFXK_L6iFI_" TargetMode="External"/><Relationship Id="rId217" Type="http://schemas.openxmlformats.org/officeDocument/2006/relationships/hyperlink" Target="https://drive.google.com/file/d/1yLn3_MYhL5-OebQhFTTWudj9syRpa_F4/view?usp=drivesdk" TargetMode="External"/><Relationship Id="rId338" Type="http://schemas.openxmlformats.org/officeDocument/2006/relationships/hyperlink" Target="https://drive.google.com/open?id=12CcefKKtmukTuQohEcxYNxXehY5d7v-n" TargetMode="External"/><Relationship Id="rId459" Type="http://schemas.openxmlformats.org/officeDocument/2006/relationships/hyperlink" Target="https://youtu.be/E2hjZFZTX5U" TargetMode="External"/><Relationship Id="rId216" Type="http://schemas.openxmlformats.org/officeDocument/2006/relationships/hyperlink" Target="https://drive.google.com/open?id=1FYmGInbC4EY_QQZME-rwgBsRPczS9zfe" TargetMode="External"/><Relationship Id="rId337" Type="http://schemas.openxmlformats.org/officeDocument/2006/relationships/hyperlink" Target="https://drive.google.com/file/d/1K86AVWNyVATp4KXXM8v8zL54rKLVnO3R/view?usp=sharing" TargetMode="External"/><Relationship Id="rId458" Type="http://schemas.openxmlformats.org/officeDocument/2006/relationships/hyperlink" Target="https://drive.google.com/file/d/1h8qOTCelbwxtVvhCSeGdIZbKFlPC9Dh5/view?usp=drive_link" TargetMode="External"/><Relationship Id="rId215" Type="http://schemas.openxmlformats.org/officeDocument/2006/relationships/hyperlink" Target="https://drive.google.com/file/d/1GQENiDMv0dD3I-c0kM8Drtvu50DBv0Vv/view?usp=sharing" TargetMode="External"/><Relationship Id="rId336" Type="http://schemas.openxmlformats.org/officeDocument/2006/relationships/hyperlink" Target="https://drive.google.com/drive/folders/1IaQW-dcaYjHZUYV21uzLtWwjnRkNPlKR?usp=sharing" TargetMode="External"/><Relationship Id="rId457" Type="http://schemas.openxmlformats.org/officeDocument/2006/relationships/hyperlink" Target="https://drive.google.com/open?id=15nBEECaPsPF7RGV7lfrtYc6ezQYG9vZ1" TargetMode="External"/><Relationship Id="rId214" Type="http://schemas.openxmlformats.org/officeDocument/2006/relationships/hyperlink" Target="https://drive.google.com/drive/folders/1ImdPZJI12fytqEYqcUZifUZ2g9G3zYFB?usp=drive_link" TargetMode="External"/><Relationship Id="rId335" Type="http://schemas.openxmlformats.org/officeDocument/2006/relationships/hyperlink" Target="https://drive.google.com/open?id=1uxpIjLCj4hCUQ9jmqUlozThXy9-ey5jX" TargetMode="External"/><Relationship Id="rId456" Type="http://schemas.openxmlformats.org/officeDocument/2006/relationships/hyperlink" Target="https://drive.google.com/file/d/1YRPk_1GTpiCqHQHPgNtic-hvtdop6C8g/view?usp=drivesdk" TargetMode="External"/><Relationship Id="rId219" Type="http://schemas.openxmlformats.org/officeDocument/2006/relationships/hyperlink" Target="https://drive.google.com/file/d/1inWgsc02ZaqNB70EC2EVK0FdqyB57gDq/view?usp=drivesdk" TargetMode="External"/><Relationship Id="rId218" Type="http://schemas.openxmlformats.org/officeDocument/2006/relationships/hyperlink" Target="https://drive.google.com/open?id=1q3GU7OsjVFtPwbqyy_aj5GpohsFF_3bw" TargetMode="External"/><Relationship Id="rId339" Type="http://schemas.openxmlformats.org/officeDocument/2006/relationships/hyperlink" Target="https://drive.google.com/file/d/172f0M3H2gpFfR__p6zpeCKTzUdDjy8Bp/view?usp=drivesdk" TargetMode="External"/><Relationship Id="rId330" Type="http://schemas.openxmlformats.org/officeDocument/2006/relationships/hyperlink" Target="https://drive.google.com/open?id=1sLL6XZkL0ktgl7fN5JZX9kb8BzpiTTkN" TargetMode="External"/><Relationship Id="rId451" Type="http://schemas.openxmlformats.org/officeDocument/2006/relationships/hyperlink" Target="https://www.youtube.com/watch?v=_aocPMqz-bA&amp;t=352s" TargetMode="External"/><Relationship Id="rId450" Type="http://schemas.openxmlformats.org/officeDocument/2006/relationships/hyperlink" Target="https://drive.google.com/file/d/1QpeKV6N66-DavRPQAc3vY6xsCgrW2E4B/view?usp=sharing" TargetMode="External"/><Relationship Id="rId213" Type="http://schemas.openxmlformats.org/officeDocument/2006/relationships/hyperlink" Target="https://drive.google.com/open?id=105NaJyJ8n3Hpra3k3TXydc_dL3Jd0sl5" TargetMode="External"/><Relationship Id="rId334" Type="http://schemas.openxmlformats.org/officeDocument/2006/relationships/hyperlink" Target="https://drive.google.com/file/d/19VB4oC8gH9T2JoGpnp6RBho_vfo-ZthB/view?usp=sharing" TargetMode="External"/><Relationship Id="rId455" Type="http://schemas.openxmlformats.org/officeDocument/2006/relationships/hyperlink" Target="https://drive.google.com/open?id=1df6urVhm4uFc1l_rndZHRqK7hzVxKsai" TargetMode="External"/><Relationship Id="rId212" Type="http://schemas.openxmlformats.org/officeDocument/2006/relationships/hyperlink" Target="https://youtu.be/oP0RAgZwB20?si=hO9OzKPNJI9RBPI1" TargetMode="External"/><Relationship Id="rId333" Type="http://schemas.openxmlformats.org/officeDocument/2006/relationships/hyperlink" Target="https://drive.google.com/drive/folders/1EQcbBqenLkSz0J9gJhtDto86pLrpaCuh?usp=sharing" TargetMode="External"/><Relationship Id="rId454" Type="http://schemas.openxmlformats.org/officeDocument/2006/relationships/hyperlink" Target="https://youtu.be/YU--_bdMJB8?si=2NrVWMbImfOQM6Fu" TargetMode="External"/><Relationship Id="rId211" Type="http://schemas.openxmlformats.org/officeDocument/2006/relationships/hyperlink" Target="https://drive.google.com/file/d/1-lG7m3YIWvMtVFoWqOY1Riq3aCDpb8XH/view?usp=drivesdk" TargetMode="External"/><Relationship Id="rId332" Type="http://schemas.openxmlformats.org/officeDocument/2006/relationships/hyperlink" Target="https://drive.google.com/open?id=1uAmBjxEuNzTxY2jczSJIhVC3UOy-Q789" TargetMode="External"/><Relationship Id="rId453" Type="http://schemas.openxmlformats.org/officeDocument/2006/relationships/hyperlink" Target="https://drive.google.com/drive/folders/1N2jay7_7fD6CXuUJXVyquYkJ893pc3oG?usp=sharing" TargetMode="External"/><Relationship Id="rId210" Type="http://schemas.openxmlformats.org/officeDocument/2006/relationships/hyperlink" Target="https://drive.google.com/open?id=1HF3ICibnE4CSQlskdawFSKMvSxyCwRxK" TargetMode="External"/><Relationship Id="rId331" Type="http://schemas.openxmlformats.org/officeDocument/2006/relationships/hyperlink" Target="https://drive.google.com/drive/folders/1x4MdjO2kQbaHin0MZOtOv52o2Nc0rj9s" TargetMode="External"/><Relationship Id="rId452" Type="http://schemas.openxmlformats.org/officeDocument/2006/relationships/hyperlink" Target="https://drive.google.com/open?id=1-qpeRkS0Q-TPeZcROOw6NtIbIoUD1a0B" TargetMode="External"/><Relationship Id="rId370" Type="http://schemas.openxmlformats.org/officeDocument/2006/relationships/hyperlink" Target="https://drive.google.com/drive/folders/10h0bICv1sbwM8H39qnDBJjpkWu_Bj5lc?usp=share_link" TargetMode="External"/><Relationship Id="rId129" Type="http://schemas.openxmlformats.org/officeDocument/2006/relationships/hyperlink" Target="https://drive.google.com/drive/folders/1ltUU36tlXxgfeMDDdoLQOBEN6rzRAnT4" TargetMode="External"/><Relationship Id="rId128" Type="http://schemas.openxmlformats.org/officeDocument/2006/relationships/hyperlink" Target="https://drive.google.com/file/d/1fI_gpiFidC35PhUgS4AL5664hKzkHvrn/view?usp=drivesdk" TargetMode="External"/><Relationship Id="rId249" Type="http://schemas.openxmlformats.org/officeDocument/2006/relationships/hyperlink" Target="https://drive.google.com/file/d/1pM2_9_ydITQwkfilNCICdwxqTh-anOk_/view?usp=drivesdk" TargetMode="External"/><Relationship Id="rId127" Type="http://schemas.openxmlformats.org/officeDocument/2006/relationships/hyperlink" Target="https://drive.google.com/drive/folders/18vwhzoAAIqFRo5rULGhDu-kLtx3XV-QY" TargetMode="External"/><Relationship Id="rId248" Type="http://schemas.openxmlformats.org/officeDocument/2006/relationships/hyperlink" Target="https://drive.google.com/file/d/1MZapdCM3BI0aEDf1zUk79aECGn5lhx0U/view?usp=drivesdk" TargetMode="External"/><Relationship Id="rId369" Type="http://schemas.openxmlformats.org/officeDocument/2006/relationships/hyperlink" Target="https://drive.google.com/open?id=1POiHSH4J9zDSHQoLnIiTZEEZesCGlMLz" TargetMode="External"/><Relationship Id="rId126" Type="http://schemas.openxmlformats.org/officeDocument/2006/relationships/hyperlink" Target="https://drive.google.com/drive/folders/1LzuVejBMa0nJuaBNUC6Wmo059tSnk3PX?usp=drive_link" TargetMode="External"/><Relationship Id="rId247" Type="http://schemas.openxmlformats.org/officeDocument/2006/relationships/hyperlink" Target="https://drive.google.com/open?id=1Zypl-X1KCQMVY7FSa3h0krvuioNzNP71" TargetMode="External"/><Relationship Id="rId368" Type="http://schemas.openxmlformats.org/officeDocument/2006/relationships/hyperlink" Target="https://drive.google.com/file/d/1MCBD--uL26st95zUhkgQjZsGVv2OFcCm/view?usp=drivesdk" TargetMode="External"/><Relationship Id="rId121" Type="http://schemas.openxmlformats.org/officeDocument/2006/relationships/hyperlink" Target="https://s.id/berkassertifikatSNThendra" TargetMode="External"/><Relationship Id="rId242" Type="http://schemas.openxmlformats.org/officeDocument/2006/relationships/hyperlink" Target="https://drive.google.com/file/d/1pS04i2xTIU-TSFKGGeDCkV-lka3IOZG-/view?usp=drivesdk" TargetMode="External"/><Relationship Id="rId363" Type="http://schemas.openxmlformats.org/officeDocument/2006/relationships/hyperlink" Target="https://drive.google.com/file/d/1umtXJUYRtnAmBG3GAHtW9vh-Klt3ydSg/view?usp=drivesdk" TargetMode="External"/><Relationship Id="rId120" Type="http://schemas.openxmlformats.org/officeDocument/2006/relationships/hyperlink" Target="https://drive.google.com/drive/folders/1Rs9HB-oZ3H5yNrDt9DFHXgAhgSOFkiIK?usp=sharing" TargetMode="External"/><Relationship Id="rId241" Type="http://schemas.openxmlformats.org/officeDocument/2006/relationships/hyperlink" Target="https://drive.google.com/open?id=116okbm8MGbF0d7thx609Gr72ySX_6pOB" TargetMode="External"/><Relationship Id="rId362" Type="http://schemas.openxmlformats.org/officeDocument/2006/relationships/hyperlink" Target="https://drive.google.com/drive/folders/1cegUgtvsI39sI0sj-raJPktHprolj2xl" TargetMode="External"/><Relationship Id="rId240" Type="http://schemas.openxmlformats.org/officeDocument/2006/relationships/hyperlink" Target="https://youtu.be/yymDyHaEmW0?si=jEo8ZHrAz__mlaUj" TargetMode="External"/><Relationship Id="rId361" Type="http://schemas.openxmlformats.org/officeDocument/2006/relationships/hyperlink" Target="https://drive.google.com/open?id=1d4RviYiyN_TRkmaDv1hYUjnlOS9igtHu" TargetMode="External"/><Relationship Id="rId360" Type="http://schemas.openxmlformats.org/officeDocument/2006/relationships/hyperlink" Target="https://drive.google.com/file/d/1iSiR6l-NAhQDC8BDga9qElowr2pmcdmq/view?usp=drivesdk" TargetMode="External"/><Relationship Id="rId125" Type="http://schemas.openxmlformats.org/officeDocument/2006/relationships/hyperlink" Target="https://drive.google.com/drive/folders/19pK6PbUXZ16YntCxA1TVSeVpSrRQULn9?usp=sharing" TargetMode="External"/><Relationship Id="rId246" Type="http://schemas.openxmlformats.org/officeDocument/2006/relationships/hyperlink" Target="https://drive.google.com/file/d/1-73woSPD2luYwLob-jUd24ImGpWn3Os5/view?usp=drive_link" TargetMode="External"/><Relationship Id="rId367" Type="http://schemas.openxmlformats.org/officeDocument/2006/relationships/hyperlink" Target="https://drive.google.com/open?id=1r9DxO4KR12KclEKsdfjWmAiruYBt71bj" TargetMode="External"/><Relationship Id="rId124" Type="http://schemas.openxmlformats.org/officeDocument/2006/relationships/hyperlink" Target="https://drive.google.com/drive/folders/18vJaaPkf_N1kQFEIOq34K1CHZlOV1Yxr" TargetMode="External"/><Relationship Id="rId245" Type="http://schemas.openxmlformats.org/officeDocument/2006/relationships/hyperlink" Target="https://drive.google.com/drive/folders/1FqKaaNX2nrXgqKMSZe5uRYiMZoC--UGS?usp=drive_link" TargetMode="External"/><Relationship Id="rId366" Type="http://schemas.openxmlformats.org/officeDocument/2006/relationships/hyperlink" Target="https://drive.google.com/file/d/16Anw84sKT-kWKagGdVplXbaZzuZUNtCB/view?usp=drivesdk" TargetMode="External"/><Relationship Id="rId123" Type="http://schemas.openxmlformats.org/officeDocument/2006/relationships/hyperlink" Target="https://drive.google.com/drive/folders/1Xc0MRju7g1H4dMvg8kLe33DxXZIsG0ok" TargetMode="External"/><Relationship Id="rId244" Type="http://schemas.openxmlformats.org/officeDocument/2006/relationships/hyperlink" Target="https://drive.google.com/open?id=1MGegiW77lhLdCHKPCybauY-FXUKI2rDs" TargetMode="External"/><Relationship Id="rId365" Type="http://schemas.openxmlformats.org/officeDocument/2006/relationships/hyperlink" Target="https://drive.google.com/file/d/1b4bKuE3zYG0664rNvgYGLLQmJEAvlKdh/view?usp=drivesdk" TargetMode="External"/><Relationship Id="rId122" Type="http://schemas.openxmlformats.org/officeDocument/2006/relationships/hyperlink" Target="https://youtu.be/RtFvDOOgoqM" TargetMode="External"/><Relationship Id="rId243" Type="http://schemas.openxmlformats.org/officeDocument/2006/relationships/hyperlink" Target="https://drive.google.com/file/d/1mMPCCJucrwhVb1pZFfaBG31bjo_eTeLu/view?usp=drivesdk" TargetMode="External"/><Relationship Id="rId364" Type="http://schemas.openxmlformats.org/officeDocument/2006/relationships/hyperlink" Target="https://drive.google.com/open?id=13V3059FOOduRJ53LVmxxKPEQPGSmn6je" TargetMode="External"/><Relationship Id="rId95" Type="http://schemas.openxmlformats.org/officeDocument/2006/relationships/hyperlink" Target="https://drive.google.com/drive/folders/1Ox-0TUCz6hG9Myk2xhpFEEvKdlv8dm0C?usp=sharing" TargetMode="External"/><Relationship Id="rId94" Type="http://schemas.openxmlformats.org/officeDocument/2006/relationships/hyperlink" Target="https://drive.google.com/drive/folders/1tqTpPQoGWEtiCT-mKwOtGeLfdy_v-npn?usp=sharing" TargetMode="External"/><Relationship Id="rId97" Type="http://schemas.openxmlformats.org/officeDocument/2006/relationships/hyperlink" Target="https://drive.google.com/file/d/1XKpWEV3EZ7UQ8B2bUYrKN3HfbjZtr2ZC/view?usp=drivesdk" TargetMode="External"/><Relationship Id="rId96" Type="http://schemas.openxmlformats.org/officeDocument/2006/relationships/hyperlink" Target="https://drive.google.com/file/d/1fvxuC08fBawppDkd6tqKsyylKScIuoU7/view?usp=drivesdk" TargetMode="External"/><Relationship Id="rId99" Type="http://schemas.openxmlformats.org/officeDocument/2006/relationships/hyperlink" Target="https://drive.google.com/drive/folders/137kIPlKQmFYB8LTfhzVwbj1J2Vc6niis?usp=sharing" TargetMode="External"/><Relationship Id="rId98" Type="http://schemas.openxmlformats.org/officeDocument/2006/relationships/hyperlink" Target="https://drive.google.com/drive/folders/16GwGT8p7LK41HG2eey6WNFgDG4WrNk9m?usp=sharing" TargetMode="External"/><Relationship Id="rId91" Type="http://schemas.openxmlformats.org/officeDocument/2006/relationships/hyperlink" Target="https://drive.google.com/drive/folders/1ZMdpKDuNX2Ug5GuQm0IKJcqbtSXsXuoq?usp=sharing" TargetMode="External"/><Relationship Id="rId90" Type="http://schemas.openxmlformats.org/officeDocument/2006/relationships/hyperlink" Target="https://drive.google.com/drive/folders/1ccEHDmuRI-CaQCVHWlmbkSJaZSQVRxo1?usp=sharing" TargetMode="External"/><Relationship Id="rId93" Type="http://schemas.openxmlformats.org/officeDocument/2006/relationships/hyperlink" Target="https://youtu.be/ggULze_hHGY?si=3LHoSa1RXTS34FsR" TargetMode="External"/><Relationship Id="rId92" Type="http://schemas.openxmlformats.org/officeDocument/2006/relationships/hyperlink" Target="https://drive.google.com/drive/folders/1eQb9Ydk0eATBDcczvp7yz_FB4O4O3AS3" TargetMode="External"/><Relationship Id="rId118" Type="http://schemas.openxmlformats.org/officeDocument/2006/relationships/hyperlink" Target="https://drive.google.com/drive/folders/1BunhS9ZC30KIV72NDCiDcLA3-Ud7Jkt9" TargetMode="External"/><Relationship Id="rId239" Type="http://schemas.openxmlformats.org/officeDocument/2006/relationships/hyperlink" Target="https://drive.google.com/file/d/1JqeYKkI0snm15XS8a9iG7uO-GmS7ru9g/view?usp=drivesdk" TargetMode="External"/><Relationship Id="rId117" Type="http://schemas.openxmlformats.org/officeDocument/2006/relationships/hyperlink" Target="https://drive.google.com/drive/folders/1Xt6h7jx3czj4afAue1YgIAboBHeGM2uR" TargetMode="External"/><Relationship Id="rId238" Type="http://schemas.openxmlformats.org/officeDocument/2006/relationships/hyperlink" Target="https://drive.google.com/open?id=113ibsSp7KQHgHwNRfFKp_PkZCWJRH8i-" TargetMode="External"/><Relationship Id="rId359" Type="http://schemas.openxmlformats.org/officeDocument/2006/relationships/hyperlink" Target="https://drive.google.com/open?id=1mJdWUCeuEe0iKRyrN5QgFC_irfLKPMA3" TargetMode="External"/><Relationship Id="rId116" Type="http://schemas.openxmlformats.org/officeDocument/2006/relationships/hyperlink" Target="https://drive.google.com/drive/folders/1GaI6YVgutsBMNIGY3HaluvXIH5nka1r3" TargetMode="External"/><Relationship Id="rId237" Type="http://schemas.openxmlformats.org/officeDocument/2006/relationships/hyperlink" Target="https://drive.google.com/drive/folders/1ivwzR2JDK4q_x0tqQolTURpCN7w-aTLV?usp=sharing" TargetMode="External"/><Relationship Id="rId358" Type="http://schemas.openxmlformats.org/officeDocument/2006/relationships/hyperlink" Target="https://youtu.be/p6vnqpID7e8?feature=shared" TargetMode="External"/><Relationship Id="rId115" Type="http://schemas.openxmlformats.org/officeDocument/2006/relationships/hyperlink" Target="https://drive.google.com/drive/folders/1DUcWJvg3MRjkBfV1Wb2SOf09W0KOXuia" TargetMode="External"/><Relationship Id="rId236" Type="http://schemas.openxmlformats.org/officeDocument/2006/relationships/hyperlink" Target="https://drive.google.com/drive/folders/1UNoT23QcdTdF_3ir_V4cXeO4FjtCrwLB?usp=sharing" TargetMode="External"/><Relationship Id="rId357" Type="http://schemas.openxmlformats.org/officeDocument/2006/relationships/hyperlink" Target="https://drive.google.com/drive/folders/1GqJj_gTolCzY7IGi_gOauHlV5h4RcNxN" TargetMode="External"/><Relationship Id="rId119" Type="http://schemas.openxmlformats.org/officeDocument/2006/relationships/hyperlink" Target="https://drive.google.com/drive/folders/1DYyHuJ2wcuaLyFmqxKbSEYLJbbMqgJUz?usp=sharing" TargetMode="External"/><Relationship Id="rId110" Type="http://schemas.openxmlformats.org/officeDocument/2006/relationships/hyperlink" Target="https://drive.google.com/file/d/1UUanyQLNkOSugUWXDQLx6cbMy9rhomU-/view?usp=sharing" TargetMode="External"/><Relationship Id="rId231" Type="http://schemas.openxmlformats.org/officeDocument/2006/relationships/hyperlink" Target="https://drive.google.com/file/d/1jg3ondnuMEA_8KcnO4YcAhgyhFZDh5Ht/view?usp=sharing" TargetMode="External"/><Relationship Id="rId352" Type="http://schemas.openxmlformats.org/officeDocument/2006/relationships/hyperlink" Target="https://drive.google.com/open?id=1xzXrgHy0HdPQgmM8QN5DogdaH8l96dNI" TargetMode="External"/><Relationship Id="rId230" Type="http://schemas.openxmlformats.org/officeDocument/2006/relationships/hyperlink" Target="https://drive.google.com/file/d/1jmPnpkdUj4CdcXFPl_twQqpmV-vll49A/view?usp=drivesdk" TargetMode="External"/><Relationship Id="rId351" Type="http://schemas.openxmlformats.org/officeDocument/2006/relationships/hyperlink" Target="https://drive.google.com/file/d/1Wm6uIxCaBKd1xLMMABx5TWhmf1ceuDef/view?usp=drive_link" TargetMode="External"/><Relationship Id="rId350" Type="http://schemas.openxmlformats.org/officeDocument/2006/relationships/hyperlink" Target="https://drive.google.com/drive/folders/1-bEcGrl_eMrn6Y-BA6XicqyOiP1cPSgk?usp=sharing" TargetMode="External"/><Relationship Id="rId114" Type="http://schemas.openxmlformats.org/officeDocument/2006/relationships/hyperlink" Target="https://drive.google.com/drive/folders/1jt4YLBNVmmQlbLqan48uzpTgjZJgPJtc" TargetMode="External"/><Relationship Id="rId235" Type="http://schemas.openxmlformats.org/officeDocument/2006/relationships/hyperlink" Target="https://drive.google.com/open?id=1zXWnoCqXR5XITAp2qAPn0ONGjbWx-S4H" TargetMode="External"/><Relationship Id="rId356" Type="http://schemas.openxmlformats.org/officeDocument/2006/relationships/hyperlink" Target="https://drive.google.com/open?id=1s1noQshHV2IknPd7Vd6ta41HxEXXbfr2" TargetMode="External"/><Relationship Id="rId113" Type="http://schemas.openxmlformats.org/officeDocument/2006/relationships/hyperlink" Target="https://drive.google.com/drive/folders/1y1R3g_Ps-NBszB-H-tBdEOwX7mUKl9pJ" TargetMode="External"/><Relationship Id="rId234" Type="http://schemas.openxmlformats.org/officeDocument/2006/relationships/hyperlink" Target="https://youtu.be/f2RscZki_bA?si=RiXSuUHxcZqgXa9p" TargetMode="External"/><Relationship Id="rId355" Type="http://schemas.openxmlformats.org/officeDocument/2006/relationships/hyperlink" Target="https://drive.google.com/file/d/1sTg0GXfA0ou2D4E9TCTn9o4nXdvK1QW9/view?usp=sharing" TargetMode="External"/><Relationship Id="rId112" Type="http://schemas.openxmlformats.org/officeDocument/2006/relationships/hyperlink" Target="https://drive.google.com/drive/folders/1DvcSMjkGajB_4DTsRI2BJi9k6R619G3v" TargetMode="External"/><Relationship Id="rId233" Type="http://schemas.openxmlformats.org/officeDocument/2006/relationships/hyperlink" Target="https://drive.google.com/file/d/19Ubd3X6n9vO7MExQwm9X1dhc9Im7DoJY/view?usp=drivesdk" TargetMode="External"/><Relationship Id="rId354" Type="http://schemas.openxmlformats.org/officeDocument/2006/relationships/hyperlink" Target="https://drive.google.com/open?id=1W_uGv6WL8v3Kkoxc7iIV-SP5vN8tyjyA" TargetMode="External"/><Relationship Id="rId111" Type="http://schemas.openxmlformats.org/officeDocument/2006/relationships/hyperlink" Target="https://drive.google.com/drive/folders/1zVhPj5QDepY0nUwUvPu9qCFAbXVxhHQ5" TargetMode="External"/><Relationship Id="rId232" Type="http://schemas.openxmlformats.org/officeDocument/2006/relationships/hyperlink" Target="https://drive.google.com/open?id=1osLL5d1pBdGxz1ZVasyTcF7HZI61Y9Kf" TargetMode="External"/><Relationship Id="rId353" Type="http://schemas.openxmlformats.org/officeDocument/2006/relationships/hyperlink" Target="https://drive.google.com/file/d/1zjqleX_QHQweZRqUCYtwKhGBDTpjIHzs/view?usp=drivesdk" TargetMode="External"/><Relationship Id="rId305" Type="http://schemas.openxmlformats.org/officeDocument/2006/relationships/hyperlink" Target="https://drive.google.com/drive/folders/1h5D1OR-dlUErQydDQd5Q2HbzWDvq1noG?usp=drive_link" TargetMode="External"/><Relationship Id="rId426" Type="http://schemas.openxmlformats.org/officeDocument/2006/relationships/hyperlink" Target="https://drive.google.com/file/d/1H1b60SDS_e2nuExReA8tKk_zKU2XFb0P/view?usp=sharing" TargetMode="External"/><Relationship Id="rId304" Type="http://schemas.openxmlformats.org/officeDocument/2006/relationships/hyperlink" Target="https://drive.google.com/drive/folders/1W6SEKzHFkTmZeAxP_qWGJrfnGW2l_S8w?usp=drive_link" TargetMode="External"/><Relationship Id="rId425" Type="http://schemas.openxmlformats.org/officeDocument/2006/relationships/hyperlink" Target="https://drive.google.com/open?id=1ohGzY9pciuHjhKeMf0vQ2feF5sdfgp6x" TargetMode="External"/><Relationship Id="rId303" Type="http://schemas.openxmlformats.org/officeDocument/2006/relationships/hyperlink" Target="https://drive.google.com/open?id=13P6r4zQNdHQhEhzdp5sXcgPjBG4UxDx4" TargetMode="External"/><Relationship Id="rId424" Type="http://schemas.openxmlformats.org/officeDocument/2006/relationships/hyperlink" Target="https://drive.google.com/file/d/1ety0eqKXa3XiT4hbU_OfMRCPP9DjozpX/view?usp=sharing" TargetMode="External"/><Relationship Id="rId302" Type="http://schemas.openxmlformats.org/officeDocument/2006/relationships/hyperlink" Target="https://drive.google.com/drive/folders/10h0bICv1sbwM8H39qnDBJjpkWu_Bj5lc?usp=share_link" TargetMode="External"/><Relationship Id="rId423" Type="http://schemas.openxmlformats.org/officeDocument/2006/relationships/hyperlink" Target="https://drive.google.com/drive/folders/1ZuK6Alx0u8gVjOrN2gq-JmTFqgKbIK3s?usp=sharing" TargetMode="External"/><Relationship Id="rId309" Type="http://schemas.openxmlformats.org/officeDocument/2006/relationships/hyperlink" Target="https://drive.google.com/drive/folders/157g7GPU2uWmVoir8HYWvwo04DYx70Q40?usp=drive_link" TargetMode="External"/><Relationship Id="rId308" Type="http://schemas.openxmlformats.org/officeDocument/2006/relationships/hyperlink" Target="https://drive.google.com/open?id=12RM0lxmy7p964fkSebYx6A8aM2ovSq5L" TargetMode="External"/><Relationship Id="rId429" Type="http://schemas.openxmlformats.org/officeDocument/2006/relationships/hyperlink" Target="https://drive.google.com/drive/folders/18xJQ-3eECT_D55nBI5qwt1501GH2FG3T" TargetMode="External"/><Relationship Id="rId307" Type="http://schemas.openxmlformats.org/officeDocument/2006/relationships/hyperlink" Target="https://drive.google.com/drive/folders/1PIdrEpmJ5Ts3AH6xgUsmMf4tQamCydq8?usp=sharing" TargetMode="External"/><Relationship Id="rId428" Type="http://schemas.openxmlformats.org/officeDocument/2006/relationships/hyperlink" Target="https://drive.google.com/drive/folders/12LUaQK14lrvAZLtekJDARU0MW4QyLkG5" TargetMode="External"/><Relationship Id="rId306" Type="http://schemas.openxmlformats.org/officeDocument/2006/relationships/hyperlink" Target="https://drive.google.com/open?id=1G7JeTDOXhNKnbYw9oBGqiYFj6TZ6Azby" TargetMode="External"/><Relationship Id="rId427" Type="http://schemas.openxmlformats.org/officeDocument/2006/relationships/hyperlink" Target="https://drive.google.com/open?id=1J8OAdMjhPRtHAMg7vDIHtyEv0aiqdH_h" TargetMode="External"/><Relationship Id="rId301" Type="http://schemas.openxmlformats.org/officeDocument/2006/relationships/hyperlink" Target="https://drive.google.com/open?id=1jRcrwMfTcopD0C_6SPZkfaTiQHZhLkNF" TargetMode="External"/><Relationship Id="rId422" Type="http://schemas.openxmlformats.org/officeDocument/2006/relationships/hyperlink" Target="https://drive.google.com/open?id=1VSSFaaetKiXfd6oW5roZUcV2Alz1TWT6" TargetMode="External"/><Relationship Id="rId300" Type="http://schemas.openxmlformats.org/officeDocument/2006/relationships/hyperlink" Target="https://drive.google.com/file/d/1NLVMd2lRd_IZi1QxIH1kT4Jf11wOMHje/view?usp=drivesdk" TargetMode="External"/><Relationship Id="rId421" Type="http://schemas.openxmlformats.org/officeDocument/2006/relationships/hyperlink" Target="https://drive.google.com/file/d/1IwfRx5q1pQ71fp6NaZXiPECFmywaw67T/view?usp=drivesdk" TargetMode="External"/><Relationship Id="rId420" Type="http://schemas.openxmlformats.org/officeDocument/2006/relationships/hyperlink" Target="https://drive.google.com/open?id=1Xd9_Yr4qRCbs8Z0iCMh80sXdD-fdy-uo" TargetMode="External"/><Relationship Id="rId415" Type="http://schemas.openxmlformats.org/officeDocument/2006/relationships/hyperlink" Target="https://drive.google.com/file/d/1XEWV9G_a3_JgM6mZMc5JldsOl8U470Wu/view?usp=sharing" TargetMode="External"/><Relationship Id="rId414" Type="http://schemas.openxmlformats.org/officeDocument/2006/relationships/hyperlink" Target="https://drive.google.com/open?id=1Cyurd1ZvCSFr1U4lskqFG3frCKt99MqG" TargetMode="External"/><Relationship Id="rId413" Type="http://schemas.openxmlformats.org/officeDocument/2006/relationships/hyperlink" Target="https://drive.google.com/drive/folders/1gvYo2u1WJg-VnSw1byRSjpOT3TklJbdK?usp=sharing" TargetMode="External"/><Relationship Id="rId412" Type="http://schemas.openxmlformats.org/officeDocument/2006/relationships/hyperlink" Target="https://drive.google.com/drive/folders/1VJy4PG02osf5uSvbOyUlKDU0QFevurqG?usp=sharing" TargetMode="External"/><Relationship Id="rId419" Type="http://schemas.openxmlformats.org/officeDocument/2006/relationships/hyperlink" Target="https://drive.google.com/drive/folders/1BbNrhkBUeXGFB07Zu5rb0FC2-93aesfT?usp=sharing" TargetMode="External"/><Relationship Id="rId418" Type="http://schemas.openxmlformats.org/officeDocument/2006/relationships/hyperlink" Target="https://drive.google.com/drive/folders/1BbNrhkBUeXGFB07Zu5rb0FC2-93aesfT?usp=sharing" TargetMode="External"/><Relationship Id="rId417" Type="http://schemas.openxmlformats.org/officeDocument/2006/relationships/hyperlink" Target="https://drive.google.com/open?id=1TgwuwuWlYxW5jVg63xTjNp4EjRcVIYLZ" TargetMode="External"/><Relationship Id="rId416" Type="http://schemas.openxmlformats.org/officeDocument/2006/relationships/hyperlink" Target="https://drive.google.com/file/d/1BBFQYrvyABa77U-eHoNHLElDztglLySm/view?usp=sharing" TargetMode="External"/><Relationship Id="rId411" Type="http://schemas.openxmlformats.org/officeDocument/2006/relationships/hyperlink" Target="https://drive.google.com/open?id=16EKHoQ5475nyv19gcDcfnP-16ybQtLT0" TargetMode="External"/><Relationship Id="rId410" Type="http://schemas.openxmlformats.org/officeDocument/2006/relationships/hyperlink" Target="https://drive.google.com/drive/u/1/folders/12y91230r5HxHxaki4ppVhWjU1psogudU" TargetMode="External"/><Relationship Id="rId206" Type="http://schemas.openxmlformats.org/officeDocument/2006/relationships/hyperlink" Target="https://drive.google.com/open?id=1lXk4bE7aW9KN7NbwtBqFemMU4a7AezXR" TargetMode="External"/><Relationship Id="rId327" Type="http://schemas.openxmlformats.org/officeDocument/2006/relationships/hyperlink" Target="https://drive.google.com/file/d/17NLrI4FRBXVVXFTkiFWHEn8bkZGr1-yx/view?usp=drivesdk" TargetMode="External"/><Relationship Id="rId448" Type="http://schemas.openxmlformats.org/officeDocument/2006/relationships/hyperlink" Target="https://drive.google.com/file/d/1r9JITidVHNof3WzYhgjA9Q3Vf5GMZNES/view?usp=sharing" TargetMode="External"/><Relationship Id="rId205" Type="http://schemas.openxmlformats.org/officeDocument/2006/relationships/hyperlink" Target="https://drive.google.com/file/d/1BRliNG08XfeSGbcZmOIvGmwpGeM8FGuB/view?usp=drivesdk" TargetMode="External"/><Relationship Id="rId326" Type="http://schemas.openxmlformats.org/officeDocument/2006/relationships/hyperlink" Target="https://drive.google.com/drive/folders/1_JjDTlCQ95Z2HSt2cr6Z-dG-f-XTqN5-" TargetMode="External"/><Relationship Id="rId447" Type="http://schemas.openxmlformats.org/officeDocument/2006/relationships/hyperlink" Target="https://drive.google.com/drive/folders/1mDUGkIBhY1Wv5ag4XB8fO_0Bm-afpdlu" TargetMode="External"/><Relationship Id="rId204" Type="http://schemas.openxmlformats.org/officeDocument/2006/relationships/hyperlink" Target="https://drive.google.com/drive/folders/1FWmxvG1wvGsYFwBfDwOLmVkwH5i5gSik" TargetMode="External"/><Relationship Id="rId325" Type="http://schemas.openxmlformats.org/officeDocument/2006/relationships/hyperlink" Target="https://drive.google.com/open?id=1KqQqtWMwtcAdCTMzKdmYxgBwUEYjNKEm" TargetMode="External"/><Relationship Id="rId446" Type="http://schemas.openxmlformats.org/officeDocument/2006/relationships/hyperlink" Target="https://drive.google.com/open?id=1Orzqacb8lKen18Nrq3LaKEvCREiBJ0rc" TargetMode="External"/><Relationship Id="rId203" Type="http://schemas.openxmlformats.org/officeDocument/2006/relationships/hyperlink" Target="https://drive.google.com/open?id=1T8fL4JQu_dZTEF-gygT-D1RFT_vRfKlB" TargetMode="External"/><Relationship Id="rId324" Type="http://schemas.openxmlformats.org/officeDocument/2006/relationships/hyperlink" Target="https://drive.google.com/file/d/1ejoFKKYvBRZady_u6WBtR887yBw_aqnX/view?usp=drivesdk" TargetMode="External"/><Relationship Id="rId445" Type="http://schemas.openxmlformats.org/officeDocument/2006/relationships/hyperlink" Target="https://drive.google.com/file/d/1TaOLElal1yMWcoRJCkSbcKTQjb-0XBpq/view?usp=drivesdk" TargetMode="External"/><Relationship Id="rId209" Type="http://schemas.openxmlformats.org/officeDocument/2006/relationships/hyperlink" Target="https://drive.google.com/file/d/1h63cWRCshoOEWZoma2HqgpkbKwWhXdk_/view?usp=sharing" TargetMode="External"/><Relationship Id="rId208" Type="http://schemas.openxmlformats.org/officeDocument/2006/relationships/hyperlink" Target="https://drive.google.com/open?id=1aqkog-PXiYotxzfxmceQCfuMHI427cBp" TargetMode="External"/><Relationship Id="rId329" Type="http://schemas.openxmlformats.org/officeDocument/2006/relationships/hyperlink" Target="https://drive.google.com/file/d/1cIgg449V7hr7PwJdcH9hBPLNw7NVBI61/view?usp=drivesdk" TargetMode="External"/><Relationship Id="rId207" Type="http://schemas.openxmlformats.org/officeDocument/2006/relationships/hyperlink" Target="https://drive.google.com/drive/folders/19r7Cl5nUN2M2MKhSE7bGX8tAGaPZ57JC" TargetMode="External"/><Relationship Id="rId328" Type="http://schemas.openxmlformats.org/officeDocument/2006/relationships/hyperlink" Target="https://drive.google.com/open?id=1UBd0WIAKYjvMwStxghV0L83GR7Mrz1Jo" TargetMode="External"/><Relationship Id="rId449" Type="http://schemas.openxmlformats.org/officeDocument/2006/relationships/hyperlink" Target="https://drive.google.com/open?id=1JavX3mO9GfTMU-C6KqrRXGfiwjoDNqKz" TargetMode="External"/><Relationship Id="rId440" Type="http://schemas.openxmlformats.org/officeDocument/2006/relationships/hyperlink" Target="https://drive.google.com/open?id=1-w7scFcE8qym4j-hQPmOCVhxry3kEsLd" TargetMode="External"/><Relationship Id="rId202" Type="http://schemas.openxmlformats.org/officeDocument/2006/relationships/hyperlink" Target="https://drive.google.com/file/d/18IhcwPWDtcUg9_pBLGWNVBKS261-qceu/view?usp=drivesdk" TargetMode="External"/><Relationship Id="rId323" Type="http://schemas.openxmlformats.org/officeDocument/2006/relationships/hyperlink" Target="https://drive.google.com/file/d/1ch7lfLBpgDwfd6eUCsp62QmQis-una8H/view?usp=drivesdk" TargetMode="External"/><Relationship Id="rId444" Type="http://schemas.openxmlformats.org/officeDocument/2006/relationships/hyperlink" Target="https://drive.google.com/file/d/1Rh1b__zKa2ZQ_SzOjR0o3j4HYCMsynEu/view?usp=drivesdk" TargetMode="External"/><Relationship Id="rId201" Type="http://schemas.openxmlformats.org/officeDocument/2006/relationships/hyperlink" Target="https://drive.google.com/drive/folders/1ndrLT3x5BYcWVV2mZSLe8u0fR4zUiFTP" TargetMode="External"/><Relationship Id="rId322" Type="http://schemas.openxmlformats.org/officeDocument/2006/relationships/hyperlink" Target="https://drive.google.com/open?id=1hR5ji0xooSwVqpUU3y0A1mqqXOUK43An" TargetMode="External"/><Relationship Id="rId443" Type="http://schemas.openxmlformats.org/officeDocument/2006/relationships/hyperlink" Target="https://drive.google.com/open?id=1btBLZWSKfK9MPITXSmTW6gOHMCx4aD-r" TargetMode="External"/><Relationship Id="rId200" Type="http://schemas.openxmlformats.org/officeDocument/2006/relationships/hyperlink" Target="https://drive.google.com/open?id=19Zu3BViff_1_VoM_S3prAdYok3iTGWuE" TargetMode="External"/><Relationship Id="rId321" Type="http://schemas.openxmlformats.org/officeDocument/2006/relationships/hyperlink" Target="https://drive.google.com/file/d/1K14cG90SuffnJXjKhSAEWNFBzQd_EaEV/view?usp=drive_link" TargetMode="External"/><Relationship Id="rId442" Type="http://schemas.openxmlformats.org/officeDocument/2006/relationships/hyperlink" Target="https://drive.google.com/file/d/1RQT-PNJMzKqPTQ6YxYdTfSZAVuSsTTcE/view" TargetMode="External"/><Relationship Id="rId320" Type="http://schemas.openxmlformats.org/officeDocument/2006/relationships/hyperlink" Target="https://drive.google.com/open?id=10wpPpWUpfiijLrJDVPy5z3WmnT4r58x1" TargetMode="External"/><Relationship Id="rId441" Type="http://schemas.openxmlformats.org/officeDocument/2006/relationships/hyperlink" Target="https://drive.google.com/drive/folders/12khkzgkqTtm8ioLxgimKuN7ckMlN-Ggm" TargetMode="External"/><Relationship Id="rId316" Type="http://schemas.openxmlformats.org/officeDocument/2006/relationships/hyperlink" Target="https://drive.google.com/open?id=1N5NFhx2jM62H_yO-Ykp0V4CSgnLC6Dea" TargetMode="External"/><Relationship Id="rId437" Type="http://schemas.openxmlformats.org/officeDocument/2006/relationships/hyperlink" Target="https://drive.google.com/open?id=1fae4WmLqP1XdYuAlsYtFW5_mWBLKSA44" TargetMode="External"/><Relationship Id="rId315" Type="http://schemas.openxmlformats.org/officeDocument/2006/relationships/hyperlink" Target="https://drive.google.com/file/d/18x7LbrNM7kH5UuTFMQO0X7fNmqaZ7MP4/view?usp=drive_link" TargetMode="External"/><Relationship Id="rId436" Type="http://schemas.openxmlformats.org/officeDocument/2006/relationships/hyperlink" Target="https://drive.google.com/file/d/1TaOLElal1yMWcoRJCkSbcKTQjb-0XBpq/view?usp=drivesdk" TargetMode="External"/><Relationship Id="rId314" Type="http://schemas.openxmlformats.org/officeDocument/2006/relationships/hyperlink" Target="https://drive.google.com/open?id=1db97Hf6tsA3nNb8sTNo7QUalo4U5BhQg" TargetMode="External"/><Relationship Id="rId435" Type="http://schemas.openxmlformats.org/officeDocument/2006/relationships/hyperlink" Target="https://drive.google.com/open?id=1G82mubitOC75LkF0OYYL2raNHg4eLDtC" TargetMode="External"/><Relationship Id="rId313" Type="http://schemas.openxmlformats.org/officeDocument/2006/relationships/hyperlink" Target="https://drive.google.com/drive/my-drive?hl=ID" TargetMode="External"/><Relationship Id="rId434" Type="http://schemas.openxmlformats.org/officeDocument/2006/relationships/hyperlink" Target="https://drive.google.com/file/d/17FdJmY2Q_rOwdCw03xhjj_qUQHZs8Ubh/view?usp=drivesdk" TargetMode="External"/><Relationship Id="rId319" Type="http://schemas.openxmlformats.org/officeDocument/2006/relationships/hyperlink" Target="https://drive.google.com/file/d/1e3QMm77HgNls5npfBunclbid-2paBVp5/view?usp=sharing" TargetMode="External"/><Relationship Id="rId318" Type="http://schemas.openxmlformats.org/officeDocument/2006/relationships/hyperlink" Target="https://drive.google.com/file/d/1ZxhM7GdDCe-RzJJ4vTn8VM15XtiEYoDy/view?usp=drive_link" TargetMode="External"/><Relationship Id="rId439" Type="http://schemas.openxmlformats.org/officeDocument/2006/relationships/hyperlink" Target="https://drive.google.com/drive/folders/1YILji-NEk9EOr82JBqJsQHRVAbvbUghJ" TargetMode="External"/><Relationship Id="rId317" Type="http://schemas.openxmlformats.org/officeDocument/2006/relationships/hyperlink" Target="https://drive.google.com/open?id=1RTN4mAERHAcq58SpAPuIjbfR-L_WYOUA" TargetMode="External"/><Relationship Id="rId438" Type="http://schemas.openxmlformats.org/officeDocument/2006/relationships/hyperlink" Target="https://drive.google.com/drive/folders/1ToPxf64AlmpbPv5EB4LXPa-Ox2OwTg_V?usp=sharing" TargetMode="External"/><Relationship Id="rId312" Type="http://schemas.openxmlformats.org/officeDocument/2006/relationships/hyperlink" Target="https://drive.google.com/drive/folders/1xHnwtPpiVK8lvJBgar1ydRN9UUdDr1Yq?hl=ID" TargetMode="External"/><Relationship Id="rId433" Type="http://schemas.openxmlformats.org/officeDocument/2006/relationships/hyperlink" Target="https://drive.google.com/open?id=1lrU4ShOquWmqIzS5iBgCbvHXEUf9E1df" TargetMode="External"/><Relationship Id="rId311" Type="http://schemas.openxmlformats.org/officeDocument/2006/relationships/hyperlink" Target="https://drive.google.com/open?id=1aZKVu9Rru1OdgFnWpc8OVCpjt16nxE_b" TargetMode="External"/><Relationship Id="rId432" Type="http://schemas.openxmlformats.org/officeDocument/2006/relationships/hyperlink" Target="https://drive.google.com/drive/folders/1OklC5H6FRFDLospoDAPORQMtrGaZiUSx" TargetMode="External"/><Relationship Id="rId310" Type="http://schemas.openxmlformats.org/officeDocument/2006/relationships/hyperlink" Target="https://drive.google.com/file/d/1yC0TberpZjYSJT8tMqZe7xjRzz9PNz6L/view?usp=sharing" TargetMode="External"/><Relationship Id="rId431" Type="http://schemas.openxmlformats.org/officeDocument/2006/relationships/hyperlink" Target="https://drive.google.com/drive/folders/1qeMHbczXXxItu4qFzgGkONP6OQwnrXHl?usp=sharing" TargetMode="External"/><Relationship Id="rId430" Type="http://schemas.openxmlformats.org/officeDocument/2006/relationships/hyperlink" Target="https://drive.google.com/open?id=1iZZIF5e2BkfyUFnJGT3B92ar2kDNglwL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czFk9KIDKjBbNttApLuhEDIHMjlZgs_J/view?usp=drivesdk" TargetMode="External"/><Relationship Id="rId194" Type="http://schemas.openxmlformats.org/officeDocument/2006/relationships/hyperlink" Target="https://drive.google.com/open?id=1bljDvqw0hCR-1KQfSqBqY7fgf1IBh9mz" TargetMode="External"/><Relationship Id="rId193" Type="http://schemas.openxmlformats.org/officeDocument/2006/relationships/hyperlink" Target="https://drive.google.com/file/d/1Csp-KkryWS8OW0y5WtdeB1RAF5D19SxY/view?usp=sharing" TargetMode="External"/><Relationship Id="rId192" Type="http://schemas.openxmlformats.org/officeDocument/2006/relationships/hyperlink" Target="https://drive.google.com/drive/folders/1zr9jpWWKJhLxyFvydPkYe9rMQodbRowa?usp=sharing" TargetMode="External"/><Relationship Id="rId191" Type="http://schemas.openxmlformats.org/officeDocument/2006/relationships/hyperlink" Target="https://drive.google.com/open?id=1qSuSI31VSIYpGGFUa8mK2rYS5II8WDLd" TargetMode="External"/><Relationship Id="rId187" Type="http://schemas.openxmlformats.org/officeDocument/2006/relationships/hyperlink" Target="https://drive.google.com/drive/folders/1uiFCL4Z40gteEeW8JX4SV-y9TpDFELEc" TargetMode="External"/><Relationship Id="rId186" Type="http://schemas.openxmlformats.org/officeDocument/2006/relationships/hyperlink" Target="https://drive.google.com/open?id=1JuEq4djty-y8fLohK7DzB44mwckUib5b" TargetMode="External"/><Relationship Id="rId185" Type="http://schemas.openxmlformats.org/officeDocument/2006/relationships/hyperlink" Target="https://drive.google.com/file/d/1egvuICb9Fe5dZ-cPpgczoxhMGrxXWj7x/view?usp=sharing" TargetMode="External"/><Relationship Id="rId184" Type="http://schemas.openxmlformats.org/officeDocument/2006/relationships/hyperlink" Target="https://drive.google.com/open?id=1ArTrUXGa5_LwDpsgC7-ab0pmArpupKhp" TargetMode="External"/><Relationship Id="rId189" Type="http://schemas.openxmlformats.org/officeDocument/2006/relationships/hyperlink" Target="https://drive.google.com/open?id=1bDNTo08NetCUDF1bVK6Max1FqTNZPTWV" TargetMode="External"/><Relationship Id="rId188" Type="http://schemas.openxmlformats.org/officeDocument/2006/relationships/hyperlink" Target="https://drive.google.com/drive/folders/10gdRNvHaesOYapEBw9VjuyApTvEMW3oo" TargetMode="External"/><Relationship Id="rId183" Type="http://schemas.openxmlformats.org/officeDocument/2006/relationships/hyperlink" Target="https://drive.google.com/file/d/1-4bh_3Gsx8QMHDML1RTcjQU860Yb8vUF/view?usp=drivesdk" TargetMode="External"/><Relationship Id="rId182" Type="http://schemas.openxmlformats.org/officeDocument/2006/relationships/hyperlink" Target="https://drive.google.com/drive/folders/1D4s0ysl23nOrJgQmY_nJosQ0JjPXaT2X" TargetMode="External"/><Relationship Id="rId181" Type="http://schemas.openxmlformats.org/officeDocument/2006/relationships/hyperlink" Target="https://drive.google.com/open?id=1-YUnvwdNiYug1XyXP1s5OcnNyLH_tN69" TargetMode="External"/><Relationship Id="rId180" Type="http://schemas.openxmlformats.org/officeDocument/2006/relationships/hyperlink" Target="https://drive.google.com/file/d/1W12YEq3GjE_L-y-bTkeot7UzdvOLJSjt/view?usp=sharing" TargetMode="External"/><Relationship Id="rId176" Type="http://schemas.openxmlformats.org/officeDocument/2006/relationships/hyperlink" Target="https://drive.google.com/file/d/15q8UosXFDYh3syfvPaoLfg-s64HJpX-M/view?usp=drivesdk" TargetMode="External"/><Relationship Id="rId297" Type="http://schemas.openxmlformats.org/officeDocument/2006/relationships/hyperlink" Target="https://drive.google.com/open?id=1FuEIuashz6ALfptPp9CGgDxXt8_yKzSU" TargetMode="External"/><Relationship Id="rId175" Type="http://schemas.openxmlformats.org/officeDocument/2006/relationships/hyperlink" Target="https://drive.google.com/file/d/1-hu-TQKdbX2yJqHvYDuEs4clAxm-Zpym/view?usp=drivesdk" TargetMode="External"/><Relationship Id="rId296" Type="http://schemas.openxmlformats.org/officeDocument/2006/relationships/hyperlink" Target="https://drive.google.com/drive/folders/13TzkmruK-0Q2-WN0ppe31VLzRKgKDuYM" TargetMode="External"/><Relationship Id="rId174" Type="http://schemas.openxmlformats.org/officeDocument/2006/relationships/hyperlink" Target="https://drive.google.com/file/d/1LqTRWW3H2LxmnAH_IaS6gp1Fb_Cf23vf/view?usp=drivesdk" TargetMode="External"/><Relationship Id="rId295" Type="http://schemas.openxmlformats.org/officeDocument/2006/relationships/hyperlink" Target="https://drive.google.com/open?id=1bQ2oUUyz-zVSwvLfgbV2C4EUHFznG4lN" TargetMode="External"/><Relationship Id="rId173" Type="http://schemas.openxmlformats.org/officeDocument/2006/relationships/hyperlink" Target="https://drive.google.com/file/d/1oidTQvbYYr9E_r5QpJQ4_ChE2QZYGqwu/view?usp=drivesdk" TargetMode="External"/><Relationship Id="rId294" Type="http://schemas.openxmlformats.org/officeDocument/2006/relationships/hyperlink" Target="https://drive.google.com/file/d/1HOO4AhlgFuNZ7xAZC4wNngOPjGlzNUe2/view?usp=sharing" TargetMode="External"/><Relationship Id="rId179" Type="http://schemas.openxmlformats.org/officeDocument/2006/relationships/hyperlink" Target="https://drive.google.com/drive/folders/1aYXA4C27v4RjA_Uci2XyWDLUHMd94gOA?usp=sharing" TargetMode="External"/><Relationship Id="rId178" Type="http://schemas.openxmlformats.org/officeDocument/2006/relationships/hyperlink" Target="https://drive.google.com/drive/folders/1PqLz8RYnnSg7ZDxnd7U7A6x_JUgroK7k" TargetMode="External"/><Relationship Id="rId299" Type="http://schemas.openxmlformats.org/officeDocument/2006/relationships/hyperlink" Target="https://drive.google.com/file/d/1NLVMd2lRd_IZi1QxIH1kT4Jf11wOMHje/view?usp=drivesdk" TargetMode="External"/><Relationship Id="rId177" Type="http://schemas.openxmlformats.org/officeDocument/2006/relationships/hyperlink" Target="https://drive.google.com/file/d/1-Po-XTK9UlujepB_GgEvK8kp6CHoC-3E/view?usp=drivesdk" TargetMode="External"/><Relationship Id="rId298" Type="http://schemas.openxmlformats.org/officeDocument/2006/relationships/hyperlink" Target="https://drive.google.com/file/d/1KCjaHp7aBGdze2qoC9en5wf8eGI0n-zF/view?usp=drivesdk" TargetMode="External"/><Relationship Id="rId198" Type="http://schemas.openxmlformats.org/officeDocument/2006/relationships/hyperlink" Target="https://drive.google.com/file/d/1hzKaO3nYD5NWhwX-5DNSbiKnTHiwK7T3/view?usp=sharing" TargetMode="External"/><Relationship Id="rId197" Type="http://schemas.openxmlformats.org/officeDocument/2006/relationships/hyperlink" Target="https://drive.google.com/file/d/14nqA5xOhaV7LTMonONLJ2-rWSCf3FYn0/view?usp=sharing" TargetMode="External"/><Relationship Id="rId196" Type="http://schemas.openxmlformats.org/officeDocument/2006/relationships/hyperlink" Target="https://drive.google.com/open?id=1Aejyf_GILUbTtV5qiNfaM6kisjoRwbMV" TargetMode="External"/><Relationship Id="rId195" Type="http://schemas.openxmlformats.org/officeDocument/2006/relationships/hyperlink" Target="https://drive.google.com/file/d/1ZP7zckiKpLuo6ihpZfeBTDIdqQ5XkoCD/view?usp=drive_link" TargetMode="External"/><Relationship Id="rId199" Type="http://schemas.openxmlformats.org/officeDocument/2006/relationships/hyperlink" Target="https://drive.google.com/open?id=19Zu3BViff_1_VoM_S3prAdYok3iTGWuE" TargetMode="External"/><Relationship Id="rId150" Type="http://schemas.openxmlformats.org/officeDocument/2006/relationships/hyperlink" Target="https://drive.google.com/drive/folders/11IqJDpjcTXnE4CSXbzC3pwb5BIKVYs--?usp=drive_link" TargetMode="External"/><Relationship Id="rId271" Type="http://schemas.openxmlformats.org/officeDocument/2006/relationships/hyperlink" Target="https://drive.google.com/file/d/1Q1G14BzAhbQSQoSiLSt9YJjxUYVzcP6x/view?usp=drivesdk" TargetMode="External"/><Relationship Id="rId392" Type="http://schemas.openxmlformats.org/officeDocument/2006/relationships/hyperlink" Target="https://drive.google.com/drive/folders/1q5MXF6g_jehPTrF_zsdYxpbD_t6As1he?usp=sharing" TargetMode="External"/><Relationship Id="rId270" Type="http://schemas.openxmlformats.org/officeDocument/2006/relationships/hyperlink" Target="https://drive.google.com/open?id=1pl-X1oB5tn088a2znovqUykPSku-87ra" TargetMode="External"/><Relationship Id="rId391" Type="http://schemas.openxmlformats.org/officeDocument/2006/relationships/hyperlink" Target="https://drive.google.com/drive/folders/11TfA6roqNDL6OMfdjoFtc2YIMcUaqF6D?usp=sharing" TargetMode="External"/><Relationship Id="rId390" Type="http://schemas.openxmlformats.org/officeDocument/2006/relationships/hyperlink" Target="https://drive.google.com/open?id=1_ll002soiNKTF6O2F27UQ_I69o44QfBf" TargetMode="External"/><Relationship Id="rId1" Type="http://schemas.openxmlformats.org/officeDocument/2006/relationships/hyperlink" Target="https://drive.google.com/drive/folders/1dsYqEqelctlZxB4Hys2aTvWw_xo7AZBD?usp=drive_link" TargetMode="External"/><Relationship Id="rId2" Type="http://schemas.openxmlformats.org/officeDocument/2006/relationships/hyperlink" Target="https://drive.google.com/file/d/1iCxSV9hd262CkcTCjL23f6n7t7EoV6ur/view?usp=sharing" TargetMode="External"/><Relationship Id="rId3" Type="http://schemas.openxmlformats.org/officeDocument/2006/relationships/hyperlink" Target="https://drive.google.com/drive/folders/16x0nmGx6I5WGw8jgQGGJwL-c62fCaeiM?usp=drive_link" TargetMode="External"/><Relationship Id="rId149" Type="http://schemas.openxmlformats.org/officeDocument/2006/relationships/hyperlink" Target="https://drive.google.com/file/d/125S5BykyAsUYhePZcozF54aMpBkwCf9m/view?usp=drivesdk" TargetMode="External"/><Relationship Id="rId4" Type="http://schemas.openxmlformats.org/officeDocument/2006/relationships/hyperlink" Target="https://drive.google.com/drive/folders/1LUwVcKfRJZTw2XbLLprTSDJ04eWDmd0c?usp=sharing" TargetMode="External"/><Relationship Id="rId148" Type="http://schemas.openxmlformats.org/officeDocument/2006/relationships/hyperlink" Target="https://drive.google.com/drive/folders/1_Lxo5HWobtllKRhx4DoAPo3psCWgujfd" TargetMode="External"/><Relationship Id="rId269" Type="http://schemas.openxmlformats.org/officeDocument/2006/relationships/hyperlink" Target="https://drive.google.com/file/d/1ar4kGy1qfg_uktfh803TTJLH1ex1jIjx/view?usp=sharing" TargetMode="External"/><Relationship Id="rId9" Type="http://schemas.openxmlformats.org/officeDocument/2006/relationships/hyperlink" Target="https://drive.google.com/drive/folders/1v7ET-0MLyK3nfkDv6QSCOQu7jdaH58zl" TargetMode="External"/><Relationship Id="rId143" Type="http://schemas.openxmlformats.org/officeDocument/2006/relationships/hyperlink" Target="https://drive.google.com/file/d/143JHDzse3sObZEzbFHQZvZdWWfCEdKTl/view?usp=drivesdk" TargetMode="External"/><Relationship Id="rId264" Type="http://schemas.openxmlformats.org/officeDocument/2006/relationships/hyperlink" Target="https://drive.google.com/file/d/1kebzPEnjn8cLYmp2y7HRyvi4KUEM7GYg/view?usp=sharing" TargetMode="External"/><Relationship Id="rId385" Type="http://schemas.openxmlformats.org/officeDocument/2006/relationships/hyperlink" Target="https://drive.google.com/open?id=1ob8mAKiXrDZQtJQapkC2gNfYon89bQnI" TargetMode="External"/><Relationship Id="rId142" Type="http://schemas.openxmlformats.org/officeDocument/2006/relationships/hyperlink" Target="https://drive.google.com/file/d/12O1DB7FIoqIZRTC1SggA8lB7Wtp7A1WW/view?usp=drivesdk" TargetMode="External"/><Relationship Id="rId263" Type="http://schemas.openxmlformats.org/officeDocument/2006/relationships/hyperlink" Target="https://drive.google.com/file/d/1q2WATHk4Ogu6nNhq0EnQlwkB49xuDrUM/view?usp=sharing" TargetMode="External"/><Relationship Id="rId384" Type="http://schemas.openxmlformats.org/officeDocument/2006/relationships/hyperlink" Target="https://drive.google.com/file/d/1-E6elHxJDXxCqW0udD7ymA9ux653j06c/view?usp=drivesdk" TargetMode="External"/><Relationship Id="rId141" Type="http://schemas.openxmlformats.org/officeDocument/2006/relationships/hyperlink" Target="https://drive.google.com/file/d/1peyjAV00fNYAk1KhW_TI0Z-Tyzfr-pjB/view?usp=drive_link" TargetMode="External"/><Relationship Id="rId262" Type="http://schemas.openxmlformats.org/officeDocument/2006/relationships/hyperlink" Target="https://drive.google.com/open?id=1w5UG_iPw5oVqoNTW21govm8wMFJiDQvF" TargetMode="External"/><Relationship Id="rId383" Type="http://schemas.openxmlformats.org/officeDocument/2006/relationships/hyperlink" Target="https://drive.google.com/open?id=10RytqU2OVz93cUkyObN9Lrv3Oip_nEsg" TargetMode="External"/><Relationship Id="rId140" Type="http://schemas.openxmlformats.org/officeDocument/2006/relationships/hyperlink" Target="https://www.youtube.com/watch?v=jM1e_5OwKnw" TargetMode="External"/><Relationship Id="rId261" Type="http://schemas.openxmlformats.org/officeDocument/2006/relationships/hyperlink" Target="https://drive.google.com/file/d/1xOPDBiutDsUcljQkrhY4_4Ho6vGNem5I/view?usp=drivesdk" TargetMode="External"/><Relationship Id="rId382" Type="http://schemas.openxmlformats.org/officeDocument/2006/relationships/hyperlink" Target="https://drive.google.com/file/d/1mqHsEuBiuAkI9IQqrp9iBb4ZzPvSo2Hw/view?usp=drivesdk" TargetMode="External"/><Relationship Id="rId5" Type="http://schemas.openxmlformats.org/officeDocument/2006/relationships/hyperlink" Target="https://drive.google.com/drive/folders/1sbX_gWwophHrTMrZOyC0f5Nbdw36cMSx" TargetMode="External"/><Relationship Id="rId147" Type="http://schemas.openxmlformats.org/officeDocument/2006/relationships/hyperlink" Target="https://drive.google.com/file/d/14w0SrHcah5KVYYJRxX4GoYuo6Arj4xmT/view?usp=drivesdk" TargetMode="External"/><Relationship Id="rId268" Type="http://schemas.openxmlformats.org/officeDocument/2006/relationships/hyperlink" Target="https://drive.google.com/drive/folders/1Yk_3znP-E_7NeJzSXSYZoZ4RQmCFsPVZ?usp=sharing" TargetMode="External"/><Relationship Id="rId389" Type="http://schemas.openxmlformats.org/officeDocument/2006/relationships/hyperlink" Target="https://youtu.be/hacGCThujds?si=TyXtnwvGHmLHWeEi" TargetMode="External"/><Relationship Id="rId6" Type="http://schemas.openxmlformats.org/officeDocument/2006/relationships/hyperlink" Target="https://drive.google.com/drive/folders/1nSG76BaQdtMG-CDvZEJRGPQJe22CUPnC" TargetMode="External"/><Relationship Id="rId146" Type="http://schemas.openxmlformats.org/officeDocument/2006/relationships/hyperlink" Target="https://drive.google.com/drive/folders/1RiA64zDPMGWcUQJbujjzdvuiiFbqOYv-" TargetMode="External"/><Relationship Id="rId267" Type="http://schemas.openxmlformats.org/officeDocument/2006/relationships/hyperlink" Target="https://drive.google.com/open?id=1N6zbpCJ1tfnv8iIDpu8YUaVtAb3NFRNv" TargetMode="External"/><Relationship Id="rId388" Type="http://schemas.openxmlformats.org/officeDocument/2006/relationships/hyperlink" Target="https://drive.google.com/drive/folders/1LVjY_dM104LYW2SS6hI4p3y_74uBxRxg" TargetMode="External"/><Relationship Id="rId7" Type="http://schemas.openxmlformats.org/officeDocument/2006/relationships/hyperlink" Target="https://drive.google.com/drive/folders/1yCvx2arxXyITby30A4zMMaHb1zIP3NMt?hl=ID" TargetMode="External"/><Relationship Id="rId145" Type="http://schemas.openxmlformats.org/officeDocument/2006/relationships/hyperlink" Target="https://drive.google.com/file/d/10gR1poUJUv4Bp7RvR9-QMDkoqIoCFID6/view?usp=drivesdk" TargetMode="External"/><Relationship Id="rId266" Type="http://schemas.openxmlformats.org/officeDocument/2006/relationships/hyperlink" Target="https://drive.google.com/drive/folders/1MSCACZOM7BzVsQwuJ0JlJxgh0BU8L-UG" TargetMode="External"/><Relationship Id="rId387" Type="http://schemas.openxmlformats.org/officeDocument/2006/relationships/hyperlink" Target="https://drive.google.com/open?id=1Tero7wxuYRFJD15Nwjf-mpzKUdENWFSi" TargetMode="External"/><Relationship Id="rId8" Type="http://schemas.openxmlformats.org/officeDocument/2006/relationships/hyperlink" Target="https://drive.google.com/file/d/1RTVKYZC70VNFZ0Li44B1okppAyidoSP2/view?usp=sharing" TargetMode="External"/><Relationship Id="rId144" Type="http://schemas.openxmlformats.org/officeDocument/2006/relationships/hyperlink" Target="https://drive.google.com/drive/folders/1KztHH-x7AAkCa0Y68fAPNtOjI1uXYp8N" TargetMode="External"/><Relationship Id="rId265" Type="http://schemas.openxmlformats.org/officeDocument/2006/relationships/hyperlink" Target="https://drive.google.com/open?id=1YSxUo6otlpnmQDm2V2_VyILCo96nBpQ1" TargetMode="External"/><Relationship Id="rId386" Type="http://schemas.openxmlformats.org/officeDocument/2006/relationships/hyperlink" Target="https://drive.google.com/file/d/1n2WAyt9F20OXDGt_kHtZrYIWrFHd46Gv/view?usp=drive_link" TargetMode="External"/><Relationship Id="rId260" Type="http://schemas.openxmlformats.org/officeDocument/2006/relationships/hyperlink" Target="https://drive.google.com/file/d/1828YPcHKu6psAeNtu5uNmkT3uRrX203z/view?usp=drivesdk" TargetMode="External"/><Relationship Id="rId381" Type="http://schemas.openxmlformats.org/officeDocument/2006/relationships/hyperlink" Target="https://drive.google.com/drive/folders/1I6nLkdMZqvJAU2L43X-kVh_2_sopTxj3" TargetMode="External"/><Relationship Id="rId380" Type="http://schemas.openxmlformats.org/officeDocument/2006/relationships/hyperlink" Target="https://drive.google.com/open?id=1BNPA1Mbkwluk1NfmGRRYFVZPuP-F0Fmx" TargetMode="External"/><Relationship Id="rId139" Type="http://schemas.openxmlformats.org/officeDocument/2006/relationships/hyperlink" Target="https://drive.google.com/drive/folders/1oDDFY2xrlyT8xOLSLtaWcTorLaV2gd-T?usp=sharing" TargetMode="External"/><Relationship Id="rId138" Type="http://schemas.openxmlformats.org/officeDocument/2006/relationships/hyperlink" Target="https://drive.google.com/file/d/1YlN9LWOGX_duy7lpVzaDTpDDBGlh7HwO/view?usp=drivesdk" TargetMode="External"/><Relationship Id="rId259" Type="http://schemas.openxmlformats.org/officeDocument/2006/relationships/hyperlink" Target="https://drive.google.com/open?id=1e1BnOFWjJWkpXp0QWDjDOrERBYvo68Xx" TargetMode="External"/><Relationship Id="rId137" Type="http://schemas.openxmlformats.org/officeDocument/2006/relationships/hyperlink" Target="https://drive.google.com/file/d/1xC1-O8NQibAtMRCBDo8VBwZEXn2Edt3L/view?usp=drivesdk" TargetMode="External"/><Relationship Id="rId258" Type="http://schemas.openxmlformats.org/officeDocument/2006/relationships/hyperlink" Target="https://drive.google.com/file/d/1zUFHU7edYhhn5rtoUV5i6yHLXhfx_YPt/view?usp=drivesdk" TargetMode="External"/><Relationship Id="rId379" Type="http://schemas.openxmlformats.org/officeDocument/2006/relationships/hyperlink" Target="https://drive.google.com/file/d/1Z0OtvaaPj_hoVvHlUmcOKq1RJZ8us2f0/view?usp=sharing" TargetMode="External"/><Relationship Id="rId132" Type="http://schemas.openxmlformats.org/officeDocument/2006/relationships/hyperlink" Target="https://drive.google.com/drive/folders/1ow4-6NaDSh-0U4S7plIc-icO8HYC61WV?usp=sharing" TargetMode="External"/><Relationship Id="rId253" Type="http://schemas.openxmlformats.org/officeDocument/2006/relationships/hyperlink" Target="https://drive.google.com/file/d/1q2WATHk4Ogu6nNhq0EnQlwkB49xuDrUM/view?usp=drive_link" TargetMode="External"/><Relationship Id="rId374" Type="http://schemas.openxmlformats.org/officeDocument/2006/relationships/hyperlink" Target="https://drive.google.com/drive/folders/1BOLsbpZenoUTbTOk1887z8HGqXUo-DJ1" TargetMode="External"/><Relationship Id="rId131" Type="http://schemas.openxmlformats.org/officeDocument/2006/relationships/hyperlink" Target="https://drive.google.com/file/d/1Cp2XvZpha_BsmVKXrwzzbt50zrXWFIgd/view?usp=sharing" TargetMode="External"/><Relationship Id="rId252" Type="http://schemas.openxmlformats.org/officeDocument/2006/relationships/hyperlink" Target="https://drive.google.com/open?id=1bFUJ2Qt4v56uhI32hQ2Cv95ucKLoP4MF" TargetMode="External"/><Relationship Id="rId373" Type="http://schemas.openxmlformats.org/officeDocument/2006/relationships/hyperlink" Target="https://drive.google.com/open?id=1v0OvSZeu0kAF5sP-dxp4DA3fI3GPwDUf" TargetMode="External"/><Relationship Id="rId130" Type="http://schemas.openxmlformats.org/officeDocument/2006/relationships/hyperlink" Target="https://drive.google.com/file/d/1q-2IZ9iExO_p1ito2WG__QJ0JhY5ERou/view?usp=drivesdk" TargetMode="External"/><Relationship Id="rId251" Type="http://schemas.openxmlformats.org/officeDocument/2006/relationships/hyperlink" Target="https://drive.google.com/file/d/1pM2_9_ydITQwkfilNCICdwxqTh-anOk_/view?usp=drivesdk" TargetMode="External"/><Relationship Id="rId372" Type="http://schemas.openxmlformats.org/officeDocument/2006/relationships/hyperlink" Target="https://drive.google.com/file/d/1jfu9QLcFkUIRToh11Ezjc2rHHgjxXIzl/view?usp=drivesdk" TargetMode="External"/><Relationship Id="rId250" Type="http://schemas.openxmlformats.org/officeDocument/2006/relationships/hyperlink" Target="https://drive.google.com/file/d/1MZapdCM3BI0aEDf1zUk79aECGn5lhx0U/view?usp=drivesdk" TargetMode="External"/><Relationship Id="rId371" Type="http://schemas.openxmlformats.org/officeDocument/2006/relationships/hyperlink" Target="https://drive.google.com/file/d/135s2eY1pnAEWfIfOiMIwnJXlWbqMIkCP/view?usp=sharing" TargetMode="External"/><Relationship Id="rId136" Type="http://schemas.openxmlformats.org/officeDocument/2006/relationships/hyperlink" Target="https://drive.google.com/drive/folders/1-40u8UNH_SNeIkwr8FZ6hdjDyNuH11WZ" TargetMode="External"/><Relationship Id="rId257" Type="http://schemas.openxmlformats.org/officeDocument/2006/relationships/hyperlink" Target="https://drive.google.com/drive/folders/13mZOYxtPxMB3lu4cg9nGsyp06JExoD3V" TargetMode="External"/><Relationship Id="rId378" Type="http://schemas.openxmlformats.org/officeDocument/2006/relationships/hyperlink" Target="https://drive.google.com/open?id=1lPLcJeflAkOP4t5DkRolkpH8Hh6VBEyL" TargetMode="External"/><Relationship Id="rId135" Type="http://schemas.openxmlformats.org/officeDocument/2006/relationships/hyperlink" Target="https://drive.google.com/drive/folders/18yBJOjtpw6PsG4DRETVg2yP5SJnmcY39?usp=sharing" TargetMode="External"/><Relationship Id="rId256" Type="http://schemas.openxmlformats.org/officeDocument/2006/relationships/hyperlink" Target="https://drive.google.com/open?id=1-Wn5XUd-SaWXtzXivToimWAhKmVjOIve" TargetMode="External"/><Relationship Id="rId377" Type="http://schemas.openxmlformats.org/officeDocument/2006/relationships/hyperlink" Target="https://drive.google.com/file/d/1TSMxPbSYCE-wGzRrKrkCo5WhXMY4oK6Y/view?usp=drivesdk" TargetMode="External"/><Relationship Id="rId134" Type="http://schemas.openxmlformats.org/officeDocument/2006/relationships/hyperlink" Target="https://drive.google.com/drive/folders/1ZqAJMDrwcjCIBwezainJPSq-Af5FR8ad?usp=sharing" TargetMode="External"/><Relationship Id="rId255" Type="http://schemas.openxmlformats.org/officeDocument/2006/relationships/hyperlink" Target="https://drive.google.com/open?id=1y6TdiYDHlTqqV5zCA5fhfaZCRJu-iV02" TargetMode="External"/><Relationship Id="rId376" Type="http://schemas.openxmlformats.org/officeDocument/2006/relationships/hyperlink" Target="https://drive.google.com/open?id=1Ly0YqjhuygZ9yiU9FdUIthfmXv-qtJiQ" TargetMode="External"/><Relationship Id="rId133" Type="http://schemas.openxmlformats.org/officeDocument/2006/relationships/hyperlink" Target="https://drive.google.com/file/d/1-BbTbD6dRGBlX3AWGJ92R7ATswHSzRJr/view?usp=drivesdk" TargetMode="External"/><Relationship Id="rId254" Type="http://schemas.openxmlformats.org/officeDocument/2006/relationships/hyperlink" Target="https://drive.google.com/file/d/1FO1apaLrvm6OonO-6m8-hbivpRlxH__O/view?usp=sharing" TargetMode="External"/><Relationship Id="rId375" Type="http://schemas.openxmlformats.org/officeDocument/2006/relationships/hyperlink" Target="https://drive.google.com/file/d/15DvaHVYPeSBauHFW_AUm0GxGrFWrx0UA/view?usp=drivesdk" TargetMode="External"/><Relationship Id="rId172" Type="http://schemas.openxmlformats.org/officeDocument/2006/relationships/hyperlink" Target="https://youtu.be/O5RQVJUPqL4?feature=shared" TargetMode="External"/><Relationship Id="rId293" Type="http://schemas.openxmlformats.org/officeDocument/2006/relationships/hyperlink" Target="https://drive.google.com/drive/folders/1hdzssX16IwtOVDMzPJYkcQjPZRYFPj5T?usp=sharing" TargetMode="External"/><Relationship Id="rId171" Type="http://schemas.openxmlformats.org/officeDocument/2006/relationships/hyperlink" Target="https://drive.google.com/drive/folders/1LTWCeJsS3uOTO0e7hqMI7AzpaE9Twr0Q" TargetMode="External"/><Relationship Id="rId292" Type="http://schemas.openxmlformats.org/officeDocument/2006/relationships/hyperlink" Target="https://drive.google.com/open?id=13efrdOnk2YAnhyQB6NFga0E7riHni7kP" TargetMode="External"/><Relationship Id="rId170" Type="http://schemas.openxmlformats.org/officeDocument/2006/relationships/hyperlink" Target="https://drive.google.com/file/d/1g0DJjf0-Ir1o_hN675z6JetJWDctZMtK/view?usp=drive_link" TargetMode="External"/><Relationship Id="rId291" Type="http://schemas.openxmlformats.org/officeDocument/2006/relationships/hyperlink" Target="https://drive.google.com/file/d/1PsEE8P50ldpBgaiCWhSJgB8M5EUIE9P9/view?usp=sharing" TargetMode="External"/><Relationship Id="rId290" Type="http://schemas.openxmlformats.org/officeDocument/2006/relationships/hyperlink" Target="https://drive.google.com/drive/project/1ypNhOfZ1ErOar424uG5L-X1688R0hlne?usp=sharing" TargetMode="External"/><Relationship Id="rId165" Type="http://schemas.openxmlformats.org/officeDocument/2006/relationships/hyperlink" Target="https://drive.google.com/file/d/16iPyUf7iTQQhSLQ91kRa-Q5r3R0NU1Zz/view?usp=drive_link" TargetMode="External"/><Relationship Id="rId286" Type="http://schemas.openxmlformats.org/officeDocument/2006/relationships/hyperlink" Target="https://drive.google.com/open?id=19eR_aYZGb-0a2r-q_mX5F2e_byiiyeRc" TargetMode="External"/><Relationship Id="rId164" Type="http://schemas.openxmlformats.org/officeDocument/2006/relationships/hyperlink" Target="https://drive.google.com/drive/folders/1mnSHPVEjQdxRANgN3JMjVU82XqtfeJhp?usp=sharing" TargetMode="External"/><Relationship Id="rId285" Type="http://schemas.openxmlformats.org/officeDocument/2006/relationships/hyperlink" Target="https://drive.google.com/file/d/1-TaIQ-qTH3qR6Y29OSSEaY-clgJR9eLz/view?usp=drivesdk" TargetMode="External"/><Relationship Id="rId163" Type="http://schemas.openxmlformats.org/officeDocument/2006/relationships/hyperlink" Target="https://drive.google.com/file/d/1Y1HflIYtf8a__N_hRkDkNxk37uHu01vn/view?usp=drive_link" TargetMode="External"/><Relationship Id="rId284" Type="http://schemas.openxmlformats.org/officeDocument/2006/relationships/hyperlink" Target="https://drive.google.com/open?id=1_eKchie8AK4JPg7bK13FqM0WGnXoz7Cd" TargetMode="External"/><Relationship Id="rId162" Type="http://schemas.openxmlformats.org/officeDocument/2006/relationships/hyperlink" Target="https://drive.google.com/drive/folders/1p-kQdNiRgjOIiTD_RhX1uvRJKUvgJ4xc?usp=sharing" TargetMode="External"/><Relationship Id="rId283" Type="http://schemas.openxmlformats.org/officeDocument/2006/relationships/hyperlink" Target="https://drive.google.com/drive/folders/1ow4-6NaDSh-0U4S7plIc-icO8HYC61WV?usp=sharing" TargetMode="External"/><Relationship Id="rId169" Type="http://schemas.openxmlformats.org/officeDocument/2006/relationships/hyperlink" Target="https://drive.google.com/drive/folders/1UYBeT19vfcK88TXH2vxKfNkkOJm3Yxon?usp=sharing" TargetMode="External"/><Relationship Id="rId168" Type="http://schemas.openxmlformats.org/officeDocument/2006/relationships/hyperlink" Target="https://drive.google.com/file/d/1-SETGpp9B0XD1g83-CBJArNMGexKzuCJ/view?usp=drivesdk" TargetMode="External"/><Relationship Id="rId289" Type="http://schemas.openxmlformats.org/officeDocument/2006/relationships/hyperlink" Target="https://drive.google.com/open?id=1li1CUEKu0XCU_tmEhaP6CafX3qmhIcTC" TargetMode="External"/><Relationship Id="rId167" Type="http://schemas.openxmlformats.org/officeDocument/2006/relationships/hyperlink" Target="https://drive.google.com/file/d/1W9Fy8z1hWSMDv7tcpLGtmPPvb85l4l67/view?usp=drivesdk" TargetMode="External"/><Relationship Id="rId288" Type="http://schemas.openxmlformats.org/officeDocument/2006/relationships/hyperlink" Target="https://drive.google.com/file/d/1AfQy3sXG0vwWQZi-bW91KmA1x5v2byR0/view?usp=drivesdk" TargetMode="External"/><Relationship Id="rId166" Type="http://schemas.openxmlformats.org/officeDocument/2006/relationships/hyperlink" Target="https://drive.google.com/drive/folders/1Jo5cOOJOGSkcnrln3SZE_oV49sGq04i6?usp=drive_link" TargetMode="External"/><Relationship Id="rId287" Type="http://schemas.openxmlformats.org/officeDocument/2006/relationships/hyperlink" Target="https://drive.google.com/drive/folders/1mPwEHOmEtm1mnwgvhXtqIN7Ec_tO0qIR" TargetMode="External"/><Relationship Id="rId161" Type="http://schemas.openxmlformats.org/officeDocument/2006/relationships/hyperlink" Target="https://drive.google.com/file/d/1cmV4eplHOudpvjZyn_HVJK6lNiw9g58G/view?usp=drivesdk" TargetMode="External"/><Relationship Id="rId282" Type="http://schemas.openxmlformats.org/officeDocument/2006/relationships/hyperlink" Target="https://drive.google.com/file/d/1Cp2XvZpha_BsmVKXrwzzbt50zrXWFIgd/view?usp=sharing" TargetMode="External"/><Relationship Id="rId160" Type="http://schemas.openxmlformats.org/officeDocument/2006/relationships/hyperlink" Target="https://drive.google.com/file/d/1esCIwzUph4H8JVvdlxBZpkGt2mgfGEOw/view?usp=sharing" TargetMode="External"/><Relationship Id="rId281" Type="http://schemas.openxmlformats.org/officeDocument/2006/relationships/hyperlink" Target="https://drive.google.com/open?id=1vW5UTUaNOhJUK3zusOjr2AE5BtCVDS5H" TargetMode="External"/><Relationship Id="rId280" Type="http://schemas.openxmlformats.org/officeDocument/2006/relationships/hyperlink" Target="https://drive.google.com/file/d/1fgjFP7heZob1byrZ08PNTEvBkkmy4XS3/view?usp=drivesdk" TargetMode="External"/><Relationship Id="rId159" Type="http://schemas.openxmlformats.org/officeDocument/2006/relationships/hyperlink" Target="https://drive.google.com/drive/folders/17MT469v6DaHmpoLFdWBe241N_dObmepV?usp=drive_link" TargetMode="External"/><Relationship Id="rId154" Type="http://schemas.openxmlformats.org/officeDocument/2006/relationships/hyperlink" Target="https://drive.google.com/drive/u/0/folders/1wXlUMPMbMO0PPDAIm87fHTYI2gRiO5u_" TargetMode="External"/><Relationship Id="rId275" Type="http://schemas.openxmlformats.org/officeDocument/2006/relationships/hyperlink" Target="https://drive.google.com/open?id=1o9nod8kmC_gokMKK38rh2YfoxHydqneD" TargetMode="External"/><Relationship Id="rId396" Type="http://schemas.openxmlformats.org/officeDocument/2006/relationships/hyperlink" Target="https://drive.google.com/open?id=19fbpFT8OlpIPyOGAInadGmE2ynkwlMLY" TargetMode="External"/><Relationship Id="rId153" Type="http://schemas.openxmlformats.org/officeDocument/2006/relationships/hyperlink" Target="https://drive.google.com/drive/folders/19r7Cl5nUN2M2MKhSE7bGX8tAGaPZ57JC" TargetMode="External"/><Relationship Id="rId274" Type="http://schemas.openxmlformats.org/officeDocument/2006/relationships/hyperlink" Target="https://drive.google.com/file/d/1e3MIskV95w9vhLcemJFBqQ339QT6D07m/view?usp=drivesdk" TargetMode="External"/><Relationship Id="rId395" Type="http://schemas.openxmlformats.org/officeDocument/2006/relationships/hyperlink" Target="https://drive.google.com/drive/folders/1jF5iXvAak7HvSCd1b7rBtYYGGnJAKMtV?usp=sharing" TargetMode="External"/><Relationship Id="rId152" Type="http://schemas.openxmlformats.org/officeDocument/2006/relationships/hyperlink" Target="https://drive.google.com/drive/folders/1QCz4bH3wjl2517dnFzL0-0FyB0_Hr0eA?usp=sharing" TargetMode="External"/><Relationship Id="rId273" Type="http://schemas.openxmlformats.org/officeDocument/2006/relationships/hyperlink" Target="https://drive.google.com/open?id=1Sa3m1E248jbKo6mNiEQ--47DLK3YRc9s" TargetMode="External"/><Relationship Id="rId394" Type="http://schemas.openxmlformats.org/officeDocument/2006/relationships/hyperlink" Target="https://drive.google.com/drive/folders/1WxNebxIxkO-FMfKaVDq0uLdP2F8Kp-nT?usp=sharing" TargetMode="External"/><Relationship Id="rId151" Type="http://schemas.openxmlformats.org/officeDocument/2006/relationships/hyperlink" Target="https://drive.google.com/drive/folders/1QCz4bH3wjl2517dnFzL0-0FyB0_Hr0eA?usp=sharing" TargetMode="External"/><Relationship Id="rId272" Type="http://schemas.openxmlformats.org/officeDocument/2006/relationships/hyperlink" Target="https://drive.google.com/file/d/10nhWSrB9Ujt_hKAXf4doFhwHicSA0Cgt/view?usp=drivesdk" TargetMode="External"/><Relationship Id="rId393" Type="http://schemas.openxmlformats.org/officeDocument/2006/relationships/hyperlink" Target="https://drive.google.com/open?id=1EB8Kp8OO2zPVtEV1dJpG4G1jCKeuSklr" TargetMode="External"/><Relationship Id="rId158" Type="http://schemas.openxmlformats.org/officeDocument/2006/relationships/hyperlink" Target="https://drive.google.com/drive/folders/17MT469v6DaHmpoLFdWBe241N_dObmepV?usp=drive_link" TargetMode="External"/><Relationship Id="rId279" Type="http://schemas.openxmlformats.org/officeDocument/2006/relationships/hyperlink" Target="https://drive.google.com/file/d/1tEeQRo0wNeGKuciO9W-2k-w4rrEA90mB/view?usp=drivesdk" TargetMode="External"/><Relationship Id="rId157" Type="http://schemas.openxmlformats.org/officeDocument/2006/relationships/hyperlink" Target="https://drive.google.com/drive/folders/1YLcx8j3x4rEq2EPc1oUEnY0ns2CZx521" TargetMode="External"/><Relationship Id="rId278" Type="http://schemas.openxmlformats.org/officeDocument/2006/relationships/hyperlink" Target="https://drive.google.com/open?id=1wnAGa_ZOP4sX5bhQJCKGTnTIC5pjRHH6" TargetMode="External"/><Relationship Id="rId399" Type="http://schemas.openxmlformats.org/officeDocument/2006/relationships/hyperlink" Target="https://drive.google.com/open?id=1xmKdsFkyKUkzWAbg-R1yzR_XaY1XjXvI" TargetMode="External"/><Relationship Id="rId156" Type="http://schemas.openxmlformats.org/officeDocument/2006/relationships/hyperlink" Target="https://drive.google.com/drive/folders/1Eea9hOlnFGbYLubLsrKFIDH0A0S4mwyr" TargetMode="External"/><Relationship Id="rId277" Type="http://schemas.openxmlformats.org/officeDocument/2006/relationships/hyperlink" Target="https://drive.google.com/drive/folders/1HSEr75Zc8RhUxysY7jW4NqvKaxmcwt7C?usp=sharing" TargetMode="External"/><Relationship Id="rId398" Type="http://schemas.openxmlformats.org/officeDocument/2006/relationships/hyperlink" Target="https://youtu.be/s8eTiNsgjME?si=Q4fka42_T56GGDeF" TargetMode="External"/><Relationship Id="rId155" Type="http://schemas.openxmlformats.org/officeDocument/2006/relationships/hyperlink" Target="https://youtu.be/37xNnZIRYh8?si=ZntzwVImPe4feJBs" TargetMode="External"/><Relationship Id="rId276" Type="http://schemas.openxmlformats.org/officeDocument/2006/relationships/hyperlink" Target="https://drive.google.com/drive/folders/1HSEr75Zc8RhUxysY7jW4NqvKaxmcwt7C?usp=sharing" TargetMode="External"/><Relationship Id="rId397" Type="http://schemas.openxmlformats.org/officeDocument/2006/relationships/hyperlink" Target="https://drive.google.com/drive/folders/1YSuJjYatX6HeWWXX2IyrLBKYKqMxmqqH" TargetMode="External"/><Relationship Id="rId40" Type="http://schemas.openxmlformats.org/officeDocument/2006/relationships/hyperlink" Target="https://drive.google.com/drive/folders/18L-lFRallenmFr2eSdMYor8T3gFby5iv?usp=sharing" TargetMode="External"/><Relationship Id="rId42" Type="http://schemas.openxmlformats.org/officeDocument/2006/relationships/hyperlink" Target="https://drive.google.com/drive/folders/1lbHZOdolmlsxx6yX2iLAARnS1OT7OdSP" TargetMode="External"/><Relationship Id="rId41" Type="http://schemas.openxmlformats.org/officeDocument/2006/relationships/hyperlink" Target="https://drive.google.com/drive/folders/13-I7mBQQA8ynEqdL74VxwPk3mvJOc4i4" TargetMode="External"/><Relationship Id="rId44" Type="http://schemas.openxmlformats.org/officeDocument/2006/relationships/hyperlink" Target="https://drive.google.com/drive/folders/1IBUHZ570KJFy5CmkAqk3hdSbP9e0B9cp" TargetMode="External"/><Relationship Id="rId43" Type="http://schemas.openxmlformats.org/officeDocument/2006/relationships/hyperlink" Target="https://drive.google.com/drive/folders/1adI29tKHJKq3bur8xGZSWfHHrhJWKmVY" TargetMode="External"/><Relationship Id="rId46" Type="http://schemas.openxmlformats.org/officeDocument/2006/relationships/hyperlink" Target="https://drive.google.com/file/d/14HJ3UJHAzqXiOJWas24_Koh5HDncUtR-/view?usp=sharing" TargetMode="External"/><Relationship Id="rId45" Type="http://schemas.openxmlformats.org/officeDocument/2006/relationships/hyperlink" Target="https://drive.google.com/drive/folders/1tEAq9LnaQpzTD0-eTxuLY8gkiO9MuXKQ?usp=sharing" TargetMode="External"/><Relationship Id="rId48" Type="http://schemas.openxmlformats.org/officeDocument/2006/relationships/hyperlink" Target="https://drive.google.com/drive/folders/1hp2AsPIKeEgMhUWbzwgDRHlp34wSTNCN?usp=sharing" TargetMode="External"/><Relationship Id="rId47" Type="http://schemas.openxmlformats.org/officeDocument/2006/relationships/hyperlink" Target="https://drive.google.com/drive/folders/1k_AcGyq3Q6qsc9WEwa0jYfv1W0X4zc2g?usp=sharing" TargetMode="External"/><Relationship Id="rId49" Type="http://schemas.openxmlformats.org/officeDocument/2006/relationships/hyperlink" Target="https://drive.google.com/drive/folders/1gZ-dtO59v_zpZMFk_rlSncfOBy3CNMlI" TargetMode="External"/><Relationship Id="rId31" Type="http://schemas.openxmlformats.org/officeDocument/2006/relationships/hyperlink" Target="https://drive.google.com/folderview?id=1-H0dgyCTkBx1Sx2sbwB_7BZN52kyclaR" TargetMode="External"/><Relationship Id="rId30" Type="http://schemas.openxmlformats.org/officeDocument/2006/relationships/hyperlink" Target="https://drive.google.com/file/d/16I25Hub_4HCCCCFxaPj0dOUzgE7zysB3/view?usp=sharing" TargetMode="External"/><Relationship Id="rId33" Type="http://schemas.openxmlformats.org/officeDocument/2006/relationships/hyperlink" Target="https://drive.google.com/drive/folders/1m91u-ixafYRtV4PP1DwSgpzZITA4pMTK?usp=sharing" TargetMode="External"/><Relationship Id="rId32" Type="http://schemas.openxmlformats.org/officeDocument/2006/relationships/hyperlink" Target="https://drive.google.com/folderview?id=1-GJrqYOfO4bnWQzG1X4FXH_EjpFWvBSi" TargetMode="External"/><Relationship Id="rId35" Type="http://schemas.openxmlformats.org/officeDocument/2006/relationships/hyperlink" Target="https://drive.google.com/drive/folders/1qirwr70MFDx3AkmSPCtOXtF91TmXq43v" TargetMode="External"/><Relationship Id="rId34" Type="http://schemas.openxmlformats.org/officeDocument/2006/relationships/hyperlink" Target="https://drive.google.com/file/d/1ZM2qaVqkQD-_tnv9zBhxAM7nrL9WyS0c/view?usp=drive_link" TargetMode="External"/><Relationship Id="rId37" Type="http://schemas.openxmlformats.org/officeDocument/2006/relationships/hyperlink" Target="https://drive.google.com/drive/folders/1qtGqu3dQCug1Ta3kijfkP0VPhlHpTTpT?usp=drive_link" TargetMode="External"/><Relationship Id="rId36" Type="http://schemas.openxmlformats.org/officeDocument/2006/relationships/hyperlink" Target="https://drive.google.com/drive/folders/1PzS9P01UHo8ahunVVv6jD4ARfGViRjOG" TargetMode="External"/><Relationship Id="rId39" Type="http://schemas.openxmlformats.org/officeDocument/2006/relationships/hyperlink" Target="https://drive.google.com/drive/folders/1L5fpaS1ICiKr9JtvjgoxgIawdl_9z-EH?usp=sharing" TargetMode="External"/><Relationship Id="rId38" Type="http://schemas.openxmlformats.org/officeDocument/2006/relationships/hyperlink" Target="https://drive.google.com/drive/folders/19wdv2SGiikjLmsRGeg6Us3PtGVYARdEH?usp=sharing" TargetMode="External"/><Relationship Id="rId20" Type="http://schemas.openxmlformats.org/officeDocument/2006/relationships/hyperlink" Target="https://drive.google.com/drive/folders/1e8cKyNE3L_Zkdzx_WNKYqXprhRNVOZaq?usp=sharing" TargetMode="External"/><Relationship Id="rId22" Type="http://schemas.openxmlformats.org/officeDocument/2006/relationships/hyperlink" Target="https://drive.google.com/drive/folders/11lA10UXXoYhzvsfhUICgbtGtbGv8eSte" TargetMode="External"/><Relationship Id="rId21" Type="http://schemas.openxmlformats.org/officeDocument/2006/relationships/hyperlink" Target="https://drive.google.com/drive/folders/15ZPYQ3Clfe0EygnIfgBgzYEpRIik_sBB?usp=sharing" TargetMode="External"/><Relationship Id="rId24" Type="http://schemas.openxmlformats.org/officeDocument/2006/relationships/hyperlink" Target="https://uns.id/sertifpendidikanthaariq" TargetMode="External"/><Relationship Id="rId23" Type="http://schemas.openxmlformats.org/officeDocument/2006/relationships/hyperlink" Target="https://drive.google.com/drive/folders/11lA10UXXoYhzvsfhUICgbtGtbGv8eSte" TargetMode="External"/><Relationship Id="rId409" Type="http://schemas.openxmlformats.org/officeDocument/2006/relationships/hyperlink" Target="https://drive.google.com/drive/u/1/folders/12y91230r5HxHxaki4ppVhWjU1psogudU" TargetMode="External"/><Relationship Id="rId404" Type="http://schemas.openxmlformats.org/officeDocument/2006/relationships/hyperlink" Target="https://drive.google.com/file/d/1Fk2iDKXorKUI_KKNxIOx6us3Z02nTHO1/view?usp=drivesdk" TargetMode="External"/><Relationship Id="rId403" Type="http://schemas.openxmlformats.org/officeDocument/2006/relationships/hyperlink" Target="https://drive.google.com/file/d/1aPeTRXqQ99p9K_WWsJwflL0YYD7NrQtE/view?usp=drivesdk" TargetMode="External"/><Relationship Id="rId402" Type="http://schemas.openxmlformats.org/officeDocument/2006/relationships/hyperlink" Target="https://drive.google.com/open?id=1i_sH4jbEtFWxETz7lmRSkOaoSntBuCCz" TargetMode="External"/><Relationship Id="rId401" Type="http://schemas.openxmlformats.org/officeDocument/2006/relationships/hyperlink" Target="https://drive.google.com/drive/folders/12gvXc4u-CJvLa9dRi4J6Dv223OV0Uy_c" TargetMode="External"/><Relationship Id="rId408" Type="http://schemas.openxmlformats.org/officeDocument/2006/relationships/hyperlink" Target="https://drive.google.com/drive/folders/1U8I5vPnWwIsN2f8oExY0XJlhTyhNt1PA" TargetMode="External"/><Relationship Id="rId407" Type="http://schemas.openxmlformats.org/officeDocument/2006/relationships/hyperlink" Target="https://drive.google.com/open?id=1iLdDNZ6ANl2FKkpWWiXnOy-Tl9n4nbB8" TargetMode="External"/><Relationship Id="rId406" Type="http://schemas.openxmlformats.org/officeDocument/2006/relationships/hyperlink" Target="https://drive.google.com/file/d/1Ufyc9tWS1ANuf-f0gjQrhNhNSwyNN7Ih/view?usp=drivesdk" TargetMode="External"/><Relationship Id="rId405" Type="http://schemas.openxmlformats.org/officeDocument/2006/relationships/hyperlink" Target="https://drive.google.com/open?id=1pM1_X0C_jQsuTqGqi2D3eSXNsP4xNaJw" TargetMode="External"/><Relationship Id="rId26" Type="http://schemas.openxmlformats.org/officeDocument/2006/relationships/hyperlink" Target="https://drive.google.com/drive/folders/1GuUofoo8Ml4RxgfNRLC35L22Cqhy-kvo?usp=drive_link" TargetMode="External"/><Relationship Id="rId25" Type="http://schemas.openxmlformats.org/officeDocument/2006/relationships/hyperlink" Target="https://uns.id/veditukinthaariq" TargetMode="External"/><Relationship Id="rId28" Type="http://schemas.openxmlformats.org/officeDocument/2006/relationships/hyperlink" Target="https://drive.google.com/drive/folders/1cJkn_IoYOOXnOYMya1m1-G4ZZwiFqF5_" TargetMode="External"/><Relationship Id="rId27" Type="http://schemas.openxmlformats.org/officeDocument/2006/relationships/hyperlink" Target="https://drive.google.com/drive/folders/1PUlPUxJ9ULoWvGmLXEt0GU-YNtECwhXO" TargetMode="External"/><Relationship Id="rId400" Type="http://schemas.openxmlformats.org/officeDocument/2006/relationships/hyperlink" Target="https://drive.google.com/drive/folders/1QNufrZxxerCm2AkkS7Wgw_FZ8T9yjmy3" TargetMode="External"/><Relationship Id="rId29" Type="http://schemas.openxmlformats.org/officeDocument/2006/relationships/hyperlink" Target="https://drive.google.com/drive/folders/12b_894tcCUKoJy5WHk7I7pof-VbaAG9v?usp=sharing" TargetMode="External"/><Relationship Id="rId11" Type="http://schemas.openxmlformats.org/officeDocument/2006/relationships/hyperlink" Target="https://drive.google.com/drive/folders/1zI1VsvS3r7N2xgGHzHSOeXsPBlYpL9ku?usp=sharing" TargetMode="External"/><Relationship Id="rId10" Type="http://schemas.openxmlformats.org/officeDocument/2006/relationships/hyperlink" Target="https://drive.google.com/drive/folders/1zI1VsvS3r7N2xgGHzHSOeXsPBlYpL9ku?usp=sharing" TargetMode="External"/><Relationship Id="rId13" Type="http://schemas.openxmlformats.org/officeDocument/2006/relationships/hyperlink" Target="https://drive.google.com/drive/folders/1sDPOjTor3XOExzch1Qzi6KmtuS5XvMav?usp=drive_link" TargetMode="External"/><Relationship Id="rId12" Type="http://schemas.openxmlformats.org/officeDocument/2006/relationships/hyperlink" Target="https://drive.google.com/file/d/1X90srqhGWSBgzBIWf55Q0lMEEvUwXmVt/view?usp=sharing" TargetMode="External"/><Relationship Id="rId15" Type="http://schemas.openxmlformats.org/officeDocument/2006/relationships/hyperlink" Target="https://drive.google.com/drive/folders/1M6zYjueC4knG4C45THwrSOKv3fiE93TK?usp=sharing" TargetMode="External"/><Relationship Id="rId14" Type="http://schemas.openxmlformats.org/officeDocument/2006/relationships/hyperlink" Target="https://drive.google.com/drive/folders/1M6zYjueC4knG4C45THwrSOKv3fiE93TK?usp=sharing" TargetMode="External"/><Relationship Id="rId17" Type="http://schemas.openxmlformats.org/officeDocument/2006/relationships/hyperlink" Target="https://drive.google.com/drive/folders/1w3AotyxcLiwjWuZcnqdtSFTGCadiF0xD?usp=sharing" TargetMode="External"/><Relationship Id="rId16" Type="http://schemas.openxmlformats.org/officeDocument/2006/relationships/hyperlink" Target="https://drive.google.com/drive/folders/1W1SJkFGvffoQIz8_dEpLvZ7DVpQoENcq?usp=sharing" TargetMode="External"/><Relationship Id="rId19" Type="http://schemas.openxmlformats.org/officeDocument/2006/relationships/hyperlink" Target="https://drive.google.com/drive/folders/14tm61sfbexmy9YMN6u3Mp_YaYsqT-5st" TargetMode="External"/><Relationship Id="rId18" Type="http://schemas.openxmlformats.org/officeDocument/2006/relationships/hyperlink" Target="https://drive.google.com/drive/folders/14p8zvTWQB0cfS1KGcdo-A9IR61ZpUngs" TargetMode="External"/><Relationship Id="rId84" Type="http://schemas.openxmlformats.org/officeDocument/2006/relationships/hyperlink" Target="https://drive.google.com/drive/folders/1wEPRgq-LJktmgSReVBVb_4qjO7jjp2A7?usp=sharing" TargetMode="External"/><Relationship Id="rId83" Type="http://schemas.openxmlformats.org/officeDocument/2006/relationships/hyperlink" Target="https://drive.google.com/file/d/1K8Bi3qh64CvDS9EXYN8fxBMknWkIhU7a/view?usp=drive_link" TargetMode="External"/><Relationship Id="rId86" Type="http://schemas.openxmlformats.org/officeDocument/2006/relationships/hyperlink" Target="https://drive.google.com/file/d/1frp5f7viKQmAZ4FGqYLgdVweGBRuM-xe/view?usp=drivesdk" TargetMode="External"/><Relationship Id="rId85" Type="http://schemas.openxmlformats.org/officeDocument/2006/relationships/hyperlink" Target="https://drive.google.com/file/d/10vZFJJ6HLCd0q9kJFe38K6ug4wCZSDnp/view?usp=sharing" TargetMode="External"/><Relationship Id="rId88" Type="http://schemas.openxmlformats.org/officeDocument/2006/relationships/hyperlink" Target="https://drive.google.com/file/d/1WoZ2dEnTCug0Ziv3_iuegw3MELqpmkZC/view?usp=drivesdk" TargetMode="External"/><Relationship Id="rId87" Type="http://schemas.openxmlformats.org/officeDocument/2006/relationships/hyperlink" Target="https://drive.google.com/file/d/1EYnoMc565zoK0J826IOUtHJ9sB9Z2CQo/view?usp=drivesdk" TargetMode="External"/><Relationship Id="rId89" Type="http://schemas.openxmlformats.org/officeDocument/2006/relationships/hyperlink" Target="https://drive.google.com/drive/folders/1ccEHDmuRI-CaQCVHWlmbkSJaZSQVRxo1?usp=sharing" TargetMode="External"/><Relationship Id="rId80" Type="http://schemas.openxmlformats.org/officeDocument/2006/relationships/hyperlink" Target="https://drive.google.com/file/d/1wXg4JCK74uFkX830RohLlRR_dRCpabfJ/view?usp=sharing" TargetMode="External"/><Relationship Id="rId82" Type="http://schemas.openxmlformats.org/officeDocument/2006/relationships/hyperlink" Target="https://drive.google.com/file/d/11F5pPmxQ30JyYcnGJHbV6ofW54-DPLlK/view?usp=drivesdk" TargetMode="External"/><Relationship Id="rId81" Type="http://schemas.openxmlformats.org/officeDocument/2006/relationships/hyperlink" Target="https://drive.google.com/file/d/10j2MkzdpbRaZnGiceEXvNFNioXggv2oa/view?usp=drivesdk" TargetMode="External"/><Relationship Id="rId73" Type="http://schemas.openxmlformats.org/officeDocument/2006/relationships/hyperlink" Target="https://drive.google.com/file/d/1hhvZIEChyA9oW7HYA2tM058Q0lahrG6T/view?usp=sharing" TargetMode="External"/><Relationship Id="rId72" Type="http://schemas.openxmlformats.org/officeDocument/2006/relationships/hyperlink" Target="https://drive.google.com/file/d/1wDAZ_wDIjpdbkq8h7kXvWAEEOa7ESmDe/view?usp=drivesdk" TargetMode="External"/><Relationship Id="rId75" Type="http://schemas.openxmlformats.org/officeDocument/2006/relationships/hyperlink" Target="https://drive.google.com/drive/folders/1mjoMheW0r7Ofaf4cfqv62KvsYys3__xT" TargetMode="External"/><Relationship Id="rId74" Type="http://schemas.openxmlformats.org/officeDocument/2006/relationships/hyperlink" Target="https://drive.google.com/drive/folders/1mjoMheW0r7Ofaf4cfqv62KvsYys3__xT" TargetMode="External"/><Relationship Id="rId77" Type="http://schemas.openxmlformats.org/officeDocument/2006/relationships/hyperlink" Target="https://drive.google.com/drive/folders/14tm61sfbexmy9YMN6u3Mp_YaYsqT-5st?usp=sharing" TargetMode="External"/><Relationship Id="rId76" Type="http://schemas.openxmlformats.org/officeDocument/2006/relationships/hyperlink" Target="https://drive.google.com/drive/folders/14p8zvTWQB0cfS1KGcdo-A9IR61ZpUngs?usp=sharing" TargetMode="External"/><Relationship Id="rId79" Type="http://schemas.openxmlformats.org/officeDocument/2006/relationships/hyperlink" Target="https://drive.google.com/file/d/1Oge2a8bGcTr_G7WIckjygM9_RiWe7iGW/view?usp=drive_link" TargetMode="External"/><Relationship Id="rId78" Type="http://schemas.openxmlformats.org/officeDocument/2006/relationships/hyperlink" Target="https://drive.google.com/drive/folders/1v9Rl1ZkNsT6Jw6hEo64E-fGeNru0Mo2a?usp=sharing" TargetMode="External"/><Relationship Id="rId71" Type="http://schemas.openxmlformats.org/officeDocument/2006/relationships/hyperlink" Target="https://drive.google.com/drive/folders/17MT469v6DaHmpoLFdWBe241N_dObmepV?usp=drive_link" TargetMode="External"/><Relationship Id="rId70" Type="http://schemas.openxmlformats.org/officeDocument/2006/relationships/hyperlink" Target="https://drive.google.com/drive/folders/17MT469v6DaHmpoLFdWBe241N_dObmepV?usp=drive_link" TargetMode="External"/><Relationship Id="rId62" Type="http://schemas.openxmlformats.org/officeDocument/2006/relationships/hyperlink" Target="https://drive.google.com/file/d/1zV2figavABF53g88ty1zBwjNJ4TwwTWj/view?usp=drivesdk" TargetMode="External"/><Relationship Id="rId61" Type="http://schemas.openxmlformats.org/officeDocument/2006/relationships/hyperlink" Target="https://drive.google.com/drive/folders/1KQEjYEuRliiWwNZ-UeRxx7vH3kFna984?usp=drive_link" TargetMode="External"/><Relationship Id="rId64" Type="http://schemas.openxmlformats.org/officeDocument/2006/relationships/hyperlink" Target="https://drive.google.com/drive/folders/1ZemobWCxQpWbWK-4F6mIDlYPJB6PQgHU" TargetMode="External"/><Relationship Id="rId63" Type="http://schemas.openxmlformats.org/officeDocument/2006/relationships/hyperlink" Target="https://drive.google.com/drive/folders/1Eg6r0rlH0F6MAdubmYPJPFh87S0nvJrm" TargetMode="External"/><Relationship Id="rId66" Type="http://schemas.openxmlformats.org/officeDocument/2006/relationships/hyperlink" Target="https://drive.google.com/drive/folders/18oRqAvm67ggqMfNCM47RhToEBBLw5A_4?usp=sharing" TargetMode="External"/><Relationship Id="rId65" Type="http://schemas.openxmlformats.org/officeDocument/2006/relationships/hyperlink" Target="https://drive.google.com/drive/folders/19MRaOM80DF038NWPqHaqqcWNbEgyOpsX" TargetMode="External"/><Relationship Id="rId68" Type="http://schemas.openxmlformats.org/officeDocument/2006/relationships/hyperlink" Target="https://drive.google.com/drive/folders/1zgl0YiZyomWwF6BEe19h0ZLsRC-Uf7It" TargetMode="External"/><Relationship Id="rId67" Type="http://schemas.openxmlformats.org/officeDocument/2006/relationships/hyperlink" Target="https://drive.google.com/drive/folders/1YHV5XDphM0hO8XmD0XXIw26hn__uS09N" TargetMode="External"/><Relationship Id="rId60" Type="http://schemas.openxmlformats.org/officeDocument/2006/relationships/hyperlink" Target="https://drive.google.com/drive/folders/1SNu-qFtK02OmLkQZ1AWo5DDVTH46tRqo" TargetMode="External"/><Relationship Id="rId69" Type="http://schemas.openxmlformats.org/officeDocument/2006/relationships/hyperlink" Target="https://drive.google.com/file/d/1iq8cDdVfuoJxTaGIJK-5C0uFxCjY3984/view?usp=drivesdk" TargetMode="External"/><Relationship Id="rId51" Type="http://schemas.openxmlformats.org/officeDocument/2006/relationships/hyperlink" Target="https://drive.google.com/drive/folders/1bnp3dRme-Dr3vc9InIaUR0cB0yXpXWIB?usp=sharing" TargetMode="External"/><Relationship Id="rId50" Type="http://schemas.openxmlformats.org/officeDocument/2006/relationships/hyperlink" Target="https://drive.google.com/drive/folders/1ziBRYwAgtkkyPnTwpaQQlUVLoINNFHrH" TargetMode="External"/><Relationship Id="rId53" Type="http://schemas.openxmlformats.org/officeDocument/2006/relationships/hyperlink" Target="https://drive.google.com/drive/folders/1udkPKpK1nytH6b-EDpdcT6Od2JddCBv0?usp=drive_link" TargetMode="External"/><Relationship Id="rId52" Type="http://schemas.openxmlformats.org/officeDocument/2006/relationships/hyperlink" Target="https://drive.google.com/drive/folders/18O0MONVMBSmYlQuiTTTxKi2Ty4RuE13V?usp=sharing" TargetMode="External"/><Relationship Id="rId55" Type="http://schemas.openxmlformats.org/officeDocument/2006/relationships/hyperlink" Target="https://drive.google.com/drive/folders/106d7lnYeq5BLtiUnJLXPSLeoEJCTNUMm" TargetMode="External"/><Relationship Id="rId54" Type="http://schemas.openxmlformats.org/officeDocument/2006/relationships/hyperlink" Target="https://drive.google.com/file/d/1Eaqx9EWaqZ9QKFvtgEjSf1OH0v-fotPS/view?usp=drive_link" TargetMode="External"/><Relationship Id="rId57" Type="http://schemas.openxmlformats.org/officeDocument/2006/relationships/hyperlink" Target="https://drive.google.com/drive/folders/1yVRF9S8gmJh2aANEg8KX6ndxm6WfzhOc?usp=sharing" TargetMode="External"/><Relationship Id="rId56" Type="http://schemas.openxmlformats.org/officeDocument/2006/relationships/hyperlink" Target="https://drive.google.com/drive/folders/1PQQxwZNzVypS3yGp4a0HX6Wmibz9ALEQ" TargetMode="External"/><Relationship Id="rId59" Type="http://schemas.openxmlformats.org/officeDocument/2006/relationships/hyperlink" Target="https://drive.google.com/file/d/11wzIy8pLPUhf9NFE6RP2ma53wXYu3e4C/view?usp=drivesdk" TargetMode="External"/><Relationship Id="rId58" Type="http://schemas.openxmlformats.org/officeDocument/2006/relationships/hyperlink" Target="https://drive.google.com/file/d/1L2HeacFitfJzYYLnhEHSiZpRNZi6DIfH/view?usp=drivesdk" TargetMode="External"/><Relationship Id="rId107" Type="http://schemas.openxmlformats.org/officeDocument/2006/relationships/hyperlink" Target="https://youtu.be/yymDyHaEmW0?si=6tkWnWhAcI23Xxf8" TargetMode="External"/><Relationship Id="rId228" Type="http://schemas.openxmlformats.org/officeDocument/2006/relationships/hyperlink" Target="https://drive.google.com/open?id=1FteXGy1njf_MSQW8lISmToYwMYKO1xro" TargetMode="External"/><Relationship Id="rId349" Type="http://schemas.openxmlformats.org/officeDocument/2006/relationships/hyperlink" Target="https://drive.google.com/drive/folders/1-bEcGrl_eMrn6Y-BA6XicqyOiP1cPSgk?usp=sharing" TargetMode="External"/><Relationship Id="rId106" Type="http://schemas.openxmlformats.org/officeDocument/2006/relationships/hyperlink" Target="https://drive.google.com/file/d/1JqeYKkI0snm15XS8a9iG7uO-GmS7ru9g/view?usp=drivesdk" TargetMode="External"/><Relationship Id="rId227" Type="http://schemas.openxmlformats.org/officeDocument/2006/relationships/hyperlink" Target="https://drive.google.com/file/d/19VmPXQZthQlw0DZ-snxETmPub7V5d3RE/view?usp=sharing" TargetMode="External"/><Relationship Id="rId348" Type="http://schemas.openxmlformats.org/officeDocument/2006/relationships/hyperlink" Target="https://drive.google.com/open?id=14t-X2PJ0VOz1A4g7P67HoD-MaarDNsc9" TargetMode="External"/><Relationship Id="rId105" Type="http://schemas.openxmlformats.org/officeDocument/2006/relationships/hyperlink" Target="https://drive.google.com/file/d/1XqoJbX6jTFwvy6oafg-KztlO_gpV_jlC/view?usp=sharing" TargetMode="External"/><Relationship Id="rId226" Type="http://schemas.openxmlformats.org/officeDocument/2006/relationships/hyperlink" Target="https://drive.google.com/drive/folders/1p02hk2pCEFDBH0h7NzeD-PxmMvx7B-cD?usp=sharing" TargetMode="External"/><Relationship Id="rId347" Type="http://schemas.openxmlformats.org/officeDocument/2006/relationships/hyperlink" Target="https://www.youtube.com/watch?v=Y7RSD79zK0M" TargetMode="External"/><Relationship Id="rId104" Type="http://schemas.openxmlformats.org/officeDocument/2006/relationships/hyperlink" Target="https://drive.google.com/drive/folders/14FG_yPqAGC6X1onGD48pZn4hF_PPEfMz?usp=sharing" TargetMode="External"/><Relationship Id="rId225" Type="http://schemas.openxmlformats.org/officeDocument/2006/relationships/hyperlink" Target="https://drive.google.com/open?id=1711mTM3smZ4rITMESesub-4mmPJ0UDcw" TargetMode="External"/><Relationship Id="rId346" Type="http://schemas.openxmlformats.org/officeDocument/2006/relationships/hyperlink" Target="https://drive.google.com/drive/folders/1ICeef0wQTCT9S8mdkQaRK57ifVIK1OcE?usp=sharing" TargetMode="External"/><Relationship Id="rId109" Type="http://schemas.openxmlformats.org/officeDocument/2006/relationships/hyperlink" Target="https://drive.google.com/file/d/1UUanyQLNkOSugUWXDQLx6cbMy9rhomU-/view?usp=sharing" TargetMode="External"/><Relationship Id="rId108" Type="http://schemas.openxmlformats.org/officeDocument/2006/relationships/hyperlink" Target="https://drive.google.com/drive/folders/1u4l7ODolDKuTT4UpSd-ix0QVQbpTp03x" TargetMode="External"/><Relationship Id="rId229" Type="http://schemas.openxmlformats.org/officeDocument/2006/relationships/hyperlink" Target="https://drive.google.com/file/d/1jmPnpkdUj4CdcXFPl_twQqpmV-vll49A/view?usp=drivesdk" TargetMode="External"/><Relationship Id="rId220" Type="http://schemas.openxmlformats.org/officeDocument/2006/relationships/hyperlink" Target="https://drive.google.com/drive/folders/1SZ1ZPD_q15yjwwsA-5ciCU9QFu3qcg6p?usp=sharing" TargetMode="External"/><Relationship Id="rId341" Type="http://schemas.openxmlformats.org/officeDocument/2006/relationships/hyperlink" Target="https://drive.google.com/drive/folders/13EBQ6zkg47_cYMeEfaosw1H8pEf7UVeF?usp=sharing" TargetMode="External"/><Relationship Id="rId462" Type="http://schemas.openxmlformats.org/officeDocument/2006/relationships/hyperlink" Target="https://drive.google.com/open?id=1dpbml_nZxhR3E34nBD3P7nFXK_L6iFI_" TargetMode="External"/><Relationship Id="rId340" Type="http://schemas.openxmlformats.org/officeDocument/2006/relationships/hyperlink" Target="https://drive.google.com/drive/folders/19ZaeMbjpdH449ZYhMj6QlN3JF3TdnMn3?usp=sharing" TargetMode="External"/><Relationship Id="rId461" Type="http://schemas.openxmlformats.org/officeDocument/2006/relationships/hyperlink" Target="https://drive.google.com/file/d/14KQVmfuC8MSj2Rmmu4-PodxAX09NV-2t/view?usp=sharing" TargetMode="External"/><Relationship Id="rId460" Type="http://schemas.openxmlformats.org/officeDocument/2006/relationships/hyperlink" Target="https://drive.google.com/drive/folders/1IKDXa-KVd8FNR0pkQjvYi7FSMJeSDV_I" TargetMode="External"/><Relationship Id="rId103" Type="http://schemas.openxmlformats.org/officeDocument/2006/relationships/hyperlink" Target="https://drive.google.com/drive/folders/1HhzMRvnjbxoaiiZE49d6huoyL_PJs3RL?usp=sharing" TargetMode="External"/><Relationship Id="rId224" Type="http://schemas.openxmlformats.org/officeDocument/2006/relationships/hyperlink" Target="https://drive.google.com/file/d/1MDgO8wyA5Ky-V_4yvxhKBLDemJPoL33Z/view?usp=drivesdk" TargetMode="External"/><Relationship Id="rId345" Type="http://schemas.openxmlformats.org/officeDocument/2006/relationships/hyperlink" Target="https://drive.google.com/open?id=1A6si8rghPSrxwUZuTEOSbhu1zyKJezWM" TargetMode="External"/><Relationship Id="rId102" Type="http://schemas.openxmlformats.org/officeDocument/2006/relationships/hyperlink" Target="https://drive.google.com/file/d/1nT111QsyrXyp_zYgfzUpVxBvNOXr5vjm/view?usp=drivesdk" TargetMode="External"/><Relationship Id="rId223" Type="http://schemas.openxmlformats.org/officeDocument/2006/relationships/hyperlink" Target="https://drive.google.com/drive/folders/1XsMCUlchwcIlnTpW3i2f_44hqHIdj6Qd" TargetMode="External"/><Relationship Id="rId344" Type="http://schemas.openxmlformats.org/officeDocument/2006/relationships/hyperlink" Target="https://drive.google.com/drive/folders/11AM3M-pMv6xsy4fEdku3wpgYdWZ-b-S9" TargetMode="External"/><Relationship Id="rId465" Type="http://schemas.openxmlformats.org/officeDocument/2006/relationships/table" Target="../tables/table3.xml"/><Relationship Id="rId101" Type="http://schemas.openxmlformats.org/officeDocument/2006/relationships/hyperlink" Target="https://drive.google.com/drive/folders/1oEwTcAljZevTWrYYCIZ2Ve4RKXCETdJg?usp=sharing" TargetMode="External"/><Relationship Id="rId222" Type="http://schemas.openxmlformats.org/officeDocument/2006/relationships/hyperlink" Target="https://drive.google.com/open?id=1yiLLIgF2KMyVwTOkhP0MajWm-p4tQ4n4" TargetMode="External"/><Relationship Id="rId343" Type="http://schemas.openxmlformats.org/officeDocument/2006/relationships/hyperlink" Target="https://drive.google.com/drive/folders/11AM3M-pMv6xsy4fEdku3wpgYdWZ-b-S9" TargetMode="External"/><Relationship Id="rId100" Type="http://schemas.openxmlformats.org/officeDocument/2006/relationships/hyperlink" Target="https://drive.google.com/file/d/1TmBNpVmZwK0wgwjA5wKHVM0mU3d3fWmw/view?usp=drivesdk" TargetMode="External"/><Relationship Id="rId221" Type="http://schemas.openxmlformats.org/officeDocument/2006/relationships/hyperlink" Target="https://drive.google.com/file/d/1CFs00UBUQCekRLavWxUV47wLbsqjWAt5/view?usp=sharing" TargetMode="External"/><Relationship Id="rId342" Type="http://schemas.openxmlformats.org/officeDocument/2006/relationships/hyperlink" Target="https://drive.google.com/open?id=1clQt07YYNZaakzi5VJWcsmUiqsYJe2nr" TargetMode="External"/><Relationship Id="rId463" Type="http://schemas.openxmlformats.org/officeDocument/2006/relationships/drawing" Target="../drawings/drawing3.xml"/><Relationship Id="rId217" Type="http://schemas.openxmlformats.org/officeDocument/2006/relationships/hyperlink" Target="https://drive.google.com/open?id=1q3GU7OsjVFtPwbqyy_aj5GpohsFF_3bw" TargetMode="External"/><Relationship Id="rId338" Type="http://schemas.openxmlformats.org/officeDocument/2006/relationships/hyperlink" Target="https://drive.google.com/file/d/172f0M3H2gpFfR__p6zpeCKTzUdDjy8Bp/view?usp=drivesdk" TargetMode="External"/><Relationship Id="rId459" Type="http://schemas.openxmlformats.org/officeDocument/2006/relationships/hyperlink" Target="https://drive.google.com/open?id=1y1yaJwBBFrz2NGUrkwC_hsCp89B64vEP" TargetMode="External"/><Relationship Id="rId216" Type="http://schemas.openxmlformats.org/officeDocument/2006/relationships/hyperlink" Target="https://drive.google.com/file/d/1yLn3_MYhL5-OebQhFTTWudj9syRpa_F4/view?usp=drivesdk" TargetMode="External"/><Relationship Id="rId337" Type="http://schemas.openxmlformats.org/officeDocument/2006/relationships/hyperlink" Target="https://drive.google.com/open?id=12CcefKKtmukTuQohEcxYNxXehY5d7v-n" TargetMode="External"/><Relationship Id="rId458" Type="http://schemas.openxmlformats.org/officeDocument/2006/relationships/hyperlink" Target="https://youtu.be/E2hjZFZTX5U" TargetMode="External"/><Relationship Id="rId215" Type="http://schemas.openxmlformats.org/officeDocument/2006/relationships/hyperlink" Target="https://drive.google.com/open?id=1FYmGInbC4EY_QQZME-rwgBsRPczS9zfe" TargetMode="External"/><Relationship Id="rId336" Type="http://schemas.openxmlformats.org/officeDocument/2006/relationships/hyperlink" Target="https://drive.google.com/file/d/1K86AVWNyVATp4KXXM8v8zL54rKLVnO3R/view?usp=sharing" TargetMode="External"/><Relationship Id="rId457" Type="http://schemas.openxmlformats.org/officeDocument/2006/relationships/hyperlink" Target="https://drive.google.com/file/d/1h8qOTCelbwxtVvhCSeGdIZbKFlPC9Dh5/view?usp=drive_link" TargetMode="External"/><Relationship Id="rId214" Type="http://schemas.openxmlformats.org/officeDocument/2006/relationships/hyperlink" Target="https://drive.google.com/file/d/1GQENiDMv0dD3I-c0kM8Drtvu50DBv0Vv/view?usp=sharing" TargetMode="External"/><Relationship Id="rId335" Type="http://schemas.openxmlformats.org/officeDocument/2006/relationships/hyperlink" Target="https://drive.google.com/drive/folders/1IaQW-dcaYjHZUYV21uzLtWwjnRkNPlKR?usp=sharing" TargetMode="External"/><Relationship Id="rId456" Type="http://schemas.openxmlformats.org/officeDocument/2006/relationships/hyperlink" Target="https://drive.google.com/open?id=15nBEECaPsPF7RGV7lfrtYc6ezQYG9vZ1" TargetMode="External"/><Relationship Id="rId219" Type="http://schemas.openxmlformats.org/officeDocument/2006/relationships/hyperlink" Target="https://drive.google.com/open?id=1DkBa6amopGHRrlDn_4AkPPFgIwhhSafj" TargetMode="External"/><Relationship Id="rId218" Type="http://schemas.openxmlformats.org/officeDocument/2006/relationships/hyperlink" Target="https://drive.google.com/file/d/1inWgsc02ZaqNB70EC2EVK0FdqyB57gDq/view?usp=drivesdk" TargetMode="External"/><Relationship Id="rId339" Type="http://schemas.openxmlformats.org/officeDocument/2006/relationships/hyperlink" Target="https://drive.google.com/open?id=1H8DJtB-4-coeIgzOA1w8WR0R1W5sgzkK" TargetMode="External"/><Relationship Id="rId330" Type="http://schemas.openxmlformats.org/officeDocument/2006/relationships/hyperlink" Target="https://drive.google.com/drive/folders/1x4MdjO2kQbaHin0MZOtOv52o2Nc0rj9s" TargetMode="External"/><Relationship Id="rId451" Type="http://schemas.openxmlformats.org/officeDocument/2006/relationships/hyperlink" Target="https://drive.google.com/open?id=1-qpeRkS0Q-TPeZcROOw6NtIbIoUD1a0B" TargetMode="External"/><Relationship Id="rId450" Type="http://schemas.openxmlformats.org/officeDocument/2006/relationships/hyperlink" Target="https://www.youtube.com/watch?v=_aocPMqz-bA&amp;t=352s" TargetMode="External"/><Relationship Id="rId213" Type="http://schemas.openxmlformats.org/officeDocument/2006/relationships/hyperlink" Target="https://drive.google.com/drive/folders/1ImdPZJI12fytqEYqcUZifUZ2g9G3zYFB?usp=drive_link" TargetMode="External"/><Relationship Id="rId334" Type="http://schemas.openxmlformats.org/officeDocument/2006/relationships/hyperlink" Target="https://drive.google.com/open?id=1uxpIjLCj4hCUQ9jmqUlozThXy9-ey5jX" TargetMode="External"/><Relationship Id="rId455" Type="http://schemas.openxmlformats.org/officeDocument/2006/relationships/hyperlink" Target="https://drive.google.com/file/d/1YRPk_1GTpiCqHQHPgNtic-hvtdop6C8g/view?usp=drivesdk" TargetMode="External"/><Relationship Id="rId212" Type="http://schemas.openxmlformats.org/officeDocument/2006/relationships/hyperlink" Target="https://drive.google.com/open?id=105NaJyJ8n3Hpra3k3TXydc_dL3Jd0sl5" TargetMode="External"/><Relationship Id="rId333" Type="http://schemas.openxmlformats.org/officeDocument/2006/relationships/hyperlink" Target="https://drive.google.com/file/d/19VB4oC8gH9T2JoGpnp6RBho_vfo-ZthB/view?usp=sharing" TargetMode="External"/><Relationship Id="rId454" Type="http://schemas.openxmlformats.org/officeDocument/2006/relationships/hyperlink" Target="https://drive.google.com/open?id=1df6urVhm4uFc1l_rndZHRqK7hzVxKsai" TargetMode="External"/><Relationship Id="rId211" Type="http://schemas.openxmlformats.org/officeDocument/2006/relationships/hyperlink" Target="https://youtu.be/oP0RAgZwB20?si=hO9OzKPNJI9RBPI1" TargetMode="External"/><Relationship Id="rId332" Type="http://schemas.openxmlformats.org/officeDocument/2006/relationships/hyperlink" Target="https://drive.google.com/drive/folders/1EQcbBqenLkSz0J9gJhtDto86pLrpaCuh?usp=sharing" TargetMode="External"/><Relationship Id="rId453" Type="http://schemas.openxmlformats.org/officeDocument/2006/relationships/hyperlink" Target="https://youtu.be/YU--_bdMJB8?si=2NrVWMbImfOQM6Fu" TargetMode="External"/><Relationship Id="rId210" Type="http://schemas.openxmlformats.org/officeDocument/2006/relationships/hyperlink" Target="https://drive.google.com/file/d/1-lG7m3YIWvMtVFoWqOY1Riq3aCDpb8XH/view?usp=drivesdk" TargetMode="External"/><Relationship Id="rId331" Type="http://schemas.openxmlformats.org/officeDocument/2006/relationships/hyperlink" Target="https://drive.google.com/open?id=1uAmBjxEuNzTxY2jczSJIhVC3UOy-Q789" TargetMode="External"/><Relationship Id="rId452" Type="http://schemas.openxmlformats.org/officeDocument/2006/relationships/hyperlink" Target="https://drive.google.com/drive/folders/1N2jay7_7fD6CXuUJXVyquYkJ893pc3oG?usp=sharing" TargetMode="External"/><Relationship Id="rId370" Type="http://schemas.openxmlformats.org/officeDocument/2006/relationships/hyperlink" Target="https://drive.google.com/open?id=10biL2L-Yv12WNuw04xgno9JseVyuPRZh" TargetMode="External"/><Relationship Id="rId129" Type="http://schemas.openxmlformats.org/officeDocument/2006/relationships/hyperlink" Target="https://drive.google.com/file/d/1mWsPvV-wLUvQFuPoZ0oy-IU7zRHdrqM2/view?usp=drivesdk" TargetMode="External"/><Relationship Id="rId128" Type="http://schemas.openxmlformats.org/officeDocument/2006/relationships/hyperlink" Target="https://drive.google.com/drive/folders/1ltUU36tlXxgfeMDDdoLQOBEN6rzRAnT4" TargetMode="External"/><Relationship Id="rId249" Type="http://schemas.openxmlformats.org/officeDocument/2006/relationships/hyperlink" Target="https://drive.google.com/open?id=1TyHTEJgn2IGyLDTEmzt_EBAEENFKub6d" TargetMode="External"/><Relationship Id="rId127" Type="http://schemas.openxmlformats.org/officeDocument/2006/relationships/hyperlink" Target="https://drive.google.com/file/d/1fI_gpiFidC35PhUgS4AL5664hKzkHvrn/view?usp=drivesdk" TargetMode="External"/><Relationship Id="rId248" Type="http://schemas.openxmlformats.org/officeDocument/2006/relationships/hyperlink" Target="https://drive.google.com/file/d/1pM2_9_ydITQwkfilNCICdwxqTh-anOk_/view?usp=drivesdk" TargetMode="External"/><Relationship Id="rId369" Type="http://schemas.openxmlformats.org/officeDocument/2006/relationships/hyperlink" Target="https://drive.google.com/drive/folders/10h0bICv1sbwM8H39qnDBJjpkWu_Bj5lc?usp=share_link" TargetMode="External"/><Relationship Id="rId126" Type="http://schemas.openxmlformats.org/officeDocument/2006/relationships/hyperlink" Target="https://drive.google.com/drive/folders/18vwhzoAAIqFRo5rULGhDu-kLtx3XV-QY" TargetMode="External"/><Relationship Id="rId247" Type="http://schemas.openxmlformats.org/officeDocument/2006/relationships/hyperlink" Target="https://drive.google.com/file/d/1MZapdCM3BI0aEDf1zUk79aECGn5lhx0U/view?usp=drivesdk" TargetMode="External"/><Relationship Id="rId368" Type="http://schemas.openxmlformats.org/officeDocument/2006/relationships/hyperlink" Target="https://drive.google.com/open?id=1POiHSH4J9zDSHQoLnIiTZEEZesCGlMLz" TargetMode="External"/><Relationship Id="rId121" Type="http://schemas.openxmlformats.org/officeDocument/2006/relationships/hyperlink" Target="https://youtu.be/RtFvDOOgoqM" TargetMode="External"/><Relationship Id="rId242" Type="http://schemas.openxmlformats.org/officeDocument/2006/relationships/hyperlink" Target="https://drive.google.com/file/d/1mMPCCJucrwhVb1pZFfaBG31bjo_eTeLu/view?usp=drivesdk" TargetMode="External"/><Relationship Id="rId363" Type="http://schemas.openxmlformats.org/officeDocument/2006/relationships/hyperlink" Target="https://drive.google.com/open?id=13V3059FOOduRJ53LVmxxKPEQPGSmn6je" TargetMode="External"/><Relationship Id="rId120" Type="http://schemas.openxmlformats.org/officeDocument/2006/relationships/hyperlink" Target="https://s.id/berkassertifikatSNThendra" TargetMode="External"/><Relationship Id="rId241" Type="http://schemas.openxmlformats.org/officeDocument/2006/relationships/hyperlink" Target="https://drive.google.com/file/d/1pS04i2xTIU-TSFKGGeDCkV-lka3IOZG-/view?usp=drivesdk" TargetMode="External"/><Relationship Id="rId362" Type="http://schemas.openxmlformats.org/officeDocument/2006/relationships/hyperlink" Target="https://drive.google.com/file/d/1umtXJUYRtnAmBG3GAHtW9vh-Klt3ydSg/view?usp=drivesdk" TargetMode="External"/><Relationship Id="rId240" Type="http://schemas.openxmlformats.org/officeDocument/2006/relationships/hyperlink" Target="https://drive.google.com/open?id=116okbm8MGbF0d7thx609Gr72ySX_6pOB" TargetMode="External"/><Relationship Id="rId361" Type="http://schemas.openxmlformats.org/officeDocument/2006/relationships/hyperlink" Target="https://drive.google.com/drive/folders/1cegUgtvsI39sI0sj-raJPktHprolj2xl" TargetMode="External"/><Relationship Id="rId360" Type="http://schemas.openxmlformats.org/officeDocument/2006/relationships/hyperlink" Target="https://drive.google.com/open?id=1d4RviYiyN_TRkmaDv1hYUjnlOS9igtHu" TargetMode="External"/><Relationship Id="rId125" Type="http://schemas.openxmlformats.org/officeDocument/2006/relationships/hyperlink" Target="https://drive.google.com/drive/folders/1LzuVejBMa0nJuaBNUC6Wmo059tSnk3PX?usp=drive_link" TargetMode="External"/><Relationship Id="rId246" Type="http://schemas.openxmlformats.org/officeDocument/2006/relationships/hyperlink" Target="https://drive.google.com/open?id=1Zypl-X1KCQMVY7FSa3h0krvuioNzNP71" TargetMode="External"/><Relationship Id="rId367" Type="http://schemas.openxmlformats.org/officeDocument/2006/relationships/hyperlink" Target="https://drive.google.com/file/d/1MCBD--uL26st95zUhkgQjZsGVv2OFcCm/view?usp=drivesdk" TargetMode="External"/><Relationship Id="rId124" Type="http://schemas.openxmlformats.org/officeDocument/2006/relationships/hyperlink" Target="https://drive.google.com/drive/folders/19pK6PbUXZ16YntCxA1TVSeVpSrRQULn9?usp=sharing" TargetMode="External"/><Relationship Id="rId245" Type="http://schemas.openxmlformats.org/officeDocument/2006/relationships/hyperlink" Target="https://drive.google.com/file/d/1-73woSPD2luYwLob-jUd24ImGpWn3Os5/view?usp=drive_link" TargetMode="External"/><Relationship Id="rId366" Type="http://schemas.openxmlformats.org/officeDocument/2006/relationships/hyperlink" Target="https://drive.google.com/open?id=1r9DxO4KR12KclEKsdfjWmAiruYBt71bj" TargetMode="External"/><Relationship Id="rId123" Type="http://schemas.openxmlformats.org/officeDocument/2006/relationships/hyperlink" Target="https://drive.google.com/drive/folders/18vJaaPkf_N1kQFEIOq34K1CHZlOV1Yxr" TargetMode="External"/><Relationship Id="rId244" Type="http://schemas.openxmlformats.org/officeDocument/2006/relationships/hyperlink" Target="https://drive.google.com/drive/folders/1FqKaaNX2nrXgqKMSZe5uRYiMZoC--UGS?usp=drive_link" TargetMode="External"/><Relationship Id="rId365" Type="http://schemas.openxmlformats.org/officeDocument/2006/relationships/hyperlink" Target="https://drive.google.com/file/d/16Anw84sKT-kWKagGdVplXbaZzuZUNtCB/view?usp=drivesdk" TargetMode="External"/><Relationship Id="rId122" Type="http://schemas.openxmlformats.org/officeDocument/2006/relationships/hyperlink" Target="https://drive.google.com/drive/folders/1Xc0MRju7g1H4dMvg8kLe33DxXZIsG0ok" TargetMode="External"/><Relationship Id="rId243" Type="http://schemas.openxmlformats.org/officeDocument/2006/relationships/hyperlink" Target="https://drive.google.com/open?id=1MGegiW77lhLdCHKPCybauY-FXUKI2rDs" TargetMode="External"/><Relationship Id="rId364" Type="http://schemas.openxmlformats.org/officeDocument/2006/relationships/hyperlink" Target="https://drive.google.com/file/d/1b4bKuE3zYG0664rNvgYGLLQmJEAvlKdh/view?usp=drivesdk" TargetMode="External"/><Relationship Id="rId95" Type="http://schemas.openxmlformats.org/officeDocument/2006/relationships/hyperlink" Target="https://drive.google.com/file/d/1fvxuC08fBawppDkd6tqKsyylKScIuoU7/view?usp=drivesdk" TargetMode="External"/><Relationship Id="rId94" Type="http://schemas.openxmlformats.org/officeDocument/2006/relationships/hyperlink" Target="https://drive.google.com/drive/folders/1Ox-0TUCz6hG9Myk2xhpFEEvKdlv8dm0C?usp=sharing" TargetMode="External"/><Relationship Id="rId97" Type="http://schemas.openxmlformats.org/officeDocument/2006/relationships/hyperlink" Target="https://drive.google.com/drive/folders/16GwGT8p7LK41HG2eey6WNFgDG4WrNk9m?usp=sharing" TargetMode="External"/><Relationship Id="rId96" Type="http://schemas.openxmlformats.org/officeDocument/2006/relationships/hyperlink" Target="https://drive.google.com/file/d/1XKpWEV3EZ7UQ8B2bUYrKN3HfbjZtr2ZC/view?usp=drivesdk" TargetMode="External"/><Relationship Id="rId99" Type="http://schemas.openxmlformats.org/officeDocument/2006/relationships/hyperlink" Target="https://drive.google.com/file/d/1mZaiMfFkLgfg4XOc-kQwjCkdCNMpvDMs/view?usp=drivesdk" TargetMode="External"/><Relationship Id="rId98" Type="http://schemas.openxmlformats.org/officeDocument/2006/relationships/hyperlink" Target="https://drive.google.com/drive/folders/137kIPlKQmFYB8LTfhzVwbj1J2Vc6niis?usp=sharing" TargetMode="External"/><Relationship Id="rId91" Type="http://schemas.openxmlformats.org/officeDocument/2006/relationships/hyperlink" Target="https://drive.google.com/drive/folders/1eQb9Ydk0eATBDcczvp7yz_FB4O4O3AS3" TargetMode="External"/><Relationship Id="rId90" Type="http://schemas.openxmlformats.org/officeDocument/2006/relationships/hyperlink" Target="https://drive.google.com/drive/folders/1ZMdpKDuNX2Ug5GuQm0IKJcqbtSXsXuoq?usp=sharing" TargetMode="External"/><Relationship Id="rId93" Type="http://schemas.openxmlformats.org/officeDocument/2006/relationships/hyperlink" Target="https://drive.google.com/drive/folders/1tqTpPQoGWEtiCT-mKwOtGeLfdy_v-npn?usp=sharing" TargetMode="External"/><Relationship Id="rId92" Type="http://schemas.openxmlformats.org/officeDocument/2006/relationships/hyperlink" Target="https://youtu.be/ggULze_hHGY?si=3LHoSa1RXTS34FsR" TargetMode="External"/><Relationship Id="rId118" Type="http://schemas.openxmlformats.org/officeDocument/2006/relationships/hyperlink" Target="https://drive.google.com/drive/folders/1DYyHuJ2wcuaLyFmqxKbSEYLJbbMqgJUz?usp=sharing" TargetMode="External"/><Relationship Id="rId239" Type="http://schemas.openxmlformats.org/officeDocument/2006/relationships/hyperlink" Target="https://youtu.be/yymDyHaEmW0?si=jEo8ZHrAz__mlaUj" TargetMode="External"/><Relationship Id="rId117" Type="http://schemas.openxmlformats.org/officeDocument/2006/relationships/hyperlink" Target="https://drive.google.com/drive/folders/1BunhS9ZC30KIV72NDCiDcLA3-Ud7Jkt9" TargetMode="External"/><Relationship Id="rId238" Type="http://schemas.openxmlformats.org/officeDocument/2006/relationships/hyperlink" Target="https://drive.google.com/file/d/1JqeYKkI0snm15XS8a9iG7uO-GmS7ru9g/view?usp=drivesdk" TargetMode="External"/><Relationship Id="rId359" Type="http://schemas.openxmlformats.org/officeDocument/2006/relationships/hyperlink" Target="https://drive.google.com/file/d/1iSiR6l-NAhQDC8BDga9qElowr2pmcdmq/view?usp=drivesdk" TargetMode="External"/><Relationship Id="rId116" Type="http://schemas.openxmlformats.org/officeDocument/2006/relationships/hyperlink" Target="https://drive.google.com/drive/folders/1Xt6h7jx3czj4afAue1YgIAboBHeGM2uR" TargetMode="External"/><Relationship Id="rId237" Type="http://schemas.openxmlformats.org/officeDocument/2006/relationships/hyperlink" Target="https://drive.google.com/open?id=113ibsSp7KQHgHwNRfFKp_PkZCWJRH8i-" TargetMode="External"/><Relationship Id="rId358" Type="http://schemas.openxmlformats.org/officeDocument/2006/relationships/hyperlink" Target="https://drive.google.com/open?id=1mJdWUCeuEe0iKRyrN5QgFC_irfLKPMA3" TargetMode="External"/><Relationship Id="rId115" Type="http://schemas.openxmlformats.org/officeDocument/2006/relationships/hyperlink" Target="https://drive.google.com/drive/folders/1GaI6YVgutsBMNIGY3HaluvXIH5nka1r3" TargetMode="External"/><Relationship Id="rId236" Type="http://schemas.openxmlformats.org/officeDocument/2006/relationships/hyperlink" Target="https://drive.google.com/drive/folders/1ivwzR2JDK4q_x0tqQolTURpCN7w-aTLV?usp=sharing" TargetMode="External"/><Relationship Id="rId357" Type="http://schemas.openxmlformats.org/officeDocument/2006/relationships/hyperlink" Target="https://youtu.be/p6vnqpID7e8?feature=shared" TargetMode="External"/><Relationship Id="rId119" Type="http://schemas.openxmlformats.org/officeDocument/2006/relationships/hyperlink" Target="https://drive.google.com/drive/folders/1Rs9HB-oZ3H5yNrDt9DFHXgAhgSOFkiIK?usp=sharing" TargetMode="External"/><Relationship Id="rId110" Type="http://schemas.openxmlformats.org/officeDocument/2006/relationships/hyperlink" Target="https://drive.google.com/drive/folders/1zVhPj5QDepY0nUwUvPu9qCFAbXVxhHQ5" TargetMode="External"/><Relationship Id="rId231" Type="http://schemas.openxmlformats.org/officeDocument/2006/relationships/hyperlink" Target="https://drive.google.com/open?id=1osLL5d1pBdGxz1ZVasyTcF7HZI61Y9Kf" TargetMode="External"/><Relationship Id="rId352" Type="http://schemas.openxmlformats.org/officeDocument/2006/relationships/hyperlink" Target="https://drive.google.com/file/d/1zjqleX_QHQweZRqUCYtwKhGBDTpjIHzs/view?usp=drivesdk" TargetMode="External"/><Relationship Id="rId230" Type="http://schemas.openxmlformats.org/officeDocument/2006/relationships/hyperlink" Target="https://drive.google.com/file/d/1jg3ondnuMEA_8KcnO4YcAhgyhFZDh5Ht/view?usp=sharing" TargetMode="External"/><Relationship Id="rId351" Type="http://schemas.openxmlformats.org/officeDocument/2006/relationships/hyperlink" Target="https://drive.google.com/open?id=1xzXrgHy0HdPQgmM8QN5DogdaH8l96dNI" TargetMode="External"/><Relationship Id="rId350" Type="http://schemas.openxmlformats.org/officeDocument/2006/relationships/hyperlink" Target="https://drive.google.com/file/d/1Wm6uIxCaBKd1xLMMABx5TWhmf1ceuDef/view?usp=drive_link" TargetMode="External"/><Relationship Id="rId114" Type="http://schemas.openxmlformats.org/officeDocument/2006/relationships/hyperlink" Target="https://drive.google.com/drive/folders/1DUcWJvg3MRjkBfV1Wb2SOf09W0KOXuia" TargetMode="External"/><Relationship Id="rId235" Type="http://schemas.openxmlformats.org/officeDocument/2006/relationships/hyperlink" Target="https://drive.google.com/drive/folders/1UNoT23QcdTdF_3ir_V4cXeO4FjtCrwLB?usp=sharing" TargetMode="External"/><Relationship Id="rId356" Type="http://schemas.openxmlformats.org/officeDocument/2006/relationships/hyperlink" Target="https://drive.google.com/drive/folders/1GqJj_gTolCzY7IGi_gOauHlV5h4RcNxN" TargetMode="External"/><Relationship Id="rId113" Type="http://schemas.openxmlformats.org/officeDocument/2006/relationships/hyperlink" Target="https://drive.google.com/drive/folders/1jt4YLBNVmmQlbLqan48uzpTgjZJgPJtc" TargetMode="External"/><Relationship Id="rId234" Type="http://schemas.openxmlformats.org/officeDocument/2006/relationships/hyperlink" Target="https://drive.google.com/open?id=1zXWnoCqXR5XITAp2qAPn0ONGjbWx-S4H" TargetMode="External"/><Relationship Id="rId355" Type="http://schemas.openxmlformats.org/officeDocument/2006/relationships/hyperlink" Target="https://drive.google.com/open?id=1s1noQshHV2IknPd7Vd6ta41HxEXXbfr2" TargetMode="External"/><Relationship Id="rId112" Type="http://schemas.openxmlformats.org/officeDocument/2006/relationships/hyperlink" Target="https://drive.google.com/drive/folders/1y1R3g_Ps-NBszB-H-tBdEOwX7mUKl9pJ" TargetMode="External"/><Relationship Id="rId233" Type="http://schemas.openxmlformats.org/officeDocument/2006/relationships/hyperlink" Target="https://youtu.be/f2RscZki_bA?si=RiXSuUHxcZqgXa9p" TargetMode="External"/><Relationship Id="rId354" Type="http://schemas.openxmlformats.org/officeDocument/2006/relationships/hyperlink" Target="https://drive.google.com/file/d/1sTg0GXfA0ou2D4E9TCTn9o4nXdvK1QW9/view?usp=sharing" TargetMode="External"/><Relationship Id="rId111" Type="http://schemas.openxmlformats.org/officeDocument/2006/relationships/hyperlink" Target="https://drive.google.com/drive/folders/1DvcSMjkGajB_4DTsRI2BJi9k6R619G3v" TargetMode="External"/><Relationship Id="rId232" Type="http://schemas.openxmlformats.org/officeDocument/2006/relationships/hyperlink" Target="https://drive.google.com/file/d/19Ubd3X6n9vO7MExQwm9X1dhc9Im7DoJY/view?usp=drivesdk" TargetMode="External"/><Relationship Id="rId353" Type="http://schemas.openxmlformats.org/officeDocument/2006/relationships/hyperlink" Target="https://drive.google.com/open?id=1W_uGv6WL8v3Kkoxc7iIV-SP5vN8tyjyA" TargetMode="External"/><Relationship Id="rId305" Type="http://schemas.openxmlformats.org/officeDocument/2006/relationships/hyperlink" Target="https://drive.google.com/open?id=1G7JeTDOXhNKnbYw9oBGqiYFj6TZ6Azby" TargetMode="External"/><Relationship Id="rId426" Type="http://schemas.openxmlformats.org/officeDocument/2006/relationships/hyperlink" Target="https://drive.google.com/open?id=1J8OAdMjhPRtHAMg7vDIHtyEv0aiqdH_h" TargetMode="External"/><Relationship Id="rId304" Type="http://schemas.openxmlformats.org/officeDocument/2006/relationships/hyperlink" Target="https://drive.google.com/drive/folders/1h5D1OR-dlUErQydDQd5Q2HbzWDvq1noG?usp=drive_link" TargetMode="External"/><Relationship Id="rId425" Type="http://schemas.openxmlformats.org/officeDocument/2006/relationships/hyperlink" Target="https://drive.google.com/file/d/1H1b60SDS_e2nuExReA8tKk_zKU2XFb0P/view?usp=sharing" TargetMode="External"/><Relationship Id="rId303" Type="http://schemas.openxmlformats.org/officeDocument/2006/relationships/hyperlink" Target="https://drive.google.com/drive/folders/1W6SEKzHFkTmZeAxP_qWGJrfnGW2l_S8w?usp=drive_link" TargetMode="External"/><Relationship Id="rId424" Type="http://schemas.openxmlformats.org/officeDocument/2006/relationships/hyperlink" Target="https://drive.google.com/open?id=1ohGzY9pciuHjhKeMf0vQ2feF5sdfgp6x" TargetMode="External"/><Relationship Id="rId302" Type="http://schemas.openxmlformats.org/officeDocument/2006/relationships/hyperlink" Target="https://drive.google.com/open?id=13P6r4zQNdHQhEhzdp5sXcgPjBG4UxDx4" TargetMode="External"/><Relationship Id="rId423" Type="http://schemas.openxmlformats.org/officeDocument/2006/relationships/hyperlink" Target="https://drive.google.com/file/d/1ety0eqKXa3XiT4hbU_OfMRCPP9DjozpX/view?usp=sharing" TargetMode="External"/><Relationship Id="rId309" Type="http://schemas.openxmlformats.org/officeDocument/2006/relationships/hyperlink" Target="https://drive.google.com/file/d/1yC0TberpZjYSJT8tMqZe7xjRzz9PNz6L/view?usp=sharing" TargetMode="External"/><Relationship Id="rId308" Type="http://schemas.openxmlformats.org/officeDocument/2006/relationships/hyperlink" Target="https://drive.google.com/drive/folders/157g7GPU2uWmVoir8HYWvwo04DYx70Q40?usp=drive_link" TargetMode="External"/><Relationship Id="rId429" Type="http://schemas.openxmlformats.org/officeDocument/2006/relationships/hyperlink" Target="https://drive.google.com/open?id=1iZZIF5e2BkfyUFnJGT3B92ar2kDNglwL" TargetMode="External"/><Relationship Id="rId307" Type="http://schemas.openxmlformats.org/officeDocument/2006/relationships/hyperlink" Target="https://drive.google.com/open?id=12RM0lxmy7p964fkSebYx6A8aM2ovSq5L" TargetMode="External"/><Relationship Id="rId428" Type="http://schemas.openxmlformats.org/officeDocument/2006/relationships/hyperlink" Target="https://drive.google.com/drive/folders/18xJQ-3eECT_D55nBI5qwt1501GH2FG3T" TargetMode="External"/><Relationship Id="rId306" Type="http://schemas.openxmlformats.org/officeDocument/2006/relationships/hyperlink" Target="https://drive.google.com/drive/folders/1PIdrEpmJ5Ts3AH6xgUsmMf4tQamCydq8?usp=sharing" TargetMode="External"/><Relationship Id="rId427" Type="http://schemas.openxmlformats.org/officeDocument/2006/relationships/hyperlink" Target="https://drive.google.com/drive/folders/12LUaQK14lrvAZLtekJDARU0MW4QyLkG5" TargetMode="External"/><Relationship Id="rId301" Type="http://schemas.openxmlformats.org/officeDocument/2006/relationships/hyperlink" Target="https://drive.google.com/drive/folders/10h0bICv1sbwM8H39qnDBJjpkWu_Bj5lc?usp=share_link" TargetMode="External"/><Relationship Id="rId422" Type="http://schemas.openxmlformats.org/officeDocument/2006/relationships/hyperlink" Target="https://drive.google.com/drive/folders/1ZuK6Alx0u8gVjOrN2gq-JmTFqgKbIK3s?usp=sharing" TargetMode="External"/><Relationship Id="rId300" Type="http://schemas.openxmlformats.org/officeDocument/2006/relationships/hyperlink" Target="https://drive.google.com/open?id=1jRcrwMfTcopD0C_6SPZkfaTiQHZhLkNF" TargetMode="External"/><Relationship Id="rId421" Type="http://schemas.openxmlformats.org/officeDocument/2006/relationships/hyperlink" Target="https://drive.google.com/open?id=1VSSFaaetKiXfd6oW5roZUcV2Alz1TWT6" TargetMode="External"/><Relationship Id="rId420" Type="http://schemas.openxmlformats.org/officeDocument/2006/relationships/hyperlink" Target="https://drive.google.com/file/d/1IwfRx5q1pQ71fp6NaZXiPECFmywaw67T/view?usp=drivesdk" TargetMode="External"/><Relationship Id="rId415" Type="http://schemas.openxmlformats.org/officeDocument/2006/relationships/hyperlink" Target="https://drive.google.com/file/d/1BBFQYrvyABa77U-eHoNHLElDztglLySm/view?usp=sharing" TargetMode="External"/><Relationship Id="rId414" Type="http://schemas.openxmlformats.org/officeDocument/2006/relationships/hyperlink" Target="https://drive.google.com/file/d/1XEWV9G_a3_JgM6mZMc5JldsOl8U470Wu/view?usp=sharing" TargetMode="External"/><Relationship Id="rId413" Type="http://schemas.openxmlformats.org/officeDocument/2006/relationships/hyperlink" Target="https://drive.google.com/open?id=1Cyurd1ZvCSFr1U4lskqFG3frCKt99MqG" TargetMode="External"/><Relationship Id="rId412" Type="http://schemas.openxmlformats.org/officeDocument/2006/relationships/hyperlink" Target="https://drive.google.com/drive/folders/1gvYo2u1WJg-VnSw1byRSjpOT3TklJbdK?usp=sharing" TargetMode="External"/><Relationship Id="rId419" Type="http://schemas.openxmlformats.org/officeDocument/2006/relationships/hyperlink" Target="https://drive.google.com/open?id=1Xd9_Yr4qRCbs8Z0iCMh80sXdD-fdy-uo" TargetMode="External"/><Relationship Id="rId418" Type="http://schemas.openxmlformats.org/officeDocument/2006/relationships/hyperlink" Target="https://drive.google.com/drive/folders/1BbNrhkBUeXGFB07Zu5rb0FC2-93aesfT?usp=sharing" TargetMode="External"/><Relationship Id="rId417" Type="http://schemas.openxmlformats.org/officeDocument/2006/relationships/hyperlink" Target="https://drive.google.com/drive/folders/1BbNrhkBUeXGFB07Zu5rb0FC2-93aesfT?usp=sharing" TargetMode="External"/><Relationship Id="rId416" Type="http://schemas.openxmlformats.org/officeDocument/2006/relationships/hyperlink" Target="https://drive.google.com/open?id=1TgwuwuWlYxW5jVg63xTjNp4EjRcVIYLZ" TargetMode="External"/><Relationship Id="rId411" Type="http://schemas.openxmlformats.org/officeDocument/2006/relationships/hyperlink" Target="https://drive.google.com/drive/folders/1VJy4PG02osf5uSvbOyUlKDU0QFevurqG?usp=sharing" TargetMode="External"/><Relationship Id="rId410" Type="http://schemas.openxmlformats.org/officeDocument/2006/relationships/hyperlink" Target="https://drive.google.com/open?id=16EKHoQ5475nyv19gcDcfnP-16ybQtLT0" TargetMode="External"/><Relationship Id="rId206" Type="http://schemas.openxmlformats.org/officeDocument/2006/relationships/hyperlink" Target="https://drive.google.com/drive/folders/19r7Cl5nUN2M2MKhSE7bGX8tAGaPZ57JC" TargetMode="External"/><Relationship Id="rId327" Type="http://schemas.openxmlformats.org/officeDocument/2006/relationships/hyperlink" Target="https://drive.google.com/open?id=1UBd0WIAKYjvMwStxghV0L83GR7Mrz1Jo" TargetMode="External"/><Relationship Id="rId448" Type="http://schemas.openxmlformats.org/officeDocument/2006/relationships/hyperlink" Target="https://drive.google.com/open?id=1JavX3mO9GfTMU-C6KqrRXGfiwjoDNqKz" TargetMode="External"/><Relationship Id="rId205" Type="http://schemas.openxmlformats.org/officeDocument/2006/relationships/hyperlink" Target="https://drive.google.com/open?id=1lXk4bE7aW9KN7NbwtBqFemMU4a7AezXR" TargetMode="External"/><Relationship Id="rId326" Type="http://schemas.openxmlformats.org/officeDocument/2006/relationships/hyperlink" Target="https://drive.google.com/file/d/17NLrI4FRBXVVXFTkiFWHEn8bkZGr1-yx/view?usp=drivesdk" TargetMode="External"/><Relationship Id="rId447" Type="http://schemas.openxmlformats.org/officeDocument/2006/relationships/hyperlink" Target="https://drive.google.com/file/d/1r9JITidVHNof3WzYhgjA9Q3Vf5GMZNES/view?usp=sharing" TargetMode="External"/><Relationship Id="rId204" Type="http://schemas.openxmlformats.org/officeDocument/2006/relationships/hyperlink" Target="https://drive.google.com/file/d/1BRliNG08XfeSGbcZmOIvGmwpGeM8FGuB/view?usp=drivesdk" TargetMode="External"/><Relationship Id="rId325" Type="http://schemas.openxmlformats.org/officeDocument/2006/relationships/hyperlink" Target="https://drive.google.com/drive/folders/1_JjDTlCQ95Z2HSt2cr6Z-dG-f-XTqN5-" TargetMode="External"/><Relationship Id="rId446" Type="http://schemas.openxmlformats.org/officeDocument/2006/relationships/hyperlink" Target="https://drive.google.com/drive/folders/1mDUGkIBhY1Wv5ag4XB8fO_0Bm-afpdlu" TargetMode="External"/><Relationship Id="rId203" Type="http://schemas.openxmlformats.org/officeDocument/2006/relationships/hyperlink" Target="https://drive.google.com/drive/folders/1FWmxvG1wvGsYFwBfDwOLmVkwH5i5gSik" TargetMode="External"/><Relationship Id="rId324" Type="http://schemas.openxmlformats.org/officeDocument/2006/relationships/hyperlink" Target="https://drive.google.com/open?id=1KqQqtWMwtcAdCTMzKdmYxgBwUEYjNKEm" TargetMode="External"/><Relationship Id="rId445" Type="http://schemas.openxmlformats.org/officeDocument/2006/relationships/hyperlink" Target="https://drive.google.com/open?id=1Orzqacb8lKen18Nrq3LaKEvCREiBJ0rc" TargetMode="External"/><Relationship Id="rId209" Type="http://schemas.openxmlformats.org/officeDocument/2006/relationships/hyperlink" Target="https://drive.google.com/open?id=1HF3ICibnE4CSQlskdawFSKMvSxyCwRxK" TargetMode="External"/><Relationship Id="rId208" Type="http://schemas.openxmlformats.org/officeDocument/2006/relationships/hyperlink" Target="https://drive.google.com/file/d/1h63cWRCshoOEWZoma2HqgpkbKwWhXdk_/view?usp=sharing" TargetMode="External"/><Relationship Id="rId329" Type="http://schemas.openxmlformats.org/officeDocument/2006/relationships/hyperlink" Target="https://drive.google.com/open?id=1sLL6XZkL0ktgl7fN5JZX9kb8BzpiTTkN" TargetMode="External"/><Relationship Id="rId207" Type="http://schemas.openxmlformats.org/officeDocument/2006/relationships/hyperlink" Target="https://drive.google.com/open?id=1aqkog-PXiYotxzfxmceQCfuMHI427cBp" TargetMode="External"/><Relationship Id="rId328" Type="http://schemas.openxmlformats.org/officeDocument/2006/relationships/hyperlink" Target="https://drive.google.com/file/d/1cIgg449V7hr7PwJdcH9hBPLNw7NVBI61/view?usp=drivesdk" TargetMode="External"/><Relationship Id="rId449" Type="http://schemas.openxmlformats.org/officeDocument/2006/relationships/hyperlink" Target="https://drive.google.com/file/d/1QpeKV6N66-DavRPQAc3vY6xsCgrW2E4B/view?usp=sharing" TargetMode="External"/><Relationship Id="rId440" Type="http://schemas.openxmlformats.org/officeDocument/2006/relationships/hyperlink" Target="https://drive.google.com/drive/folders/12khkzgkqTtm8ioLxgimKuN7ckMlN-Ggm" TargetMode="External"/><Relationship Id="rId202" Type="http://schemas.openxmlformats.org/officeDocument/2006/relationships/hyperlink" Target="https://drive.google.com/open?id=1T8fL4JQu_dZTEF-gygT-D1RFT_vRfKlB" TargetMode="External"/><Relationship Id="rId323" Type="http://schemas.openxmlformats.org/officeDocument/2006/relationships/hyperlink" Target="https://drive.google.com/file/d/1ejoFKKYvBRZady_u6WBtR887yBw_aqnX/view?usp=drivesdk" TargetMode="External"/><Relationship Id="rId444" Type="http://schemas.openxmlformats.org/officeDocument/2006/relationships/hyperlink" Target="https://drive.google.com/file/d/1TaOLElal1yMWcoRJCkSbcKTQjb-0XBpq/view?usp=drivesdk" TargetMode="External"/><Relationship Id="rId201" Type="http://schemas.openxmlformats.org/officeDocument/2006/relationships/hyperlink" Target="https://drive.google.com/file/d/18IhcwPWDtcUg9_pBLGWNVBKS261-qceu/view?usp=drivesdk" TargetMode="External"/><Relationship Id="rId322" Type="http://schemas.openxmlformats.org/officeDocument/2006/relationships/hyperlink" Target="https://drive.google.com/file/d/1ch7lfLBpgDwfd6eUCsp62QmQis-una8H/view?usp=drivesdk" TargetMode="External"/><Relationship Id="rId443" Type="http://schemas.openxmlformats.org/officeDocument/2006/relationships/hyperlink" Target="https://drive.google.com/file/d/1Rh1b__zKa2ZQ_SzOjR0o3j4HYCMsynEu/view?usp=drivesdk" TargetMode="External"/><Relationship Id="rId200" Type="http://schemas.openxmlformats.org/officeDocument/2006/relationships/hyperlink" Target="https://drive.google.com/drive/folders/1ndrLT3x5BYcWVV2mZSLe8u0fR4zUiFTP" TargetMode="External"/><Relationship Id="rId321" Type="http://schemas.openxmlformats.org/officeDocument/2006/relationships/hyperlink" Target="https://drive.google.com/open?id=1hR5ji0xooSwVqpUU3y0A1mqqXOUK43An" TargetMode="External"/><Relationship Id="rId442" Type="http://schemas.openxmlformats.org/officeDocument/2006/relationships/hyperlink" Target="https://drive.google.com/open?id=1btBLZWSKfK9MPITXSmTW6gOHMCx4aD-r" TargetMode="External"/><Relationship Id="rId320" Type="http://schemas.openxmlformats.org/officeDocument/2006/relationships/hyperlink" Target="https://drive.google.com/file/d/1K14cG90SuffnJXjKhSAEWNFBzQd_EaEV/view?usp=drive_link" TargetMode="External"/><Relationship Id="rId441" Type="http://schemas.openxmlformats.org/officeDocument/2006/relationships/hyperlink" Target="https://drive.google.com/file/d/1RQT-PNJMzKqPTQ6YxYdTfSZAVuSsTTcE/view" TargetMode="External"/><Relationship Id="rId316" Type="http://schemas.openxmlformats.org/officeDocument/2006/relationships/hyperlink" Target="https://drive.google.com/open?id=1RTN4mAERHAcq58SpAPuIjbfR-L_WYOUA" TargetMode="External"/><Relationship Id="rId437" Type="http://schemas.openxmlformats.org/officeDocument/2006/relationships/hyperlink" Target="https://drive.google.com/drive/folders/1ToPxf64AlmpbPv5EB4LXPa-Ox2OwTg_V?usp=sharing" TargetMode="External"/><Relationship Id="rId315" Type="http://schemas.openxmlformats.org/officeDocument/2006/relationships/hyperlink" Target="https://drive.google.com/open?id=1N5NFhx2jM62H_yO-Ykp0V4CSgnLC6Dea" TargetMode="External"/><Relationship Id="rId436" Type="http://schemas.openxmlformats.org/officeDocument/2006/relationships/hyperlink" Target="https://drive.google.com/open?id=1fae4WmLqP1XdYuAlsYtFW5_mWBLKSA44" TargetMode="External"/><Relationship Id="rId314" Type="http://schemas.openxmlformats.org/officeDocument/2006/relationships/hyperlink" Target="https://drive.google.com/file/d/18x7LbrNM7kH5UuTFMQO0X7fNmqaZ7MP4/view?usp=drive_link" TargetMode="External"/><Relationship Id="rId435" Type="http://schemas.openxmlformats.org/officeDocument/2006/relationships/hyperlink" Target="https://drive.google.com/file/d/1TaOLElal1yMWcoRJCkSbcKTQjb-0XBpq/view?usp=drivesdk" TargetMode="External"/><Relationship Id="rId313" Type="http://schemas.openxmlformats.org/officeDocument/2006/relationships/hyperlink" Target="https://drive.google.com/open?id=1db97Hf6tsA3nNb8sTNo7QUalo4U5BhQg" TargetMode="External"/><Relationship Id="rId434" Type="http://schemas.openxmlformats.org/officeDocument/2006/relationships/hyperlink" Target="https://drive.google.com/open?id=1G82mubitOC75LkF0OYYL2raNHg4eLDtC" TargetMode="External"/><Relationship Id="rId319" Type="http://schemas.openxmlformats.org/officeDocument/2006/relationships/hyperlink" Target="https://drive.google.com/open?id=10wpPpWUpfiijLrJDVPy5z3WmnT4r58x1" TargetMode="External"/><Relationship Id="rId318" Type="http://schemas.openxmlformats.org/officeDocument/2006/relationships/hyperlink" Target="https://drive.google.com/file/d/1e3QMm77HgNls5npfBunclbid-2paBVp5/view?usp=sharing" TargetMode="External"/><Relationship Id="rId439" Type="http://schemas.openxmlformats.org/officeDocument/2006/relationships/hyperlink" Target="https://drive.google.com/open?id=1-w7scFcE8qym4j-hQPmOCVhxry3kEsLd" TargetMode="External"/><Relationship Id="rId317" Type="http://schemas.openxmlformats.org/officeDocument/2006/relationships/hyperlink" Target="https://drive.google.com/file/d/1ZxhM7GdDCe-RzJJ4vTn8VM15XtiEYoDy/view?usp=drive_link" TargetMode="External"/><Relationship Id="rId438" Type="http://schemas.openxmlformats.org/officeDocument/2006/relationships/hyperlink" Target="https://drive.google.com/drive/folders/1YILji-NEk9EOr82JBqJsQHRVAbvbUghJ" TargetMode="External"/><Relationship Id="rId312" Type="http://schemas.openxmlformats.org/officeDocument/2006/relationships/hyperlink" Target="https://drive.google.com/drive/my-drive?hl=ID" TargetMode="External"/><Relationship Id="rId433" Type="http://schemas.openxmlformats.org/officeDocument/2006/relationships/hyperlink" Target="https://drive.google.com/file/d/17FdJmY2Q_rOwdCw03xhjj_qUQHZs8Ubh/view?usp=drivesdk" TargetMode="External"/><Relationship Id="rId311" Type="http://schemas.openxmlformats.org/officeDocument/2006/relationships/hyperlink" Target="https://drive.google.com/drive/folders/1xHnwtPpiVK8lvJBgar1ydRN9UUdDr1Yq?hl=ID" TargetMode="External"/><Relationship Id="rId432" Type="http://schemas.openxmlformats.org/officeDocument/2006/relationships/hyperlink" Target="https://drive.google.com/open?id=1lrU4ShOquWmqIzS5iBgCbvHXEUf9E1df" TargetMode="External"/><Relationship Id="rId310" Type="http://schemas.openxmlformats.org/officeDocument/2006/relationships/hyperlink" Target="https://drive.google.com/open?id=1aZKVu9Rru1OdgFnWpc8OVCpjt16nxE_b" TargetMode="External"/><Relationship Id="rId431" Type="http://schemas.openxmlformats.org/officeDocument/2006/relationships/hyperlink" Target="https://drive.google.com/drive/folders/1OklC5H6FRFDLospoDAPORQMtrGaZiUSx" TargetMode="External"/><Relationship Id="rId430" Type="http://schemas.openxmlformats.org/officeDocument/2006/relationships/hyperlink" Target="https://drive.google.com/drive/folders/1qeMHbczXXxItu4qFzgGkONP6OQwnrXHl?usp=sharing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naimulloh.st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LqTRWW3H2LxmnAH_IaS6gp1Fb_Cf23vf/view?usp=drivesdk" TargetMode="External"/><Relationship Id="rId2" Type="http://schemas.openxmlformats.org/officeDocument/2006/relationships/hyperlink" Target="https://youtu.be/O5RQVJUPqL4?feature=shared" TargetMode="External"/><Relationship Id="rId3" Type="http://schemas.openxmlformats.org/officeDocument/2006/relationships/hyperlink" Target="https://drive.google.com/file/d/1W9Fy8z1hWSMDv7tcpLGtmPPvb85l4l67/view?usp=drivesdk" TargetMode="External"/><Relationship Id="rId4" Type="http://schemas.openxmlformats.org/officeDocument/2006/relationships/hyperlink" Target="https://drive.google.com/file/d/1-SETGpp9B0XD1g83-CBJArNMGexKzuCJ/view?usp=drivesdk" TargetMode="External"/><Relationship Id="rId5" Type="http://schemas.openxmlformats.org/officeDocument/2006/relationships/hyperlink" Target="https://drive.google.com/file/d/1g0DJjf0-Ir1o_hN675z6JetJWDctZMtK/view?usp=drive_link" TargetMode="External"/><Relationship Id="rId6" Type="http://schemas.openxmlformats.org/officeDocument/2006/relationships/hyperlink" Target="https://drive.google.com/file/d/1oidTQvbYYr9E_r5QpJQ4_ChE2QZYGqwu/view?usp=drivesdk" TargetMode="External"/><Relationship Id="rId7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7.xml"/><Relationship Id="rId4" Type="http://schemas.openxmlformats.org/officeDocument/2006/relationships/table" Target="../tables/table4.xml"/></Relationships>
</file>

<file path=xl/worksheets/_rels/sheet8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zV2figavABF53g88ty1zBwjNJ4TwwTWj/view?usp=drivesdk" TargetMode="External"/><Relationship Id="rId194" Type="http://schemas.openxmlformats.org/officeDocument/2006/relationships/hyperlink" Target="https://drive.google.com/drive/folders/1DUcWJvg3MRjkBfV1Wb2SOf09W0KOXuia" TargetMode="External"/><Relationship Id="rId193" Type="http://schemas.openxmlformats.org/officeDocument/2006/relationships/hyperlink" Target="https://drive.google.com/drive/folders/1eQb9Ydk0eATBDcczvp7yz_FB4O4O3AS3" TargetMode="External"/><Relationship Id="rId192" Type="http://schemas.openxmlformats.org/officeDocument/2006/relationships/hyperlink" Target="https://drive.google.com/drive/folders/1LzuVejBMa0nJuaBNUC6Wmo059tSnk3PX?usp=drive_link" TargetMode="External"/><Relationship Id="rId191" Type="http://schemas.openxmlformats.org/officeDocument/2006/relationships/hyperlink" Target="https://drive.google.com/file/d/1EYnoMc565zoK0J826IOUtHJ9sB9Z2CQo/view?usp=drivesdk" TargetMode="External"/><Relationship Id="rId187" Type="http://schemas.openxmlformats.org/officeDocument/2006/relationships/hyperlink" Target="https://drive.google.com/drive/folders/1BunhS9ZC30KIV72NDCiDcLA3-Ud7Jkt9" TargetMode="External"/><Relationship Id="rId186" Type="http://schemas.openxmlformats.org/officeDocument/2006/relationships/hyperlink" Target="https://drive.google.com/drive/folders/1Ox-0TUCz6hG9Myk2xhpFEEvKdlv8dm0C?usp=sharing" TargetMode="External"/><Relationship Id="rId185" Type="http://schemas.openxmlformats.org/officeDocument/2006/relationships/hyperlink" Target="https://drive.google.com/file/d/1hhvZIEChyA9oW7HYA2tM058Q0lahrG6T/view?usp=sharing" TargetMode="External"/><Relationship Id="rId184" Type="http://schemas.openxmlformats.org/officeDocument/2006/relationships/hyperlink" Target="https://drive.google.com/file/d/1XKpWEV3EZ7UQ8B2bUYrKN3HfbjZtr2ZC/view?usp=drivesdk" TargetMode="External"/><Relationship Id="rId189" Type="http://schemas.openxmlformats.org/officeDocument/2006/relationships/hyperlink" Target="https://drive.google.com/drive/folders/17MT469v6DaHmpoLFdWBe241N_dObmepV?usp=drive_link" TargetMode="External"/><Relationship Id="rId188" Type="http://schemas.openxmlformats.org/officeDocument/2006/relationships/hyperlink" Target="https://drive.google.com/drive/folders/1GaI6YVgutsBMNIGY3HaluvXIH5nka1r3" TargetMode="External"/><Relationship Id="rId183" Type="http://schemas.openxmlformats.org/officeDocument/2006/relationships/hyperlink" Target="https://drive.google.com/file/d/11F5pPmxQ30JyYcnGJHbV6ofW54-DPLlK/view?usp=drivesdk" TargetMode="External"/><Relationship Id="rId182" Type="http://schemas.openxmlformats.org/officeDocument/2006/relationships/hyperlink" Target="https://youtu.be/ggULze_hHGY?si=3LHoSa1RXTS34FsR" TargetMode="External"/><Relationship Id="rId181" Type="http://schemas.openxmlformats.org/officeDocument/2006/relationships/hyperlink" Target="https://drive.google.com/file/d/1XqoJbX6jTFwvy6oafg-KztlO_gpV_jlC/view?usp=sharing" TargetMode="External"/><Relationship Id="rId180" Type="http://schemas.openxmlformats.org/officeDocument/2006/relationships/hyperlink" Target="https://drive.google.com/drive/folders/18O0MONVMBSmYlQuiTTTxKi2Ty4RuE13V?usp=sharing" TargetMode="External"/><Relationship Id="rId176" Type="http://schemas.openxmlformats.org/officeDocument/2006/relationships/hyperlink" Target="https://drive.google.com/drive/folders/14tm61sfbexmy9YMN6u3Mp_YaYsqT-5st?usp=sharing" TargetMode="External"/><Relationship Id="rId175" Type="http://schemas.openxmlformats.org/officeDocument/2006/relationships/hyperlink" Target="https://drive.google.com/drive/folders/14tm61sfbexmy9YMN6u3Mp_YaYsqT-5st" TargetMode="External"/><Relationship Id="rId174" Type="http://schemas.openxmlformats.org/officeDocument/2006/relationships/hyperlink" Target="https://drive.google.com/drive/folders/19wdv2SGiikjLmsRGeg6Us3PtGVYARdEH?usp=sharing" TargetMode="External"/><Relationship Id="rId173" Type="http://schemas.openxmlformats.org/officeDocument/2006/relationships/hyperlink" Target="https://drive.google.com/file/d/1ZM2qaVqkQD-_tnv9zBhxAM7nrL9WyS0c/view?usp=drive_link" TargetMode="External"/><Relationship Id="rId179" Type="http://schemas.openxmlformats.org/officeDocument/2006/relationships/hyperlink" Target="https://drive.google.com/drive/folders/1YHV5XDphM0hO8XmD0XXIw26hn__uS09N" TargetMode="External"/><Relationship Id="rId178" Type="http://schemas.openxmlformats.org/officeDocument/2006/relationships/hyperlink" Target="https://drive.google.com/drive/folders/1ZemobWCxQpWbWK-4F6mIDlYPJB6PQgHU" TargetMode="External"/><Relationship Id="rId177" Type="http://schemas.openxmlformats.org/officeDocument/2006/relationships/hyperlink" Target="https://uns.id/veditukinthaariq" TargetMode="External"/><Relationship Id="rId198" Type="http://schemas.openxmlformats.org/officeDocument/2006/relationships/hyperlink" Target="https://drive.google.com/file/d/1UUanyQLNkOSugUWXDQLx6cbMy9rhomU-/view?usp=sharing" TargetMode="External"/><Relationship Id="rId197" Type="http://schemas.openxmlformats.org/officeDocument/2006/relationships/hyperlink" Target="https://drive.google.com/drive/folders/1PzS9P01UHo8ahunVVv6jD4ARfGViRjOG" TargetMode="External"/><Relationship Id="rId196" Type="http://schemas.openxmlformats.org/officeDocument/2006/relationships/hyperlink" Target="https://drive.google.com/file/d/1TmBNpVmZwK0wgwjA5wKHVM0mU3d3fWmw/view?usp=drivesdk" TargetMode="External"/><Relationship Id="rId195" Type="http://schemas.openxmlformats.org/officeDocument/2006/relationships/hyperlink" Target="https://drive.google.com/drive/folders/1Rs9HB-oZ3H5yNrDt9DFHXgAhgSOFkiIK?usp=sharing" TargetMode="External"/><Relationship Id="rId199" Type="http://schemas.openxmlformats.org/officeDocument/2006/relationships/hyperlink" Target="https://drive.google.com/file/d/1fI_gpiFidC35PhUgS4AL5664hKzkHvrn/view?usp=drivesdk" TargetMode="External"/><Relationship Id="rId150" Type="http://schemas.openxmlformats.org/officeDocument/2006/relationships/hyperlink" Target="https://drive.google.com/drive/folders/1DvcSMjkGajB_4DTsRI2BJi9k6R619G3v" TargetMode="External"/><Relationship Id="rId1" Type="http://schemas.openxmlformats.org/officeDocument/2006/relationships/pivotTable" Target="../pivotTables/pivotTable4.xml"/><Relationship Id="rId2" Type="http://schemas.openxmlformats.org/officeDocument/2006/relationships/hyperlink" Target="https://drive.google.com/file/d/1oidTQvbYYr9E_r5QpJQ4_ChE2QZYGqwu/view?usp=drivesdk" TargetMode="External"/><Relationship Id="rId3" Type="http://schemas.openxmlformats.org/officeDocument/2006/relationships/hyperlink" Target="https://drive.google.com/file/d/1W9Fy8z1hWSMDv7tcpLGtmPPvb85l4l67/view?usp=drivesdk" TargetMode="External"/><Relationship Id="rId149" Type="http://schemas.openxmlformats.org/officeDocument/2006/relationships/hyperlink" Target="https://drive.google.com/file/d/1Eaqx9EWaqZ9QKFvtgEjSf1OH0v-fotPS/view?usp=drive_link" TargetMode="External"/><Relationship Id="rId4" Type="http://schemas.openxmlformats.org/officeDocument/2006/relationships/hyperlink" Target="https://drive.google.com/file/d/1Wm6uIxCaBKd1xLMMABx5TWhmf1ceuDef/view?usp=drive_link" TargetMode="External"/><Relationship Id="rId148" Type="http://schemas.openxmlformats.org/officeDocument/2006/relationships/hyperlink" Target="https://drive.google.com/drive/folders/19r7Cl5nUN2M2MKhSE7bGX8tAGaPZ57JC" TargetMode="External"/><Relationship Id="rId9" Type="http://schemas.openxmlformats.org/officeDocument/2006/relationships/hyperlink" Target="https://drive.google.com/file/d/1cIgg449V7hr7PwJdcH9hBPLNw7NVBI61/view?usp=drivesdk" TargetMode="External"/><Relationship Id="rId143" Type="http://schemas.openxmlformats.org/officeDocument/2006/relationships/hyperlink" Target="https://drive.google.com/file/d/1L2HeacFitfJzYYLnhEHSiZpRNZi6DIfH/view?usp=drivesdk" TargetMode="External"/><Relationship Id="rId142" Type="http://schemas.openxmlformats.org/officeDocument/2006/relationships/hyperlink" Target="https://drive.google.com/drive/folders/1w3AotyxcLiwjWuZcnqdtSFTGCadiF0xD?usp=sharing" TargetMode="External"/><Relationship Id="rId141" Type="http://schemas.openxmlformats.org/officeDocument/2006/relationships/hyperlink" Target="https://drive.google.com/drive/folders/1yVRF9S8gmJh2aANEg8KX6ndxm6WfzhOc?usp=sharing" TargetMode="External"/><Relationship Id="rId140" Type="http://schemas.openxmlformats.org/officeDocument/2006/relationships/hyperlink" Target="https://drive.google.com/file/d/1K8Bi3qh64CvDS9EXYN8fxBMknWkIhU7a/view?usp=drive_link" TargetMode="External"/><Relationship Id="rId5" Type="http://schemas.openxmlformats.org/officeDocument/2006/relationships/hyperlink" Target="https://drive.google.com/file/d/1W12YEq3GjE_L-y-bTkeot7UzdvOLJSjt/view?usp=sharing" TargetMode="External"/><Relationship Id="rId147" Type="http://schemas.openxmlformats.org/officeDocument/2006/relationships/hyperlink" Target="https://drive.google.com/file/d/1-BbTbD6dRGBlX3AWGJ92R7ATswHSzRJr/view?usp=drivesdk" TargetMode="External"/><Relationship Id="rId6" Type="http://schemas.openxmlformats.org/officeDocument/2006/relationships/hyperlink" Target="https://drive.google.com/file/d/1-TaIQ-qTH3qR6Y29OSSEaY-clgJR9eLz/view?usp=drivesdk" TargetMode="External"/><Relationship Id="rId146" Type="http://schemas.openxmlformats.org/officeDocument/2006/relationships/hyperlink" Target="https://drive.google.com/drive/folders/11IqJDpjcTXnE4CSXbzC3pwb5BIKVYs--?usp=drive_link" TargetMode="External"/><Relationship Id="rId7" Type="http://schemas.openxmlformats.org/officeDocument/2006/relationships/hyperlink" Target="https://drive.google.com/file/d/1n2WAyt9F20OXDGt_kHtZrYIWrFHd46Gv/view?usp=drive_link" TargetMode="External"/><Relationship Id="rId145" Type="http://schemas.openxmlformats.org/officeDocument/2006/relationships/hyperlink" Target="https://drive.google.com/drive/folders/1v7ET-0MLyK3nfkDv6QSCOQu7jdaH58zl" TargetMode="External"/><Relationship Id="rId8" Type="http://schemas.openxmlformats.org/officeDocument/2006/relationships/hyperlink" Target="https://drive.google.com/file/d/1umtXJUYRtnAmBG3GAHtW9vh-Klt3ydSg/view?usp=drivesdk" TargetMode="External"/><Relationship Id="rId144" Type="http://schemas.openxmlformats.org/officeDocument/2006/relationships/hyperlink" Target="https://drive.google.com/file/d/143JHDzse3sObZEzbFHQZvZdWWfCEdKTl/view?usp=drivesdk" TargetMode="External"/><Relationship Id="rId139" Type="http://schemas.openxmlformats.org/officeDocument/2006/relationships/hyperlink" Target="https://drive.google.com/file/d/1YlN9LWOGX_duy7lpVzaDTpDDBGlh7HwO/view?usp=drivesdk" TargetMode="External"/><Relationship Id="rId138" Type="http://schemas.openxmlformats.org/officeDocument/2006/relationships/hyperlink" Target="https://drive.google.com/file/d/1xC1-O8NQibAtMRCBDo8VBwZEXn2Edt3L/view?usp=drivesdk" TargetMode="External"/><Relationship Id="rId137" Type="http://schemas.openxmlformats.org/officeDocument/2006/relationships/hyperlink" Target="https://drive.google.com/drive/folders/1jt4YLBNVmmQlbLqan48uzpTgjZJgPJtc" TargetMode="External"/><Relationship Id="rId132" Type="http://schemas.openxmlformats.org/officeDocument/2006/relationships/hyperlink" Target="https://drive.google.com/file/d/125S5BykyAsUYhePZcozF54aMpBkwCf9m/view?usp=drivesdk" TargetMode="External"/><Relationship Id="rId131" Type="http://schemas.openxmlformats.org/officeDocument/2006/relationships/hyperlink" Target="https://drive.google.com/drive/folders/1-40u8UNH_SNeIkwr8FZ6hdjDyNuH11WZ" TargetMode="External"/><Relationship Id="rId130" Type="http://schemas.openxmlformats.org/officeDocument/2006/relationships/hyperlink" Target="https://drive.google.com/file/d/10gR1poUJUv4Bp7RvR9-QMDkoqIoCFID6/view?usp=drivesdk" TargetMode="External"/><Relationship Id="rId136" Type="http://schemas.openxmlformats.org/officeDocument/2006/relationships/hyperlink" Target="https://drive.google.com/drive/folders/1GuUofoo8Ml4RxgfNRLC35L22Cqhy-kvo?usp=drive_link" TargetMode="External"/><Relationship Id="rId135" Type="http://schemas.openxmlformats.org/officeDocument/2006/relationships/hyperlink" Target="https://drive.google.com/folderview?id=1-GJrqYOfO4bnWQzG1X4FXH_EjpFWvBSi" TargetMode="External"/><Relationship Id="rId134" Type="http://schemas.openxmlformats.org/officeDocument/2006/relationships/hyperlink" Target="https://drive.google.com/file/d/12O1DB7FIoqIZRTC1SggA8lB7Wtp7A1WW/view?usp=drivesdk" TargetMode="External"/><Relationship Id="rId133" Type="http://schemas.openxmlformats.org/officeDocument/2006/relationships/hyperlink" Target="https://www.youtube.com/watch?v=jM1e_5OwKnw" TargetMode="External"/><Relationship Id="rId172" Type="http://schemas.openxmlformats.org/officeDocument/2006/relationships/hyperlink" Target="https://drive.google.com/drive/folders/18vJaaPkf_N1kQFEIOq34K1CHZlOV1Yxr" TargetMode="External"/><Relationship Id="rId171" Type="http://schemas.openxmlformats.org/officeDocument/2006/relationships/hyperlink" Target="https://drive.google.com/drive/folders/1sDPOjTor3XOExzch1Qzi6KmtuS5XvMav?usp=drive_link" TargetMode="External"/><Relationship Id="rId170" Type="http://schemas.openxmlformats.org/officeDocument/2006/relationships/hyperlink" Target="https://drive.google.com/drive/folders/1zI1VsvS3r7N2xgGHzHSOeXsPBlYpL9ku?usp=sharing" TargetMode="External"/><Relationship Id="rId165" Type="http://schemas.openxmlformats.org/officeDocument/2006/relationships/hyperlink" Target="https://drive.google.com/file/d/1q-2IZ9iExO_p1ito2WG__QJ0JhY5ERou/view?usp=drivesdk" TargetMode="External"/><Relationship Id="rId164" Type="http://schemas.openxmlformats.org/officeDocument/2006/relationships/hyperlink" Target="https://drive.google.com/drive/folders/18L-lFRallenmFr2eSdMYor8T3gFby5iv?usp=sharing" TargetMode="External"/><Relationship Id="rId163" Type="http://schemas.openxmlformats.org/officeDocument/2006/relationships/hyperlink" Target="https://drive.google.com/drive/folders/1ziBRYwAgtkkyPnTwpaQQlUVLoINNFHrH" TargetMode="External"/><Relationship Id="rId162" Type="http://schemas.openxmlformats.org/officeDocument/2006/relationships/hyperlink" Target="https://youtu.be/RtFvDOOgoqM" TargetMode="External"/><Relationship Id="rId169" Type="http://schemas.openxmlformats.org/officeDocument/2006/relationships/hyperlink" Target="https://drive.google.com/drive/folders/137kIPlKQmFYB8LTfhzVwbj1J2Vc6niis?usp=sharing" TargetMode="External"/><Relationship Id="rId168" Type="http://schemas.openxmlformats.org/officeDocument/2006/relationships/hyperlink" Target="https://drive.google.com/drive/folders/1ow4-6NaDSh-0U4S7plIc-icO8HYC61WV?usp=sharing" TargetMode="External"/><Relationship Id="rId167" Type="http://schemas.openxmlformats.org/officeDocument/2006/relationships/hyperlink" Target="https://drive.google.com/drive/folders/1lbHZOdolmlsxx6yX2iLAARnS1OT7OdSP" TargetMode="External"/><Relationship Id="rId166" Type="http://schemas.openxmlformats.org/officeDocument/2006/relationships/hyperlink" Target="https://drive.google.com/drive/folders/1LUwVcKfRJZTw2XbLLprTSDJ04eWDmd0c?usp=sharing" TargetMode="External"/><Relationship Id="rId161" Type="http://schemas.openxmlformats.org/officeDocument/2006/relationships/hyperlink" Target="https://drive.google.com/drive/folders/15ZPYQ3Clfe0EygnIfgBgzYEpRIik_sBB?usp=sharing" TargetMode="External"/><Relationship Id="rId160" Type="http://schemas.openxmlformats.org/officeDocument/2006/relationships/hyperlink" Target="https://youtu.be/yymDyHaEmW0?si=6tkWnWhAcI23Xxf8" TargetMode="External"/><Relationship Id="rId159" Type="http://schemas.openxmlformats.org/officeDocument/2006/relationships/hyperlink" Target="https://drive.google.com/drive/folders/18yBJOjtpw6PsG4DRETVg2yP5SJnmcY39?usp=sharing" TargetMode="External"/><Relationship Id="rId154" Type="http://schemas.openxmlformats.org/officeDocument/2006/relationships/hyperlink" Target="https://drive.google.com/drive/folders/1hp2AsPIKeEgMhUWbzwgDRHlp34wSTNCN?usp=sharing" TargetMode="External"/><Relationship Id="rId153" Type="http://schemas.openxmlformats.org/officeDocument/2006/relationships/hyperlink" Target="https://drive.google.com/drive/folders/1cJkn_IoYOOXnOYMya1m1-G4ZZwiFqF5_" TargetMode="External"/><Relationship Id="rId152" Type="http://schemas.openxmlformats.org/officeDocument/2006/relationships/hyperlink" Target="https://drive.google.com/drive/folders/1nSG76BaQdtMG-CDvZEJRGPQJe22CUPnC" TargetMode="External"/><Relationship Id="rId151" Type="http://schemas.openxmlformats.org/officeDocument/2006/relationships/hyperlink" Target="https://drive.google.com/file/d/14HJ3UJHAzqXiOJWas24_Koh5HDncUtR-/view?usp=sharing" TargetMode="External"/><Relationship Id="rId158" Type="http://schemas.openxmlformats.org/officeDocument/2006/relationships/hyperlink" Target="https://drive.google.com/drive/folders/1mjoMheW0r7Ofaf4cfqv62KvsYys3__xT" TargetMode="External"/><Relationship Id="rId157" Type="http://schemas.openxmlformats.org/officeDocument/2006/relationships/hyperlink" Target="https://drive.google.com/drive/folders/1ZMdpKDuNX2Ug5GuQm0IKJcqbtSXsXuoq?usp=sharing" TargetMode="External"/><Relationship Id="rId156" Type="http://schemas.openxmlformats.org/officeDocument/2006/relationships/hyperlink" Target="https://drive.google.com/file/d/1nT111QsyrXyp_zYgfzUpVxBvNOXr5vjm/view?usp=drivesdk" TargetMode="External"/><Relationship Id="rId155" Type="http://schemas.openxmlformats.org/officeDocument/2006/relationships/hyperlink" Target="https://drive.google.com/drive/folders/11lA10UXXoYhzvsfhUICgbtGtbGv8eSte" TargetMode="External"/><Relationship Id="rId40" Type="http://schemas.openxmlformats.org/officeDocument/2006/relationships/hyperlink" Target="https://youtu.be/oP0RAgZwB20?si=hO9OzKPNJI9RBPI1" TargetMode="External"/><Relationship Id="rId42" Type="http://schemas.openxmlformats.org/officeDocument/2006/relationships/hyperlink" Target="https://drive.google.com/file/d/1xOPDBiutDsUcljQkrhY4_4Ho6vGNem5I/view?usp=drivesdk" TargetMode="External"/><Relationship Id="rId41" Type="http://schemas.openxmlformats.org/officeDocument/2006/relationships/hyperlink" Target="https://drive.google.com/drive/folders/13EBQ6zkg47_cYMeEfaosw1H8pEf7UVeF?usp=sharing" TargetMode="External"/><Relationship Id="rId44" Type="http://schemas.openxmlformats.org/officeDocument/2006/relationships/hyperlink" Target="https://drive.google.com/file/d/1ety0eqKXa3XiT4hbU_OfMRCPP9DjozpX/view?usp=sharing" TargetMode="External"/><Relationship Id="rId43" Type="http://schemas.openxmlformats.org/officeDocument/2006/relationships/hyperlink" Target="https://drive.google.com/file/d/1iSiR6l-NAhQDC8BDga9qElowr2pmcdmq/view?usp=drivesdk" TargetMode="External"/><Relationship Id="rId46" Type="http://schemas.openxmlformats.org/officeDocument/2006/relationships/hyperlink" Target="https://drive.google.com/file/d/1Csp-KkryWS8OW0y5WtdeB1RAF5D19SxY/view?usp=sharing" TargetMode="External"/><Relationship Id="rId45" Type="http://schemas.openxmlformats.org/officeDocument/2006/relationships/hyperlink" Target="https://drive.google.com/file/d/1MCBD--uL26st95zUhkgQjZsGVv2OFcCm/view?usp=drivesdk" TargetMode="External"/><Relationship Id="rId48" Type="http://schemas.openxmlformats.org/officeDocument/2006/relationships/hyperlink" Target="https://youtu.be/p6vnqpID7e8?feature=shared" TargetMode="External"/><Relationship Id="rId47" Type="http://schemas.openxmlformats.org/officeDocument/2006/relationships/hyperlink" Target="https://drive.google.com/file/d/1inWgsc02ZaqNB70EC2EVK0FdqyB57gDq/view?usp=drivesdk" TargetMode="External"/><Relationship Id="rId49" Type="http://schemas.openxmlformats.org/officeDocument/2006/relationships/hyperlink" Target="https://www.youtube.com/watch?v=Y7RSD79zK0M" TargetMode="External"/><Relationship Id="rId31" Type="http://schemas.openxmlformats.org/officeDocument/2006/relationships/hyperlink" Target="https://drive.google.com/file/d/1-SETGpp9B0XD1g83-CBJArNMGexKzuCJ/view?usp=drivesdk" TargetMode="External"/><Relationship Id="rId30" Type="http://schemas.openxmlformats.org/officeDocument/2006/relationships/hyperlink" Target="https://drive.google.com/file/d/1Y1HflIYtf8a__N_hRkDkNxk37uHu01vn/view?usp=drive_link" TargetMode="External"/><Relationship Id="rId33" Type="http://schemas.openxmlformats.org/officeDocument/2006/relationships/hyperlink" Target="https://drive.google.com/file/d/1esCIwzUph4H8JVvdlxBZpkGt2mgfGEOw/view?usp=sharing" TargetMode="External"/><Relationship Id="rId32" Type="http://schemas.openxmlformats.org/officeDocument/2006/relationships/hyperlink" Target="https://drive.google.com/drive/folders/17MT469v6DaHmpoLFdWBe241N_dObmepV?usp=drive_link" TargetMode="External"/><Relationship Id="rId35" Type="http://schemas.openxmlformats.org/officeDocument/2006/relationships/hyperlink" Target="https://drive.google.com/drive/folders/1YLcx8j3x4rEq2EPc1oUEnY0ns2CZx521" TargetMode="External"/><Relationship Id="rId34" Type="http://schemas.openxmlformats.org/officeDocument/2006/relationships/hyperlink" Target="https://drive.google.com/file/d/16iPyUf7iTQQhSLQ91kRa-Q5r3R0NU1Zz/view?usp=drive_link" TargetMode="External"/><Relationship Id="rId37" Type="http://schemas.openxmlformats.org/officeDocument/2006/relationships/hyperlink" Target="https://drive.google.com/file/d/1cmV4eplHOudpvjZyn_HVJK6lNiw9g58G/view?usp=drivesdk" TargetMode="External"/><Relationship Id="rId36" Type="http://schemas.openxmlformats.org/officeDocument/2006/relationships/hyperlink" Target="https://drive.google.com/file/d/1g0DJjf0-Ir1o_hN675z6JetJWDctZMtK/view?usp=drive_link" TargetMode="External"/><Relationship Id="rId39" Type="http://schemas.openxmlformats.org/officeDocument/2006/relationships/hyperlink" Target="https://drive.google.com/file/d/1Z0OtvaaPj_hoVvHlUmcOKq1RJZ8us2f0/view?usp=sharing" TargetMode="External"/><Relationship Id="rId38" Type="http://schemas.openxmlformats.org/officeDocument/2006/relationships/hyperlink" Target="https://drive.google.com/file/d/1CFs00UBUQCekRLavWxUV47wLbsqjWAt5/view?usp=sharing" TargetMode="External"/><Relationship Id="rId20" Type="http://schemas.openxmlformats.org/officeDocument/2006/relationships/hyperlink" Target="https://drive.google.com/file/d/1ar4kGy1qfg_uktfh803TTJLH1ex1jIjx/view?usp=sharing" TargetMode="External"/><Relationship Id="rId22" Type="http://schemas.openxmlformats.org/officeDocument/2006/relationships/hyperlink" Target="https://drive.google.com/file/d/1Ufyc9tWS1ANuf-f0gjQrhNhNSwyNN7Ih/view?usp=drivesdk" TargetMode="External"/><Relationship Id="rId21" Type="http://schemas.openxmlformats.org/officeDocument/2006/relationships/hyperlink" Target="https://drive.google.com/file/d/1sTg0GXfA0ou2D4E9TCTn9o4nXdvK1QW9/view?usp=sharing" TargetMode="External"/><Relationship Id="rId24" Type="http://schemas.openxmlformats.org/officeDocument/2006/relationships/hyperlink" Target="https://drive.google.com/file/d/15q8UosXFDYh3syfvPaoLfg-s64HJpX-M/view?usp=drivesdk" TargetMode="External"/><Relationship Id="rId23" Type="http://schemas.openxmlformats.org/officeDocument/2006/relationships/hyperlink" Target="https://drive.google.com/file/d/1LqTRWW3H2LxmnAH_IaS6gp1Fb_Cf23vf/view?usp=drivesdk" TargetMode="External"/><Relationship Id="rId26" Type="http://schemas.openxmlformats.org/officeDocument/2006/relationships/hyperlink" Target="https://drive.google.com/file/d/172f0M3H2gpFfR__p6zpeCKTzUdDjy8Bp/view?usp=drivesdk" TargetMode="External"/><Relationship Id="rId25" Type="http://schemas.openxmlformats.org/officeDocument/2006/relationships/hyperlink" Target="https://drive.google.com/drive/folders/1PqLz8RYnnSg7ZDxnd7U7A6x_JUgroK7k" TargetMode="External"/><Relationship Id="rId28" Type="http://schemas.openxmlformats.org/officeDocument/2006/relationships/hyperlink" Target="https://youtu.be/37xNnZIRYh8?si=ZntzwVImPe4feJBs" TargetMode="External"/><Relationship Id="rId27" Type="http://schemas.openxmlformats.org/officeDocument/2006/relationships/hyperlink" Target="https://drive.google.com/file/d/1-Po-XTK9UlujepB_GgEvK8kp6CHoC-3E/view?usp=drivesdk" TargetMode="External"/><Relationship Id="rId29" Type="http://schemas.openxmlformats.org/officeDocument/2006/relationships/hyperlink" Target="https://drive.google.com/file/d/1-hu-TQKdbX2yJqHvYDuEs4clAxm-Zpym/view?usp=drivesdk" TargetMode="External"/><Relationship Id="rId11" Type="http://schemas.openxmlformats.org/officeDocument/2006/relationships/hyperlink" Target="https://drive.google.com/file/d/1-73woSPD2luYwLob-jUd24ImGpWn3Os5/view?usp=drive_link" TargetMode="External"/><Relationship Id="rId10" Type="http://schemas.openxmlformats.org/officeDocument/2006/relationships/hyperlink" Target="https://drive.google.com/file/d/1GQENiDMv0dD3I-c0kM8Drtvu50DBv0Vv/view?usp=sharing" TargetMode="External"/><Relationship Id="rId13" Type="http://schemas.openxmlformats.org/officeDocument/2006/relationships/hyperlink" Target="https://drive.google.com/drive/folders/10h0bICv1sbwM8H39qnDBJjpkWu_Bj5lc?usp=share_link" TargetMode="External"/><Relationship Id="rId12" Type="http://schemas.openxmlformats.org/officeDocument/2006/relationships/hyperlink" Target="https://drive.google.com/drive/folders/10h0bICv1sbwM8H39qnDBJjpkWu_Bj5lc?usp=share_link" TargetMode="External"/><Relationship Id="rId15" Type="http://schemas.openxmlformats.org/officeDocument/2006/relationships/hyperlink" Target="https://drive.google.com/file/d/18IhcwPWDtcUg9_pBLGWNVBKS261-qceu/view?usp=drivesdk" TargetMode="External"/><Relationship Id="rId14" Type="http://schemas.openxmlformats.org/officeDocument/2006/relationships/hyperlink" Target="https://drive.google.com/drive/folders/11AM3M-pMv6xsy4fEdku3wpgYdWZ-b-S9" TargetMode="External"/><Relationship Id="rId17" Type="http://schemas.openxmlformats.org/officeDocument/2006/relationships/hyperlink" Target="https://drive.google.com/file/d/19VB4oC8gH9T2JoGpnp6RBho_vfo-ZthB/view?usp=sharing" TargetMode="External"/><Relationship Id="rId16" Type="http://schemas.openxmlformats.org/officeDocument/2006/relationships/hyperlink" Target="https://drive.google.com/file/d/1RQT-PNJMzKqPTQ6YxYdTfSZAVuSsTTcE/view" TargetMode="External"/><Relationship Id="rId19" Type="http://schemas.openxmlformats.org/officeDocument/2006/relationships/hyperlink" Target="https://drive.google.com/file/d/1-4bh_3Gsx8QMHDML1RTcjQU860Yb8vUF/view?usp=drivesdk" TargetMode="External"/><Relationship Id="rId18" Type="http://schemas.openxmlformats.org/officeDocument/2006/relationships/hyperlink" Target="https://drive.google.com/drive/folders/1MSCACZOM7BzVsQwuJ0JlJxgh0BU8L-UG" TargetMode="External"/><Relationship Id="rId84" Type="http://schemas.openxmlformats.org/officeDocument/2006/relationships/hyperlink" Target="https://drive.google.com/drive/folders/1HSEr75Zc8RhUxysY7jW4NqvKaxmcwt7C?usp=sharing" TargetMode="External"/><Relationship Id="rId83" Type="http://schemas.openxmlformats.org/officeDocument/2006/relationships/hyperlink" Target="https://youtu.be/hacGCThujds?si=TyXtnwvGHmLHWeEi" TargetMode="External"/><Relationship Id="rId86" Type="http://schemas.openxmlformats.org/officeDocument/2006/relationships/hyperlink" Target="https://drive.google.com/file/d/1HOO4AhlgFuNZ7xAZC4wNngOPjGlzNUe2/view?usp=sharing" TargetMode="External"/><Relationship Id="rId85" Type="http://schemas.openxmlformats.org/officeDocument/2006/relationships/hyperlink" Target="https://drive.google.com/file/d/1ejoFKKYvBRZady_u6WBtR887yBw_aqnX/view?usp=drivesdk" TargetMode="External"/><Relationship Id="rId88" Type="http://schemas.openxmlformats.org/officeDocument/2006/relationships/hyperlink" Target="https://drive.google.com/file/d/17FdJmY2Q_rOwdCw03xhjj_qUQHZs8Ubh/view?usp=drivesdk" TargetMode="External"/><Relationship Id="rId87" Type="http://schemas.openxmlformats.org/officeDocument/2006/relationships/hyperlink" Target="https://drive.google.com/drive/folders/1YILji-NEk9EOr82JBqJsQHRVAbvbUghJ" TargetMode="External"/><Relationship Id="rId89" Type="http://schemas.openxmlformats.org/officeDocument/2006/relationships/hyperlink" Target="https://drive.google.com/file/d/1BRliNG08XfeSGbcZmOIvGmwpGeM8FGuB/view?usp=drivesdk" TargetMode="External"/><Relationship Id="rId80" Type="http://schemas.openxmlformats.org/officeDocument/2006/relationships/hyperlink" Target="https://drive.google.com/drive/folders/1jF5iXvAak7HvSCd1b7rBtYYGGnJAKMtV?usp=sharing" TargetMode="External"/><Relationship Id="rId82" Type="http://schemas.openxmlformats.org/officeDocument/2006/relationships/hyperlink" Target="https://drive.google.com/file/d/1zUFHU7edYhhn5rtoUV5i6yHLXhfx_YPt/view?usp=drivesdk" TargetMode="External"/><Relationship Id="rId81" Type="http://schemas.openxmlformats.org/officeDocument/2006/relationships/hyperlink" Target="https://drive.google.com/drive/folders/1OklC5H6FRFDLospoDAPORQMtrGaZiUSx" TargetMode="External"/><Relationship Id="rId73" Type="http://schemas.openxmlformats.org/officeDocument/2006/relationships/hyperlink" Target="https://youtu.be/E2hjZFZTX5U" TargetMode="External"/><Relationship Id="rId72" Type="http://schemas.openxmlformats.org/officeDocument/2006/relationships/hyperlink" Target="https://drive.google.com/drive/folders/1h5D1OR-dlUErQydDQd5Q2HbzWDvq1noG?usp=drive_link" TargetMode="External"/><Relationship Id="rId75" Type="http://schemas.openxmlformats.org/officeDocument/2006/relationships/hyperlink" Target="https://drive.google.com/drive/u/1/folders/12y91230r5HxHxaki4ppVhWjU1psogudU" TargetMode="External"/><Relationship Id="rId74" Type="http://schemas.openxmlformats.org/officeDocument/2006/relationships/hyperlink" Target="https://drive.google.com/file/d/1Fk2iDKXorKUI_KKNxIOx6us3Z02nTHO1/view?usp=drivesdk" TargetMode="External"/><Relationship Id="rId77" Type="http://schemas.openxmlformats.org/officeDocument/2006/relationships/hyperlink" Target="https://drive.google.com/drive/folders/1gvYo2u1WJg-VnSw1byRSjpOT3TklJbdK?usp=sharing" TargetMode="External"/><Relationship Id="rId76" Type="http://schemas.openxmlformats.org/officeDocument/2006/relationships/hyperlink" Target="https://youtu.be/yymDyHaEmW0?si=jEo8ZHrAz__mlaUj" TargetMode="External"/><Relationship Id="rId79" Type="http://schemas.openxmlformats.org/officeDocument/2006/relationships/hyperlink" Target="https://drive.google.com/file/d/1e3QMm77HgNls5npfBunclbid-2paBVp5/view?usp=sharing" TargetMode="External"/><Relationship Id="rId78" Type="http://schemas.openxmlformats.org/officeDocument/2006/relationships/hyperlink" Target="https://drive.google.com/file/d/1TaOLElal1yMWcoRJCkSbcKTQjb-0XBpq/view?usp=drivesdk" TargetMode="External"/><Relationship Id="rId71" Type="http://schemas.openxmlformats.org/officeDocument/2006/relationships/hyperlink" Target="https://drive.google.com/file/d/1jfu9QLcFkUIRToh11Ezjc2rHHgjxXIzl/view?usp=drivesdk" TargetMode="External"/><Relationship Id="rId70" Type="http://schemas.openxmlformats.org/officeDocument/2006/relationships/hyperlink" Target="https://youtu.be/YU--_bdMJB8?si=2NrVWMbImfOQM6Fu" TargetMode="External"/><Relationship Id="rId62" Type="http://schemas.openxmlformats.org/officeDocument/2006/relationships/hyperlink" Target="https://drive.google.com/drive/folders/18xJQ-3eECT_D55nBI5qwt1501GH2FG3T" TargetMode="External"/><Relationship Id="rId61" Type="http://schemas.openxmlformats.org/officeDocument/2006/relationships/hyperlink" Target="https://drive.google.com/drive/my-drive?hl=ID" TargetMode="External"/><Relationship Id="rId64" Type="http://schemas.openxmlformats.org/officeDocument/2006/relationships/hyperlink" Target="https://drive.google.com/file/d/1BBFQYrvyABa77U-eHoNHLElDztglLySm/view?usp=sharing" TargetMode="External"/><Relationship Id="rId63" Type="http://schemas.openxmlformats.org/officeDocument/2006/relationships/hyperlink" Target="https://drive.google.com/file/d/19VmPXQZthQlw0DZ-snxETmPub7V5d3RE/view?usp=sharing" TargetMode="External"/><Relationship Id="rId66" Type="http://schemas.openxmlformats.org/officeDocument/2006/relationships/hyperlink" Target="https://drive.google.com/file/d/1h63cWRCshoOEWZoma2HqgpkbKwWhXdk_/view?usp=sharing" TargetMode="External"/><Relationship Id="rId65" Type="http://schemas.openxmlformats.org/officeDocument/2006/relationships/hyperlink" Target="https://drive.google.com/file/d/1r9JITidVHNof3WzYhgjA9Q3Vf5GMZNES/view?usp=sharing" TargetMode="External"/><Relationship Id="rId68" Type="http://schemas.openxmlformats.org/officeDocument/2006/relationships/hyperlink" Target="https://drive.google.com/file/d/1AfQy3sXG0vwWQZi-bW91KmA1x5v2byR0/view?usp=drivesdk" TargetMode="External"/><Relationship Id="rId67" Type="http://schemas.openxmlformats.org/officeDocument/2006/relationships/hyperlink" Target="https://drive.google.com/file/d/17NLrI4FRBXVVXFTkiFWHEn8bkZGr1-yx/view?usp=drivesdk" TargetMode="External"/><Relationship Id="rId60" Type="http://schemas.openxmlformats.org/officeDocument/2006/relationships/hyperlink" Target="https://drive.google.com/drive/folders/1ivwzR2JDK4q_x0tqQolTURpCN7w-aTLV?usp=sharing" TargetMode="External"/><Relationship Id="rId69" Type="http://schemas.openxmlformats.org/officeDocument/2006/relationships/hyperlink" Target="https://drive.google.com/file/d/1K14cG90SuffnJXjKhSAEWNFBzQd_EaEV/view?usp=drive_link" TargetMode="External"/><Relationship Id="rId51" Type="http://schemas.openxmlformats.org/officeDocument/2006/relationships/hyperlink" Target="https://drive.google.com/file/d/1kebzPEnjn8cLYmp2y7HRyvi4KUEM7GYg/view?usp=sharing" TargetMode="External"/><Relationship Id="rId50" Type="http://schemas.openxmlformats.org/officeDocument/2006/relationships/hyperlink" Target="https://drive.google.com/file/d/1FO1apaLrvm6OonO-6m8-hbivpRlxH__O/view?usp=sharing" TargetMode="External"/><Relationship Id="rId53" Type="http://schemas.openxmlformats.org/officeDocument/2006/relationships/hyperlink" Target="https://drive.google.com/drive/folders/1q5MXF6g_jehPTrF_zsdYxpbD_t6As1he?usp=sharing" TargetMode="External"/><Relationship Id="rId52" Type="http://schemas.openxmlformats.org/officeDocument/2006/relationships/hyperlink" Target="https://drive.google.com/file/d/1mMPCCJucrwhVb1pZFfaBG31bjo_eTeLu/view?usp=drivesdk" TargetMode="External"/><Relationship Id="rId55" Type="http://schemas.openxmlformats.org/officeDocument/2006/relationships/hyperlink" Target="https://youtu.be/s8eTiNsgjME?si=Q4fka42_T56GGDeF" TargetMode="External"/><Relationship Id="rId54" Type="http://schemas.openxmlformats.org/officeDocument/2006/relationships/hyperlink" Target="https://drive.google.com/file/d/1yLn3_MYhL5-OebQhFTTWudj9syRpa_F4/view?usp=drivesdk" TargetMode="External"/><Relationship Id="rId57" Type="http://schemas.openxmlformats.org/officeDocument/2006/relationships/hyperlink" Target="https://drive.google.com/file/d/1-E6elHxJDXxCqW0udD7ymA9ux653j06c/view?usp=drivesdk" TargetMode="External"/><Relationship Id="rId56" Type="http://schemas.openxmlformats.org/officeDocument/2006/relationships/hyperlink" Target="https://drive.google.com/drive/folders/13TzkmruK-0Q2-WN0ppe31VLzRKgKDuYM" TargetMode="External"/><Relationship Id="rId59" Type="http://schemas.openxmlformats.org/officeDocument/2006/relationships/hyperlink" Target="https://drive.google.com/file/d/1K86AVWNyVATp4KXXM8v8zL54rKLVnO3R/view?usp=sharing" TargetMode="External"/><Relationship Id="rId58" Type="http://schemas.openxmlformats.org/officeDocument/2006/relationships/hyperlink" Target="https://youtu.be/f2RscZki_bA?si=RiXSuUHxcZqgXa9p" TargetMode="External"/><Relationship Id="rId107" Type="http://schemas.openxmlformats.org/officeDocument/2006/relationships/hyperlink" Target="https://drive.google.com/file/d/1hzKaO3nYD5NWhwX-5DNSbiKnTHiwK7T3/view?usp=sharing" TargetMode="External"/><Relationship Id="rId106" Type="http://schemas.openxmlformats.org/officeDocument/2006/relationships/hyperlink" Target="https://drive.google.com/file/d/1PsEE8P50ldpBgaiCWhSJgB8M5EUIE9P9/view?usp=sharing" TargetMode="External"/><Relationship Id="rId105" Type="http://schemas.openxmlformats.org/officeDocument/2006/relationships/hyperlink" Target="https://drive.google.com/file/d/1jg3ondnuMEA_8KcnO4YcAhgyhFZDh5Ht/view?usp=sharing" TargetMode="External"/><Relationship Id="rId104" Type="http://schemas.openxmlformats.org/officeDocument/2006/relationships/hyperlink" Target="https://drive.google.com/file/d/16Anw84sKT-kWKagGdVplXbaZzuZUNtCB/view?usp=drivesdk" TargetMode="External"/><Relationship Id="rId109" Type="http://schemas.openxmlformats.org/officeDocument/2006/relationships/hyperlink" Target="https://drive.google.com/file/d/1yC0TberpZjYSJT8tMqZe7xjRzz9PNz6L/view?usp=sharing" TargetMode="External"/><Relationship Id="rId108" Type="http://schemas.openxmlformats.org/officeDocument/2006/relationships/hyperlink" Target="https://drive.google.com/file/d/1TSMxPbSYCE-wGzRrKrkCo5WhXMY4oK6Y/view?usp=drivesdk" TargetMode="External"/><Relationship Id="rId103" Type="http://schemas.openxmlformats.org/officeDocument/2006/relationships/hyperlink" Target="https://drive.google.com/file/d/1fgjFP7heZob1byrZ08PNTEvBkkmy4XS3/view?usp=drivesdk" TargetMode="External"/><Relationship Id="rId102" Type="http://schemas.openxmlformats.org/officeDocument/2006/relationships/hyperlink" Target="https://drive.google.com/file/d/1czFk9KIDKjBbNttApLuhEDIHMjlZgs_J/view?usp=drivesdk" TargetMode="External"/><Relationship Id="rId101" Type="http://schemas.openxmlformats.org/officeDocument/2006/relationships/hyperlink" Target="https://drive.google.com/drive/folders/1x4MdjO2kQbaHin0MZOtOv52o2Nc0rj9s" TargetMode="External"/><Relationship Id="rId100" Type="http://schemas.openxmlformats.org/officeDocument/2006/relationships/hyperlink" Target="https://drive.google.com/file/d/1mqHsEuBiuAkI9IQqrp9iBb4ZzPvSo2Hw/view?usp=drivesdk" TargetMode="External"/><Relationship Id="rId212" Type="http://schemas.openxmlformats.org/officeDocument/2006/relationships/drawing" Target="../drawings/drawing8.xml"/><Relationship Id="rId211" Type="http://schemas.openxmlformats.org/officeDocument/2006/relationships/hyperlink" Target="https://drive.google.com/drive/folders/14FG_yPqAGC6X1onGD48pZn4hF_PPEfMz?usp=sharing" TargetMode="External"/><Relationship Id="rId210" Type="http://schemas.openxmlformats.org/officeDocument/2006/relationships/hyperlink" Target="https://drive.google.com/file/d/10vZFJJ6HLCd0q9kJFe38K6ug4wCZSDnp/view?usp=sharing" TargetMode="External"/><Relationship Id="rId129" Type="http://schemas.openxmlformats.org/officeDocument/2006/relationships/hyperlink" Target="https://drive.google.com/file/d/14w0SrHcah5KVYYJRxX4GoYuo6Arj4xmT/view?usp=drivesdk" TargetMode="External"/><Relationship Id="rId128" Type="http://schemas.openxmlformats.org/officeDocument/2006/relationships/hyperlink" Target="https://drive.google.com/file/d/1peyjAV00fNYAk1KhW_TI0Z-Tyzfr-pjB/view?usp=drive_link" TargetMode="External"/><Relationship Id="rId127" Type="http://schemas.openxmlformats.org/officeDocument/2006/relationships/hyperlink" Target="https://drive.google.com/file/d/11wzIy8pLPUhf9NFE6RP2ma53wXYu3e4C/view?usp=drivesdk" TargetMode="External"/><Relationship Id="rId126" Type="http://schemas.openxmlformats.org/officeDocument/2006/relationships/hyperlink" Target="https://drive.google.com/drive/folders/1QCz4bH3wjl2517dnFzL0-0FyB0_Hr0eA?usp=sharing" TargetMode="External"/><Relationship Id="rId121" Type="http://schemas.openxmlformats.org/officeDocument/2006/relationships/hyperlink" Target="https://drive.google.com/file/d/1zjqleX_QHQweZRqUCYtwKhGBDTpjIHzs/view?usp=drivesdk" TargetMode="External"/><Relationship Id="rId120" Type="http://schemas.openxmlformats.org/officeDocument/2006/relationships/hyperlink" Target="https://drive.google.com/file/d/1NLVMd2lRd_IZi1QxIH1kT4Jf11wOMHje/view?usp=drivesdk" TargetMode="External"/><Relationship Id="rId125" Type="http://schemas.openxmlformats.org/officeDocument/2006/relationships/hyperlink" Target="https://drive.google.com/file/d/16I25Hub_4HCCCCFxaPj0dOUzgE7zysB3/view?usp=sharing" TargetMode="External"/><Relationship Id="rId124" Type="http://schemas.openxmlformats.org/officeDocument/2006/relationships/hyperlink" Target="https://drive.google.com/drive/folders/1SNu-qFtK02OmLkQZ1AWo5DDVTH46tRqo" TargetMode="External"/><Relationship Id="rId123" Type="http://schemas.openxmlformats.org/officeDocument/2006/relationships/hyperlink" Target="https://drive.google.com/file/d/1wXg4JCK74uFkX830RohLlRR_dRCpabfJ/view?usp=sharing" TargetMode="External"/><Relationship Id="rId122" Type="http://schemas.openxmlformats.org/officeDocument/2006/relationships/hyperlink" Target="https://youtu.be/O5RQVJUPqL4?feature=shared" TargetMode="External"/><Relationship Id="rId95" Type="http://schemas.openxmlformats.org/officeDocument/2006/relationships/hyperlink" Target="https://drive.google.com/file/d/1pM2_9_ydITQwkfilNCICdwxqTh-anOk_/view?usp=drivesdk" TargetMode="External"/><Relationship Id="rId94" Type="http://schemas.openxmlformats.org/officeDocument/2006/relationships/hyperlink" Target="https://drive.google.com/file/d/1pM2_9_ydITQwkfilNCICdwxqTh-anOk_/view?usp=drivesdk" TargetMode="External"/><Relationship Id="rId97" Type="http://schemas.openxmlformats.org/officeDocument/2006/relationships/hyperlink" Target="https://drive.google.com/drive/folders/12gvXc4u-CJvLa9dRi4J6Dv223OV0Uy_c" TargetMode="External"/><Relationship Id="rId96" Type="http://schemas.openxmlformats.org/officeDocument/2006/relationships/hyperlink" Target="https://drive.google.com/file/d/18x7LbrNM7kH5UuTFMQO0X7fNmqaZ7MP4/view?usp=drive_link" TargetMode="External"/><Relationship Id="rId99" Type="http://schemas.openxmlformats.org/officeDocument/2006/relationships/hyperlink" Target="https://drive.google.com/file/d/1egvuICb9Fe5dZ-cPpgczoxhMGrxXWj7x/view?usp=sharing" TargetMode="External"/><Relationship Id="rId98" Type="http://schemas.openxmlformats.org/officeDocument/2006/relationships/hyperlink" Target="https://drive.google.com/drive/folders/10gdRNvHaesOYapEBw9VjuyApTvEMW3oo" TargetMode="External"/><Relationship Id="rId91" Type="http://schemas.openxmlformats.org/officeDocument/2006/relationships/hyperlink" Target="https://drive.google.com/file/d/1e3MIskV95w9vhLcemJFBqQ339QT6D07m/view?usp=drivesdk" TargetMode="External"/><Relationship Id="rId90" Type="http://schemas.openxmlformats.org/officeDocument/2006/relationships/hyperlink" Target="https://drive.google.com/drive/folders/19r7Cl5nUN2M2MKhSE7bGX8tAGaPZ57JC" TargetMode="External"/><Relationship Id="rId93" Type="http://schemas.openxmlformats.org/officeDocument/2006/relationships/hyperlink" Target="https://drive.google.com/file/d/1YRPk_1GTpiCqHQHPgNtic-hvtdop6C8g/view?usp=drivesdk" TargetMode="External"/><Relationship Id="rId92" Type="http://schemas.openxmlformats.org/officeDocument/2006/relationships/hyperlink" Target="https://drive.google.com/file/d/1ZP7zckiKpLuo6ihpZfeBTDIdqQ5XkoCD/view?usp=drive_link" TargetMode="External"/><Relationship Id="rId118" Type="http://schemas.openxmlformats.org/officeDocument/2006/relationships/hyperlink" Target="https://drive.google.com/file/d/1H1b60SDS_e2nuExReA8tKk_zKU2XFb0P/view?usp=sharing" TargetMode="External"/><Relationship Id="rId117" Type="http://schemas.openxmlformats.org/officeDocument/2006/relationships/hyperlink" Target="https://drive.google.com/file/d/14KQVmfuC8MSj2Rmmu4-PodxAX09NV-2t/view?usp=sharing" TargetMode="External"/><Relationship Id="rId116" Type="http://schemas.openxmlformats.org/officeDocument/2006/relationships/hyperlink" Target="https://drive.google.com/file/d/1IwfRx5q1pQ71fp6NaZXiPECFmywaw67T/view?usp=drivesdk" TargetMode="External"/><Relationship Id="rId115" Type="http://schemas.openxmlformats.org/officeDocument/2006/relationships/hyperlink" Target="https://drive.google.com/drive/folders/1BbNrhkBUeXGFB07Zu5rb0FC2-93aesfT?usp=sharing" TargetMode="External"/><Relationship Id="rId119" Type="http://schemas.openxmlformats.org/officeDocument/2006/relationships/hyperlink" Target="https://drive.google.com/drive/folders/1PIdrEpmJ5Ts3AH6xgUsmMf4tQamCydq8?usp=sharing" TargetMode="External"/><Relationship Id="rId110" Type="http://schemas.openxmlformats.org/officeDocument/2006/relationships/hyperlink" Target="https://drive.google.com/file/d/1MDgO8wyA5Ky-V_4yvxhKBLDemJPoL33Z/view?usp=drivesdk" TargetMode="External"/><Relationship Id="rId114" Type="http://schemas.openxmlformats.org/officeDocument/2006/relationships/hyperlink" Target="https://drive.google.com/file/d/15DvaHVYPeSBauHFW_AUm0GxGrFWrx0UA/view?usp=drivesdk" TargetMode="External"/><Relationship Id="rId113" Type="http://schemas.openxmlformats.org/officeDocument/2006/relationships/hyperlink" Target="https://drive.google.com/drive/folders/1ow4-6NaDSh-0U4S7plIc-icO8HYC61WV?usp=sharing" TargetMode="External"/><Relationship Id="rId112" Type="http://schemas.openxmlformats.org/officeDocument/2006/relationships/hyperlink" Target="https://www.youtube.com/watch?v=_aocPMqz-bA&amp;t=352s" TargetMode="External"/><Relationship Id="rId111" Type="http://schemas.openxmlformats.org/officeDocument/2006/relationships/hyperlink" Target="https://drive.google.com/file/d/10nhWSrB9Ujt_hKAXf4doFhwHicSA0Cgt/view?usp=drivesdk" TargetMode="External"/><Relationship Id="rId206" Type="http://schemas.openxmlformats.org/officeDocument/2006/relationships/hyperlink" Target="https://drive.google.com/drive/folders/1M6zYjueC4knG4C45THwrSOKv3fiE93TK?usp=sharing" TargetMode="External"/><Relationship Id="rId205" Type="http://schemas.openxmlformats.org/officeDocument/2006/relationships/hyperlink" Target="https://drive.google.com/drive/folders/1v9Rl1ZkNsT6Jw6hEo64E-fGeNru0Mo2a?usp=sharing" TargetMode="External"/><Relationship Id="rId204" Type="http://schemas.openxmlformats.org/officeDocument/2006/relationships/hyperlink" Target="https://drive.google.com/file/d/1iq8cDdVfuoJxTaGIJK-5C0uFxCjY3984/view?usp=drivesdk" TargetMode="External"/><Relationship Id="rId203" Type="http://schemas.openxmlformats.org/officeDocument/2006/relationships/hyperlink" Target="https://drive.google.com/drive/folders/1IBUHZ570KJFy5CmkAqk3hdSbP9e0B9cp" TargetMode="External"/><Relationship Id="rId209" Type="http://schemas.openxmlformats.org/officeDocument/2006/relationships/hyperlink" Target="https://drive.google.com/drive/folders/1PQQxwZNzVypS3yGp4a0HX6Wmibz9ALEQ" TargetMode="External"/><Relationship Id="rId208" Type="http://schemas.openxmlformats.org/officeDocument/2006/relationships/hyperlink" Target="https://drive.google.com/drive/folders/1ltUU36tlXxgfeMDDdoLQOBEN6rzRAnT4" TargetMode="External"/><Relationship Id="rId207" Type="http://schemas.openxmlformats.org/officeDocument/2006/relationships/hyperlink" Target="https://drive.google.com/drive/folders/19MRaOM80DF038NWPqHaqqcWNbEgyOpsX" TargetMode="External"/><Relationship Id="rId202" Type="http://schemas.openxmlformats.org/officeDocument/2006/relationships/hyperlink" Target="https://drive.google.com/drive/folders/1yCvx2arxXyITby30A4zMMaHb1zIP3NMt?hl=ID" TargetMode="External"/><Relationship Id="rId201" Type="http://schemas.openxmlformats.org/officeDocument/2006/relationships/hyperlink" Target="https://drive.google.com/file/d/1WoZ2dEnTCug0Ziv3_iuegw3MELqpmkZC/view?usp=drivesdk" TargetMode="External"/><Relationship Id="rId200" Type="http://schemas.openxmlformats.org/officeDocument/2006/relationships/hyperlink" Target="https://drive.google.com/file/d/1iCxSV9hd262CkcTCjL23f6n7t7EoV6ur/view?usp=sharing" TargetMode="External"/></Relationships>
</file>

<file path=xl/worksheets/_rels/sheet9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zV2figavABF53g88ty1zBwjNJ4TwwTWj/view?usp=drivesdk" TargetMode="External"/><Relationship Id="rId194" Type="http://schemas.openxmlformats.org/officeDocument/2006/relationships/hyperlink" Target="https://drive.google.com/drive/folders/1DUcWJvg3MRjkBfV1Wb2SOf09W0KOXuia" TargetMode="External"/><Relationship Id="rId193" Type="http://schemas.openxmlformats.org/officeDocument/2006/relationships/hyperlink" Target="https://drive.google.com/drive/folders/1eQb9Ydk0eATBDcczvp7yz_FB4O4O3AS3" TargetMode="External"/><Relationship Id="rId192" Type="http://schemas.openxmlformats.org/officeDocument/2006/relationships/hyperlink" Target="https://drive.google.com/drive/folders/1LzuVejBMa0nJuaBNUC6Wmo059tSnk3PX?usp=drive_link" TargetMode="External"/><Relationship Id="rId191" Type="http://schemas.openxmlformats.org/officeDocument/2006/relationships/hyperlink" Target="https://drive.google.com/file/d/1EYnoMc565zoK0J826IOUtHJ9sB9Z2CQo/view?usp=drivesdk" TargetMode="External"/><Relationship Id="rId187" Type="http://schemas.openxmlformats.org/officeDocument/2006/relationships/hyperlink" Target="https://drive.google.com/drive/folders/1BunhS9ZC30KIV72NDCiDcLA3-Ud7Jkt9" TargetMode="External"/><Relationship Id="rId186" Type="http://schemas.openxmlformats.org/officeDocument/2006/relationships/hyperlink" Target="https://drive.google.com/drive/folders/1Ox-0TUCz6hG9Myk2xhpFEEvKdlv8dm0C?usp=sharing" TargetMode="External"/><Relationship Id="rId185" Type="http://schemas.openxmlformats.org/officeDocument/2006/relationships/hyperlink" Target="https://drive.google.com/file/d/1hhvZIEChyA9oW7HYA2tM058Q0lahrG6T/view?usp=sharing" TargetMode="External"/><Relationship Id="rId184" Type="http://schemas.openxmlformats.org/officeDocument/2006/relationships/hyperlink" Target="https://drive.google.com/file/d/1XKpWEV3EZ7UQ8B2bUYrKN3HfbjZtr2ZC/view?usp=drivesdk" TargetMode="External"/><Relationship Id="rId189" Type="http://schemas.openxmlformats.org/officeDocument/2006/relationships/hyperlink" Target="https://drive.google.com/drive/folders/17MT469v6DaHmpoLFdWBe241N_dObmepV?usp=drive_link" TargetMode="External"/><Relationship Id="rId188" Type="http://schemas.openxmlformats.org/officeDocument/2006/relationships/hyperlink" Target="https://drive.google.com/drive/folders/1GaI6YVgutsBMNIGY3HaluvXIH5nka1r3" TargetMode="External"/><Relationship Id="rId183" Type="http://schemas.openxmlformats.org/officeDocument/2006/relationships/hyperlink" Target="https://drive.google.com/file/d/11F5pPmxQ30JyYcnGJHbV6ofW54-DPLlK/view?usp=drivesdk" TargetMode="External"/><Relationship Id="rId182" Type="http://schemas.openxmlformats.org/officeDocument/2006/relationships/hyperlink" Target="https://youtu.be/ggULze_hHGY?si=3LHoSa1RXTS34FsR" TargetMode="External"/><Relationship Id="rId181" Type="http://schemas.openxmlformats.org/officeDocument/2006/relationships/hyperlink" Target="https://drive.google.com/file/d/1XqoJbX6jTFwvy6oafg-KztlO_gpV_jlC/view?usp=sharing" TargetMode="External"/><Relationship Id="rId180" Type="http://schemas.openxmlformats.org/officeDocument/2006/relationships/hyperlink" Target="https://drive.google.com/drive/folders/18O0MONVMBSmYlQuiTTTxKi2Ty4RuE13V?usp=sharing" TargetMode="External"/><Relationship Id="rId176" Type="http://schemas.openxmlformats.org/officeDocument/2006/relationships/hyperlink" Target="https://drive.google.com/drive/folders/14tm61sfbexmy9YMN6u3Mp_YaYsqT-5st?usp=sharing" TargetMode="External"/><Relationship Id="rId175" Type="http://schemas.openxmlformats.org/officeDocument/2006/relationships/hyperlink" Target="https://drive.google.com/drive/folders/14tm61sfbexmy9YMN6u3Mp_YaYsqT-5st" TargetMode="External"/><Relationship Id="rId174" Type="http://schemas.openxmlformats.org/officeDocument/2006/relationships/hyperlink" Target="https://drive.google.com/drive/folders/19wdv2SGiikjLmsRGeg6Us3PtGVYARdEH?usp=sharing" TargetMode="External"/><Relationship Id="rId173" Type="http://schemas.openxmlformats.org/officeDocument/2006/relationships/hyperlink" Target="https://drive.google.com/file/d/1ZM2qaVqkQD-_tnv9zBhxAM7nrL9WyS0c/view?usp=drive_link" TargetMode="External"/><Relationship Id="rId179" Type="http://schemas.openxmlformats.org/officeDocument/2006/relationships/hyperlink" Target="https://drive.google.com/drive/folders/1YHV5XDphM0hO8XmD0XXIw26hn__uS09N" TargetMode="External"/><Relationship Id="rId178" Type="http://schemas.openxmlformats.org/officeDocument/2006/relationships/hyperlink" Target="https://drive.google.com/drive/folders/1ZemobWCxQpWbWK-4F6mIDlYPJB6PQgHU" TargetMode="External"/><Relationship Id="rId177" Type="http://schemas.openxmlformats.org/officeDocument/2006/relationships/hyperlink" Target="https://uns.id/veditukinthaariq" TargetMode="External"/><Relationship Id="rId198" Type="http://schemas.openxmlformats.org/officeDocument/2006/relationships/hyperlink" Target="https://drive.google.com/file/d/1UUanyQLNkOSugUWXDQLx6cbMy9rhomU-/view?usp=sharing" TargetMode="External"/><Relationship Id="rId197" Type="http://schemas.openxmlformats.org/officeDocument/2006/relationships/hyperlink" Target="https://drive.google.com/drive/folders/1PzS9P01UHo8ahunVVv6jD4ARfGViRjOG" TargetMode="External"/><Relationship Id="rId196" Type="http://schemas.openxmlformats.org/officeDocument/2006/relationships/hyperlink" Target="https://drive.google.com/file/d/1TmBNpVmZwK0wgwjA5wKHVM0mU3d3fWmw/view?usp=drivesdk" TargetMode="External"/><Relationship Id="rId195" Type="http://schemas.openxmlformats.org/officeDocument/2006/relationships/hyperlink" Target="https://drive.google.com/drive/folders/1Rs9HB-oZ3H5yNrDt9DFHXgAhgSOFkiIK?usp=sharing" TargetMode="External"/><Relationship Id="rId199" Type="http://schemas.openxmlformats.org/officeDocument/2006/relationships/hyperlink" Target="https://drive.google.com/file/d/1fI_gpiFidC35PhUgS4AL5664hKzkHvrn/view?usp=drivesdk" TargetMode="External"/><Relationship Id="rId150" Type="http://schemas.openxmlformats.org/officeDocument/2006/relationships/hyperlink" Target="https://drive.google.com/drive/folders/1DvcSMjkGajB_4DTsRI2BJi9k6R619G3v" TargetMode="External"/><Relationship Id="rId1" Type="http://schemas.openxmlformats.org/officeDocument/2006/relationships/pivotTable" Target="../pivotTables/pivotTable5.xml"/><Relationship Id="rId2" Type="http://schemas.openxmlformats.org/officeDocument/2006/relationships/hyperlink" Target="https://drive.google.com/file/d/1oidTQvbYYr9E_r5QpJQ4_ChE2QZYGqwu/view?usp=drivesdk" TargetMode="External"/><Relationship Id="rId3" Type="http://schemas.openxmlformats.org/officeDocument/2006/relationships/hyperlink" Target="https://drive.google.com/file/d/1W9Fy8z1hWSMDv7tcpLGtmPPvb85l4l67/view?usp=drivesdk" TargetMode="External"/><Relationship Id="rId149" Type="http://schemas.openxmlformats.org/officeDocument/2006/relationships/hyperlink" Target="https://drive.google.com/file/d/1Eaqx9EWaqZ9QKFvtgEjSf1OH0v-fotPS/view?usp=drive_link" TargetMode="External"/><Relationship Id="rId4" Type="http://schemas.openxmlformats.org/officeDocument/2006/relationships/hyperlink" Target="https://drive.google.com/file/d/1Wm6uIxCaBKd1xLMMABx5TWhmf1ceuDef/view?usp=drive_link" TargetMode="External"/><Relationship Id="rId148" Type="http://schemas.openxmlformats.org/officeDocument/2006/relationships/hyperlink" Target="https://drive.google.com/drive/folders/19r7Cl5nUN2M2MKhSE7bGX8tAGaPZ57JC" TargetMode="External"/><Relationship Id="rId9" Type="http://schemas.openxmlformats.org/officeDocument/2006/relationships/hyperlink" Target="https://drive.google.com/file/d/1cIgg449V7hr7PwJdcH9hBPLNw7NVBI61/view?usp=drivesdk" TargetMode="External"/><Relationship Id="rId143" Type="http://schemas.openxmlformats.org/officeDocument/2006/relationships/hyperlink" Target="https://drive.google.com/file/d/1L2HeacFitfJzYYLnhEHSiZpRNZi6DIfH/view?usp=drivesdk" TargetMode="External"/><Relationship Id="rId142" Type="http://schemas.openxmlformats.org/officeDocument/2006/relationships/hyperlink" Target="https://drive.google.com/drive/folders/1w3AotyxcLiwjWuZcnqdtSFTGCadiF0xD?usp=sharing" TargetMode="External"/><Relationship Id="rId141" Type="http://schemas.openxmlformats.org/officeDocument/2006/relationships/hyperlink" Target="https://drive.google.com/drive/folders/1yVRF9S8gmJh2aANEg8KX6ndxm6WfzhOc?usp=sharing" TargetMode="External"/><Relationship Id="rId140" Type="http://schemas.openxmlformats.org/officeDocument/2006/relationships/hyperlink" Target="https://drive.google.com/file/d/1K8Bi3qh64CvDS9EXYN8fxBMknWkIhU7a/view?usp=drive_link" TargetMode="External"/><Relationship Id="rId5" Type="http://schemas.openxmlformats.org/officeDocument/2006/relationships/hyperlink" Target="https://drive.google.com/file/d/1W12YEq3GjE_L-y-bTkeot7UzdvOLJSjt/view?usp=sharing" TargetMode="External"/><Relationship Id="rId147" Type="http://schemas.openxmlformats.org/officeDocument/2006/relationships/hyperlink" Target="https://drive.google.com/file/d/1-BbTbD6dRGBlX3AWGJ92R7ATswHSzRJr/view?usp=drivesdk" TargetMode="External"/><Relationship Id="rId6" Type="http://schemas.openxmlformats.org/officeDocument/2006/relationships/hyperlink" Target="https://drive.google.com/file/d/1-TaIQ-qTH3qR6Y29OSSEaY-clgJR9eLz/view?usp=drivesdk" TargetMode="External"/><Relationship Id="rId146" Type="http://schemas.openxmlformats.org/officeDocument/2006/relationships/hyperlink" Target="https://drive.google.com/drive/folders/11IqJDpjcTXnE4CSXbzC3pwb5BIKVYs--?usp=drive_link" TargetMode="External"/><Relationship Id="rId7" Type="http://schemas.openxmlformats.org/officeDocument/2006/relationships/hyperlink" Target="https://drive.google.com/file/d/1n2WAyt9F20OXDGt_kHtZrYIWrFHd46Gv/view?usp=drive_link" TargetMode="External"/><Relationship Id="rId145" Type="http://schemas.openxmlformats.org/officeDocument/2006/relationships/hyperlink" Target="https://drive.google.com/drive/folders/1v7ET-0MLyK3nfkDv6QSCOQu7jdaH58zl" TargetMode="External"/><Relationship Id="rId8" Type="http://schemas.openxmlformats.org/officeDocument/2006/relationships/hyperlink" Target="https://drive.google.com/file/d/1umtXJUYRtnAmBG3GAHtW9vh-Klt3ydSg/view?usp=drivesdk" TargetMode="External"/><Relationship Id="rId144" Type="http://schemas.openxmlformats.org/officeDocument/2006/relationships/hyperlink" Target="https://drive.google.com/file/d/143JHDzse3sObZEzbFHQZvZdWWfCEdKTl/view?usp=drivesdk" TargetMode="External"/><Relationship Id="rId139" Type="http://schemas.openxmlformats.org/officeDocument/2006/relationships/hyperlink" Target="https://drive.google.com/file/d/1YlN9LWOGX_duy7lpVzaDTpDDBGlh7HwO/view?usp=drivesdk" TargetMode="External"/><Relationship Id="rId138" Type="http://schemas.openxmlformats.org/officeDocument/2006/relationships/hyperlink" Target="https://drive.google.com/file/d/1xC1-O8NQibAtMRCBDo8VBwZEXn2Edt3L/view?usp=drivesdk" TargetMode="External"/><Relationship Id="rId137" Type="http://schemas.openxmlformats.org/officeDocument/2006/relationships/hyperlink" Target="https://drive.google.com/drive/folders/1jt4YLBNVmmQlbLqan48uzpTgjZJgPJtc" TargetMode="External"/><Relationship Id="rId132" Type="http://schemas.openxmlformats.org/officeDocument/2006/relationships/hyperlink" Target="https://drive.google.com/file/d/125S5BykyAsUYhePZcozF54aMpBkwCf9m/view?usp=drivesdk" TargetMode="External"/><Relationship Id="rId131" Type="http://schemas.openxmlformats.org/officeDocument/2006/relationships/hyperlink" Target="https://drive.google.com/drive/folders/1-40u8UNH_SNeIkwr8FZ6hdjDyNuH11WZ" TargetMode="External"/><Relationship Id="rId130" Type="http://schemas.openxmlformats.org/officeDocument/2006/relationships/hyperlink" Target="https://drive.google.com/file/d/10gR1poUJUv4Bp7RvR9-QMDkoqIoCFID6/view?usp=drivesdk" TargetMode="External"/><Relationship Id="rId136" Type="http://schemas.openxmlformats.org/officeDocument/2006/relationships/hyperlink" Target="https://drive.google.com/drive/folders/1GuUofoo8Ml4RxgfNRLC35L22Cqhy-kvo?usp=drive_link" TargetMode="External"/><Relationship Id="rId135" Type="http://schemas.openxmlformats.org/officeDocument/2006/relationships/hyperlink" Target="https://drive.google.com/folderview?id=1-GJrqYOfO4bnWQzG1X4FXH_EjpFWvBSi" TargetMode="External"/><Relationship Id="rId134" Type="http://schemas.openxmlformats.org/officeDocument/2006/relationships/hyperlink" Target="https://drive.google.com/file/d/12O1DB7FIoqIZRTC1SggA8lB7Wtp7A1WW/view?usp=drivesdk" TargetMode="External"/><Relationship Id="rId133" Type="http://schemas.openxmlformats.org/officeDocument/2006/relationships/hyperlink" Target="https://www.youtube.com/watch?v=jM1e_5OwKnw" TargetMode="External"/><Relationship Id="rId172" Type="http://schemas.openxmlformats.org/officeDocument/2006/relationships/hyperlink" Target="https://drive.google.com/drive/folders/18vJaaPkf_N1kQFEIOq34K1CHZlOV1Yxr" TargetMode="External"/><Relationship Id="rId171" Type="http://schemas.openxmlformats.org/officeDocument/2006/relationships/hyperlink" Target="https://drive.google.com/drive/folders/1sDPOjTor3XOExzch1Qzi6KmtuS5XvMav?usp=drive_link" TargetMode="External"/><Relationship Id="rId170" Type="http://schemas.openxmlformats.org/officeDocument/2006/relationships/hyperlink" Target="https://drive.google.com/drive/folders/1zI1VsvS3r7N2xgGHzHSOeXsPBlYpL9ku?usp=sharing" TargetMode="External"/><Relationship Id="rId165" Type="http://schemas.openxmlformats.org/officeDocument/2006/relationships/hyperlink" Target="https://drive.google.com/file/d/1q-2IZ9iExO_p1ito2WG__QJ0JhY5ERou/view?usp=drivesdk" TargetMode="External"/><Relationship Id="rId164" Type="http://schemas.openxmlformats.org/officeDocument/2006/relationships/hyperlink" Target="https://drive.google.com/drive/folders/18L-lFRallenmFr2eSdMYor8T3gFby5iv?usp=sharing" TargetMode="External"/><Relationship Id="rId163" Type="http://schemas.openxmlformats.org/officeDocument/2006/relationships/hyperlink" Target="https://drive.google.com/drive/folders/1ziBRYwAgtkkyPnTwpaQQlUVLoINNFHrH" TargetMode="External"/><Relationship Id="rId162" Type="http://schemas.openxmlformats.org/officeDocument/2006/relationships/hyperlink" Target="https://youtu.be/RtFvDOOgoqM" TargetMode="External"/><Relationship Id="rId169" Type="http://schemas.openxmlformats.org/officeDocument/2006/relationships/hyperlink" Target="https://drive.google.com/drive/folders/137kIPlKQmFYB8LTfhzVwbj1J2Vc6niis?usp=sharing" TargetMode="External"/><Relationship Id="rId168" Type="http://schemas.openxmlformats.org/officeDocument/2006/relationships/hyperlink" Target="https://drive.google.com/drive/folders/1ow4-6NaDSh-0U4S7plIc-icO8HYC61WV?usp=sharing" TargetMode="External"/><Relationship Id="rId167" Type="http://schemas.openxmlformats.org/officeDocument/2006/relationships/hyperlink" Target="https://drive.google.com/drive/folders/1lbHZOdolmlsxx6yX2iLAARnS1OT7OdSP" TargetMode="External"/><Relationship Id="rId166" Type="http://schemas.openxmlformats.org/officeDocument/2006/relationships/hyperlink" Target="https://drive.google.com/drive/folders/1LUwVcKfRJZTw2XbLLprTSDJ04eWDmd0c?usp=sharing" TargetMode="External"/><Relationship Id="rId161" Type="http://schemas.openxmlformats.org/officeDocument/2006/relationships/hyperlink" Target="https://drive.google.com/drive/folders/15ZPYQ3Clfe0EygnIfgBgzYEpRIik_sBB?usp=sharing" TargetMode="External"/><Relationship Id="rId160" Type="http://schemas.openxmlformats.org/officeDocument/2006/relationships/hyperlink" Target="https://youtu.be/yymDyHaEmW0?si=6tkWnWhAcI23Xxf8" TargetMode="External"/><Relationship Id="rId159" Type="http://schemas.openxmlformats.org/officeDocument/2006/relationships/hyperlink" Target="https://drive.google.com/drive/folders/18yBJOjtpw6PsG4DRETVg2yP5SJnmcY39?usp=sharing" TargetMode="External"/><Relationship Id="rId154" Type="http://schemas.openxmlformats.org/officeDocument/2006/relationships/hyperlink" Target="https://drive.google.com/drive/folders/1hp2AsPIKeEgMhUWbzwgDRHlp34wSTNCN?usp=sharing" TargetMode="External"/><Relationship Id="rId153" Type="http://schemas.openxmlformats.org/officeDocument/2006/relationships/hyperlink" Target="https://drive.google.com/drive/folders/1cJkn_IoYOOXnOYMya1m1-G4ZZwiFqF5_" TargetMode="External"/><Relationship Id="rId152" Type="http://schemas.openxmlformats.org/officeDocument/2006/relationships/hyperlink" Target="https://drive.google.com/drive/folders/1nSG76BaQdtMG-CDvZEJRGPQJe22CUPnC" TargetMode="External"/><Relationship Id="rId151" Type="http://schemas.openxmlformats.org/officeDocument/2006/relationships/hyperlink" Target="https://drive.google.com/file/d/14HJ3UJHAzqXiOJWas24_Koh5HDncUtR-/view?usp=sharing" TargetMode="External"/><Relationship Id="rId158" Type="http://schemas.openxmlformats.org/officeDocument/2006/relationships/hyperlink" Target="https://drive.google.com/drive/folders/1mjoMheW0r7Ofaf4cfqv62KvsYys3__xT" TargetMode="External"/><Relationship Id="rId157" Type="http://schemas.openxmlformats.org/officeDocument/2006/relationships/hyperlink" Target="https://drive.google.com/drive/folders/1ZMdpKDuNX2Ug5GuQm0IKJcqbtSXsXuoq?usp=sharing" TargetMode="External"/><Relationship Id="rId156" Type="http://schemas.openxmlformats.org/officeDocument/2006/relationships/hyperlink" Target="https://drive.google.com/file/d/1nT111QsyrXyp_zYgfzUpVxBvNOXr5vjm/view?usp=drivesdk" TargetMode="External"/><Relationship Id="rId155" Type="http://schemas.openxmlformats.org/officeDocument/2006/relationships/hyperlink" Target="https://drive.google.com/drive/folders/11lA10UXXoYhzvsfhUICgbtGtbGv8eSte" TargetMode="External"/><Relationship Id="rId40" Type="http://schemas.openxmlformats.org/officeDocument/2006/relationships/hyperlink" Target="https://youtu.be/oP0RAgZwB20?si=hO9OzKPNJI9RBPI1" TargetMode="External"/><Relationship Id="rId42" Type="http://schemas.openxmlformats.org/officeDocument/2006/relationships/hyperlink" Target="https://drive.google.com/file/d/1xOPDBiutDsUcljQkrhY4_4Ho6vGNem5I/view?usp=drivesdk" TargetMode="External"/><Relationship Id="rId41" Type="http://schemas.openxmlformats.org/officeDocument/2006/relationships/hyperlink" Target="https://drive.google.com/drive/folders/13EBQ6zkg47_cYMeEfaosw1H8pEf7UVeF?usp=sharing" TargetMode="External"/><Relationship Id="rId44" Type="http://schemas.openxmlformats.org/officeDocument/2006/relationships/hyperlink" Target="https://drive.google.com/file/d/1ety0eqKXa3XiT4hbU_OfMRCPP9DjozpX/view?usp=sharing" TargetMode="External"/><Relationship Id="rId43" Type="http://schemas.openxmlformats.org/officeDocument/2006/relationships/hyperlink" Target="https://drive.google.com/file/d/1iSiR6l-NAhQDC8BDga9qElowr2pmcdmq/view?usp=drivesdk" TargetMode="External"/><Relationship Id="rId46" Type="http://schemas.openxmlformats.org/officeDocument/2006/relationships/hyperlink" Target="https://drive.google.com/file/d/1Csp-KkryWS8OW0y5WtdeB1RAF5D19SxY/view?usp=sharing" TargetMode="External"/><Relationship Id="rId45" Type="http://schemas.openxmlformats.org/officeDocument/2006/relationships/hyperlink" Target="https://drive.google.com/file/d/1MCBD--uL26st95zUhkgQjZsGVv2OFcCm/view?usp=drivesdk" TargetMode="External"/><Relationship Id="rId48" Type="http://schemas.openxmlformats.org/officeDocument/2006/relationships/hyperlink" Target="https://youtu.be/p6vnqpID7e8?feature=shared" TargetMode="External"/><Relationship Id="rId47" Type="http://schemas.openxmlformats.org/officeDocument/2006/relationships/hyperlink" Target="https://drive.google.com/file/d/1inWgsc02ZaqNB70EC2EVK0FdqyB57gDq/view?usp=drivesdk" TargetMode="External"/><Relationship Id="rId49" Type="http://schemas.openxmlformats.org/officeDocument/2006/relationships/hyperlink" Target="https://www.youtube.com/watch?v=Y7RSD79zK0M" TargetMode="External"/><Relationship Id="rId31" Type="http://schemas.openxmlformats.org/officeDocument/2006/relationships/hyperlink" Target="https://drive.google.com/file/d/1-SETGpp9B0XD1g83-CBJArNMGexKzuCJ/view?usp=drivesdk" TargetMode="External"/><Relationship Id="rId30" Type="http://schemas.openxmlformats.org/officeDocument/2006/relationships/hyperlink" Target="https://drive.google.com/file/d/1Y1HflIYtf8a__N_hRkDkNxk37uHu01vn/view?usp=drive_link" TargetMode="External"/><Relationship Id="rId33" Type="http://schemas.openxmlformats.org/officeDocument/2006/relationships/hyperlink" Target="https://drive.google.com/file/d/1esCIwzUph4H8JVvdlxBZpkGt2mgfGEOw/view?usp=sharing" TargetMode="External"/><Relationship Id="rId32" Type="http://schemas.openxmlformats.org/officeDocument/2006/relationships/hyperlink" Target="https://drive.google.com/drive/folders/17MT469v6DaHmpoLFdWBe241N_dObmepV?usp=drive_link" TargetMode="External"/><Relationship Id="rId35" Type="http://schemas.openxmlformats.org/officeDocument/2006/relationships/hyperlink" Target="https://drive.google.com/drive/folders/1YLcx8j3x4rEq2EPc1oUEnY0ns2CZx521" TargetMode="External"/><Relationship Id="rId34" Type="http://schemas.openxmlformats.org/officeDocument/2006/relationships/hyperlink" Target="https://drive.google.com/file/d/16iPyUf7iTQQhSLQ91kRa-Q5r3R0NU1Zz/view?usp=drive_link" TargetMode="External"/><Relationship Id="rId37" Type="http://schemas.openxmlformats.org/officeDocument/2006/relationships/hyperlink" Target="https://drive.google.com/file/d/1cmV4eplHOudpvjZyn_HVJK6lNiw9g58G/view?usp=drivesdk" TargetMode="External"/><Relationship Id="rId36" Type="http://schemas.openxmlformats.org/officeDocument/2006/relationships/hyperlink" Target="https://drive.google.com/file/d/1g0DJjf0-Ir1o_hN675z6JetJWDctZMtK/view?usp=drive_link" TargetMode="External"/><Relationship Id="rId39" Type="http://schemas.openxmlformats.org/officeDocument/2006/relationships/hyperlink" Target="https://drive.google.com/file/d/1Z0OtvaaPj_hoVvHlUmcOKq1RJZ8us2f0/view?usp=sharing" TargetMode="External"/><Relationship Id="rId38" Type="http://schemas.openxmlformats.org/officeDocument/2006/relationships/hyperlink" Target="https://drive.google.com/file/d/1CFs00UBUQCekRLavWxUV47wLbsqjWAt5/view?usp=sharing" TargetMode="External"/><Relationship Id="rId20" Type="http://schemas.openxmlformats.org/officeDocument/2006/relationships/hyperlink" Target="https://drive.google.com/file/d/1ar4kGy1qfg_uktfh803TTJLH1ex1jIjx/view?usp=sharing" TargetMode="External"/><Relationship Id="rId22" Type="http://schemas.openxmlformats.org/officeDocument/2006/relationships/hyperlink" Target="https://drive.google.com/file/d/1Ufyc9tWS1ANuf-f0gjQrhNhNSwyNN7Ih/view?usp=drivesdk" TargetMode="External"/><Relationship Id="rId21" Type="http://schemas.openxmlformats.org/officeDocument/2006/relationships/hyperlink" Target="https://drive.google.com/file/d/1sTg0GXfA0ou2D4E9TCTn9o4nXdvK1QW9/view?usp=sharing" TargetMode="External"/><Relationship Id="rId24" Type="http://schemas.openxmlformats.org/officeDocument/2006/relationships/hyperlink" Target="https://drive.google.com/file/d/15q8UosXFDYh3syfvPaoLfg-s64HJpX-M/view?usp=drivesdk" TargetMode="External"/><Relationship Id="rId23" Type="http://schemas.openxmlformats.org/officeDocument/2006/relationships/hyperlink" Target="https://drive.google.com/file/d/1LqTRWW3H2LxmnAH_IaS6gp1Fb_Cf23vf/view?usp=drivesdk" TargetMode="External"/><Relationship Id="rId26" Type="http://schemas.openxmlformats.org/officeDocument/2006/relationships/hyperlink" Target="https://drive.google.com/file/d/172f0M3H2gpFfR__p6zpeCKTzUdDjy8Bp/view?usp=drivesdk" TargetMode="External"/><Relationship Id="rId25" Type="http://schemas.openxmlformats.org/officeDocument/2006/relationships/hyperlink" Target="https://drive.google.com/drive/folders/1PqLz8RYnnSg7ZDxnd7U7A6x_JUgroK7k" TargetMode="External"/><Relationship Id="rId28" Type="http://schemas.openxmlformats.org/officeDocument/2006/relationships/hyperlink" Target="https://youtu.be/37xNnZIRYh8?si=ZntzwVImPe4feJBs" TargetMode="External"/><Relationship Id="rId27" Type="http://schemas.openxmlformats.org/officeDocument/2006/relationships/hyperlink" Target="https://drive.google.com/file/d/1-Po-XTK9UlujepB_GgEvK8kp6CHoC-3E/view?usp=drivesdk" TargetMode="External"/><Relationship Id="rId29" Type="http://schemas.openxmlformats.org/officeDocument/2006/relationships/hyperlink" Target="https://drive.google.com/file/d/1-hu-TQKdbX2yJqHvYDuEs4clAxm-Zpym/view?usp=drivesdk" TargetMode="External"/><Relationship Id="rId11" Type="http://schemas.openxmlformats.org/officeDocument/2006/relationships/hyperlink" Target="https://drive.google.com/file/d/1-73woSPD2luYwLob-jUd24ImGpWn3Os5/view?usp=drive_link" TargetMode="External"/><Relationship Id="rId10" Type="http://schemas.openxmlformats.org/officeDocument/2006/relationships/hyperlink" Target="https://drive.google.com/file/d/1GQENiDMv0dD3I-c0kM8Drtvu50DBv0Vv/view?usp=sharing" TargetMode="External"/><Relationship Id="rId13" Type="http://schemas.openxmlformats.org/officeDocument/2006/relationships/hyperlink" Target="https://drive.google.com/drive/folders/10h0bICv1sbwM8H39qnDBJjpkWu_Bj5lc?usp=share_link" TargetMode="External"/><Relationship Id="rId12" Type="http://schemas.openxmlformats.org/officeDocument/2006/relationships/hyperlink" Target="https://drive.google.com/drive/folders/10h0bICv1sbwM8H39qnDBJjpkWu_Bj5lc?usp=share_link" TargetMode="External"/><Relationship Id="rId15" Type="http://schemas.openxmlformats.org/officeDocument/2006/relationships/hyperlink" Target="https://drive.google.com/file/d/18IhcwPWDtcUg9_pBLGWNVBKS261-qceu/view?usp=drivesdk" TargetMode="External"/><Relationship Id="rId14" Type="http://schemas.openxmlformats.org/officeDocument/2006/relationships/hyperlink" Target="https://drive.google.com/drive/folders/11AM3M-pMv6xsy4fEdku3wpgYdWZ-b-S9" TargetMode="External"/><Relationship Id="rId17" Type="http://schemas.openxmlformats.org/officeDocument/2006/relationships/hyperlink" Target="https://drive.google.com/file/d/19VB4oC8gH9T2JoGpnp6RBho_vfo-ZthB/view?usp=sharing" TargetMode="External"/><Relationship Id="rId16" Type="http://schemas.openxmlformats.org/officeDocument/2006/relationships/hyperlink" Target="https://drive.google.com/file/d/1RQT-PNJMzKqPTQ6YxYdTfSZAVuSsTTcE/view" TargetMode="External"/><Relationship Id="rId19" Type="http://schemas.openxmlformats.org/officeDocument/2006/relationships/hyperlink" Target="https://drive.google.com/file/d/1-4bh_3Gsx8QMHDML1RTcjQU860Yb8vUF/view?usp=drivesdk" TargetMode="External"/><Relationship Id="rId18" Type="http://schemas.openxmlformats.org/officeDocument/2006/relationships/hyperlink" Target="https://drive.google.com/drive/folders/1MSCACZOM7BzVsQwuJ0JlJxgh0BU8L-UG" TargetMode="External"/><Relationship Id="rId84" Type="http://schemas.openxmlformats.org/officeDocument/2006/relationships/hyperlink" Target="https://drive.google.com/drive/folders/1HSEr75Zc8RhUxysY7jW4NqvKaxmcwt7C?usp=sharing" TargetMode="External"/><Relationship Id="rId83" Type="http://schemas.openxmlformats.org/officeDocument/2006/relationships/hyperlink" Target="https://youtu.be/hacGCThujds?si=TyXtnwvGHmLHWeEi" TargetMode="External"/><Relationship Id="rId86" Type="http://schemas.openxmlformats.org/officeDocument/2006/relationships/hyperlink" Target="https://drive.google.com/file/d/1HOO4AhlgFuNZ7xAZC4wNngOPjGlzNUe2/view?usp=sharing" TargetMode="External"/><Relationship Id="rId85" Type="http://schemas.openxmlformats.org/officeDocument/2006/relationships/hyperlink" Target="https://drive.google.com/file/d/1ejoFKKYvBRZady_u6WBtR887yBw_aqnX/view?usp=drivesdk" TargetMode="External"/><Relationship Id="rId88" Type="http://schemas.openxmlformats.org/officeDocument/2006/relationships/hyperlink" Target="https://drive.google.com/file/d/17FdJmY2Q_rOwdCw03xhjj_qUQHZs8Ubh/view?usp=drivesdk" TargetMode="External"/><Relationship Id="rId87" Type="http://schemas.openxmlformats.org/officeDocument/2006/relationships/hyperlink" Target="https://drive.google.com/drive/folders/1YILji-NEk9EOr82JBqJsQHRVAbvbUghJ" TargetMode="External"/><Relationship Id="rId89" Type="http://schemas.openxmlformats.org/officeDocument/2006/relationships/hyperlink" Target="https://drive.google.com/file/d/1BRliNG08XfeSGbcZmOIvGmwpGeM8FGuB/view?usp=drivesdk" TargetMode="External"/><Relationship Id="rId80" Type="http://schemas.openxmlformats.org/officeDocument/2006/relationships/hyperlink" Target="https://drive.google.com/drive/folders/1jF5iXvAak7HvSCd1b7rBtYYGGnJAKMtV?usp=sharing" TargetMode="External"/><Relationship Id="rId82" Type="http://schemas.openxmlformats.org/officeDocument/2006/relationships/hyperlink" Target="https://drive.google.com/file/d/1zUFHU7edYhhn5rtoUV5i6yHLXhfx_YPt/view?usp=drivesdk" TargetMode="External"/><Relationship Id="rId81" Type="http://schemas.openxmlformats.org/officeDocument/2006/relationships/hyperlink" Target="https://drive.google.com/drive/folders/1OklC5H6FRFDLospoDAPORQMtrGaZiUSx" TargetMode="External"/><Relationship Id="rId73" Type="http://schemas.openxmlformats.org/officeDocument/2006/relationships/hyperlink" Target="https://youtu.be/E2hjZFZTX5U" TargetMode="External"/><Relationship Id="rId72" Type="http://schemas.openxmlformats.org/officeDocument/2006/relationships/hyperlink" Target="https://drive.google.com/drive/folders/1h5D1OR-dlUErQydDQd5Q2HbzWDvq1noG?usp=drive_link" TargetMode="External"/><Relationship Id="rId75" Type="http://schemas.openxmlformats.org/officeDocument/2006/relationships/hyperlink" Target="https://drive.google.com/drive/u/1/folders/12y91230r5HxHxaki4ppVhWjU1psogudU" TargetMode="External"/><Relationship Id="rId74" Type="http://schemas.openxmlformats.org/officeDocument/2006/relationships/hyperlink" Target="https://drive.google.com/file/d/1Fk2iDKXorKUI_KKNxIOx6us3Z02nTHO1/view?usp=drivesdk" TargetMode="External"/><Relationship Id="rId77" Type="http://schemas.openxmlformats.org/officeDocument/2006/relationships/hyperlink" Target="https://drive.google.com/drive/folders/1gvYo2u1WJg-VnSw1byRSjpOT3TklJbdK?usp=sharing" TargetMode="External"/><Relationship Id="rId76" Type="http://schemas.openxmlformats.org/officeDocument/2006/relationships/hyperlink" Target="https://youtu.be/yymDyHaEmW0?si=jEo8ZHrAz__mlaUj" TargetMode="External"/><Relationship Id="rId79" Type="http://schemas.openxmlformats.org/officeDocument/2006/relationships/hyperlink" Target="https://drive.google.com/file/d/1e3QMm77HgNls5npfBunclbid-2paBVp5/view?usp=sharing" TargetMode="External"/><Relationship Id="rId78" Type="http://schemas.openxmlformats.org/officeDocument/2006/relationships/hyperlink" Target="https://drive.google.com/file/d/1TaOLElal1yMWcoRJCkSbcKTQjb-0XBpq/view?usp=drivesdk" TargetMode="External"/><Relationship Id="rId71" Type="http://schemas.openxmlformats.org/officeDocument/2006/relationships/hyperlink" Target="https://drive.google.com/file/d/1jfu9QLcFkUIRToh11Ezjc2rHHgjxXIzl/view?usp=drivesdk" TargetMode="External"/><Relationship Id="rId70" Type="http://schemas.openxmlformats.org/officeDocument/2006/relationships/hyperlink" Target="https://youtu.be/YU--_bdMJB8?si=2NrVWMbImfOQM6Fu" TargetMode="External"/><Relationship Id="rId62" Type="http://schemas.openxmlformats.org/officeDocument/2006/relationships/hyperlink" Target="https://drive.google.com/drive/folders/18xJQ-3eECT_D55nBI5qwt1501GH2FG3T" TargetMode="External"/><Relationship Id="rId61" Type="http://schemas.openxmlformats.org/officeDocument/2006/relationships/hyperlink" Target="https://drive.google.com/drive/my-drive?hl=ID" TargetMode="External"/><Relationship Id="rId64" Type="http://schemas.openxmlformats.org/officeDocument/2006/relationships/hyperlink" Target="https://drive.google.com/file/d/1BBFQYrvyABa77U-eHoNHLElDztglLySm/view?usp=sharing" TargetMode="External"/><Relationship Id="rId63" Type="http://schemas.openxmlformats.org/officeDocument/2006/relationships/hyperlink" Target="https://drive.google.com/file/d/19VmPXQZthQlw0DZ-snxETmPub7V5d3RE/view?usp=sharing" TargetMode="External"/><Relationship Id="rId66" Type="http://schemas.openxmlformats.org/officeDocument/2006/relationships/hyperlink" Target="https://drive.google.com/file/d/1h63cWRCshoOEWZoma2HqgpkbKwWhXdk_/view?usp=sharing" TargetMode="External"/><Relationship Id="rId65" Type="http://schemas.openxmlformats.org/officeDocument/2006/relationships/hyperlink" Target="https://drive.google.com/file/d/1r9JITidVHNof3WzYhgjA9Q3Vf5GMZNES/view?usp=sharing" TargetMode="External"/><Relationship Id="rId68" Type="http://schemas.openxmlformats.org/officeDocument/2006/relationships/hyperlink" Target="https://drive.google.com/file/d/1AfQy3sXG0vwWQZi-bW91KmA1x5v2byR0/view?usp=drivesdk" TargetMode="External"/><Relationship Id="rId67" Type="http://schemas.openxmlformats.org/officeDocument/2006/relationships/hyperlink" Target="https://drive.google.com/file/d/17NLrI4FRBXVVXFTkiFWHEn8bkZGr1-yx/view?usp=drivesdk" TargetMode="External"/><Relationship Id="rId60" Type="http://schemas.openxmlformats.org/officeDocument/2006/relationships/hyperlink" Target="https://drive.google.com/drive/folders/1ivwzR2JDK4q_x0tqQolTURpCN7w-aTLV?usp=sharing" TargetMode="External"/><Relationship Id="rId69" Type="http://schemas.openxmlformats.org/officeDocument/2006/relationships/hyperlink" Target="https://drive.google.com/file/d/1K14cG90SuffnJXjKhSAEWNFBzQd_EaEV/view?usp=drive_link" TargetMode="External"/><Relationship Id="rId51" Type="http://schemas.openxmlformats.org/officeDocument/2006/relationships/hyperlink" Target="https://drive.google.com/file/d/1kebzPEnjn8cLYmp2y7HRyvi4KUEM7GYg/view?usp=sharing" TargetMode="External"/><Relationship Id="rId50" Type="http://schemas.openxmlformats.org/officeDocument/2006/relationships/hyperlink" Target="https://drive.google.com/file/d/1FO1apaLrvm6OonO-6m8-hbivpRlxH__O/view?usp=sharing" TargetMode="External"/><Relationship Id="rId53" Type="http://schemas.openxmlformats.org/officeDocument/2006/relationships/hyperlink" Target="https://drive.google.com/drive/folders/1q5MXF6g_jehPTrF_zsdYxpbD_t6As1he?usp=sharing" TargetMode="External"/><Relationship Id="rId52" Type="http://schemas.openxmlformats.org/officeDocument/2006/relationships/hyperlink" Target="https://drive.google.com/file/d/1mMPCCJucrwhVb1pZFfaBG31bjo_eTeLu/view?usp=drivesdk" TargetMode="External"/><Relationship Id="rId55" Type="http://schemas.openxmlformats.org/officeDocument/2006/relationships/hyperlink" Target="https://youtu.be/s8eTiNsgjME?si=Q4fka42_T56GGDeF" TargetMode="External"/><Relationship Id="rId54" Type="http://schemas.openxmlformats.org/officeDocument/2006/relationships/hyperlink" Target="https://drive.google.com/file/d/1yLn3_MYhL5-OebQhFTTWudj9syRpa_F4/view?usp=drivesdk" TargetMode="External"/><Relationship Id="rId57" Type="http://schemas.openxmlformats.org/officeDocument/2006/relationships/hyperlink" Target="https://drive.google.com/file/d/1-E6elHxJDXxCqW0udD7ymA9ux653j06c/view?usp=drivesdk" TargetMode="External"/><Relationship Id="rId56" Type="http://schemas.openxmlformats.org/officeDocument/2006/relationships/hyperlink" Target="https://drive.google.com/drive/folders/13TzkmruK-0Q2-WN0ppe31VLzRKgKDuYM" TargetMode="External"/><Relationship Id="rId59" Type="http://schemas.openxmlformats.org/officeDocument/2006/relationships/hyperlink" Target="https://drive.google.com/file/d/1K86AVWNyVATp4KXXM8v8zL54rKLVnO3R/view?usp=sharing" TargetMode="External"/><Relationship Id="rId58" Type="http://schemas.openxmlformats.org/officeDocument/2006/relationships/hyperlink" Target="https://youtu.be/f2RscZki_bA?si=RiXSuUHxcZqgXa9p" TargetMode="External"/><Relationship Id="rId107" Type="http://schemas.openxmlformats.org/officeDocument/2006/relationships/hyperlink" Target="https://drive.google.com/file/d/1hzKaO3nYD5NWhwX-5DNSbiKnTHiwK7T3/view?usp=sharing" TargetMode="External"/><Relationship Id="rId106" Type="http://schemas.openxmlformats.org/officeDocument/2006/relationships/hyperlink" Target="https://drive.google.com/file/d/1PsEE8P50ldpBgaiCWhSJgB8M5EUIE9P9/view?usp=sharing" TargetMode="External"/><Relationship Id="rId105" Type="http://schemas.openxmlformats.org/officeDocument/2006/relationships/hyperlink" Target="https://drive.google.com/file/d/1jg3ondnuMEA_8KcnO4YcAhgyhFZDh5Ht/view?usp=sharing" TargetMode="External"/><Relationship Id="rId104" Type="http://schemas.openxmlformats.org/officeDocument/2006/relationships/hyperlink" Target="https://drive.google.com/file/d/16Anw84sKT-kWKagGdVplXbaZzuZUNtCB/view?usp=drivesdk" TargetMode="External"/><Relationship Id="rId109" Type="http://schemas.openxmlformats.org/officeDocument/2006/relationships/hyperlink" Target="https://drive.google.com/file/d/1yC0TberpZjYSJT8tMqZe7xjRzz9PNz6L/view?usp=sharing" TargetMode="External"/><Relationship Id="rId108" Type="http://schemas.openxmlformats.org/officeDocument/2006/relationships/hyperlink" Target="https://drive.google.com/file/d/1TSMxPbSYCE-wGzRrKrkCo5WhXMY4oK6Y/view?usp=drivesdk" TargetMode="External"/><Relationship Id="rId103" Type="http://schemas.openxmlformats.org/officeDocument/2006/relationships/hyperlink" Target="https://drive.google.com/file/d/1fgjFP7heZob1byrZ08PNTEvBkkmy4XS3/view?usp=drivesdk" TargetMode="External"/><Relationship Id="rId102" Type="http://schemas.openxmlformats.org/officeDocument/2006/relationships/hyperlink" Target="https://drive.google.com/file/d/1czFk9KIDKjBbNttApLuhEDIHMjlZgs_J/view?usp=drivesdk" TargetMode="External"/><Relationship Id="rId101" Type="http://schemas.openxmlformats.org/officeDocument/2006/relationships/hyperlink" Target="https://drive.google.com/drive/folders/1x4MdjO2kQbaHin0MZOtOv52o2Nc0rj9s" TargetMode="External"/><Relationship Id="rId100" Type="http://schemas.openxmlformats.org/officeDocument/2006/relationships/hyperlink" Target="https://drive.google.com/file/d/1mqHsEuBiuAkI9IQqrp9iBb4ZzPvSo2Hw/view?usp=drivesdk" TargetMode="External"/><Relationship Id="rId212" Type="http://schemas.openxmlformats.org/officeDocument/2006/relationships/drawing" Target="../drawings/drawing9.xml"/><Relationship Id="rId211" Type="http://schemas.openxmlformats.org/officeDocument/2006/relationships/hyperlink" Target="https://drive.google.com/drive/folders/14FG_yPqAGC6X1onGD48pZn4hF_PPEfMz?usp=sharing" TargetMode="External"/><Relationship Id="rId210" Type="http://schemas.openxmlformats.org/officeDocument/2006/relationships/hyperlink" Target="https://drive.google.com/file/d/10vZFJJ6HLCd0q9kJFe38K6ug4wCZSDnp/view?usp=sharing" TargetMode="External"/><Relationship Id="rId129" Type="http://schemas.openxmlformats.org/officeDocument/2006/relationships/hyperlink" Target="https://drive.google.com/file/d/14w0SrHcah5KVYYJRxX4GoYuo6Arj4xmT/view?usp=drivesdk" TargetMode="External"/><Relationship Id="rId128" Type="http://schemas.openxmlformats.org/officeDocument/2006/relationships/hyperlink" Target="https://drive.google.com/file/d/1peyjAV00fNYAk1KhW_TI0Z-Tyzfr-pjB/view?usp=drive_link" TargetMode="External"/><Relationship Id="rId127" Type="http://schemas.openxmlformats.org/officeDocument/2006/relationships/hyperlink" Target="https://drive.google.com/file/d/11wzIy8pLPUhf9NFE6RP2ma53wXYu3e4C/view?usp=drivesdk" TargetMode="External"/><Relationship Id="rId126" Type="http://schemas.openxmlformats.org/officeDocument/2006/relationships/hyperlink" Target="https://drive.google.com/drive/folders/1QCz4bH3wjl2517dnFzL0-0FyB0_Hr0eA?usp=sharing" TargetMode="External"/><Relationship Id="rId121" Type="http://schemas.openxmlformats.org/officeDocument/2006/relationships/hyperlink" Target="https://drive.google.com/file/d/1zjqleX_QHQweZRqUCYtwKhGBDTpjIHzs/view?usp=drivesdk" TargetMode="External"/><Relationship Id="rId120" Type="http://schemas.openxmlformats.org/officeDocument/2006/relationships/hyperlink" Target="https://drive.google.com/file/d/1NLVMd2lRd_IZi1QxIH1kT4Jf11wOMHje/view?usp=drivesdk" TargetMode="External"/><Relationship Id="rId125" Type="http://schemas.openxmlformats.org/officeDocument/2006/relationships/hyperlink" Target="https://drive.google.com/file/d/16I25Hub_4HCCCCFxaPj0dOUzgE7zysB3/view?usp=sharing" TargetMode="External"/><Relationship Id="rId124" Type="http://schemas.openxmlformats.org/officeDocument/2006/relationships/hyperlink" Target="https://drive.google.com/drive/folders/1SNu-qFtK02OmLkQZ1AWo5DDVTH46tRqo" TargetMode="External"/><Relationship Id="rId123" Type="http://schemas.openxmlformats.org/officeDocument/2006/relationships/hyperlink" Target="https://drive.google.com/file/d/1wXg4JCK74uFkX830RohLlRR_dRCpabfJ/view?usp=sharing" TargetMode="External"/><Relationship Id="rId122" Type="http://schemas.openxmlformats.org/officeDocument/2006/relationships/hyperlink" Target="https://youtu.be/O5RQVJUPqL4?feature=shared" TargetMode="External"/><Relationship Id="rId95" Type="http://schemas.openxmlformats.org/officeDocument/2006/relationships/hyperlink" Target="https://drive.google.com/file/d/1pM2_9_ydITQwkfilNCICdwxqTh-anOk_/view?usp=drivesdk" TargetMode="External"/><Relationship Id="rId94" Type="http://schemas.openxmlformats.org/officeDocument/2006/relationships/hyperlink" Target="https://drive.google.com/file/d/1pM2_9_ydITQwkfilNCICdwxqTh-anOk_/view?usp=drivesdk" TargetMode="External"/><Relationship Id="rId97" Type="http://schemas.openxmlformats.org/officeDocument/2006/relationships/hyperlink" Target="https://drive.google.com/drive/folders/12gvXc4u-CJvLa9dRi4J6Dv223OV0Uy_c" TargetMode="External"/><Relationship Id="rId96" Type="http://schemas.openxmlformats.org/officeDocument/2006/relationships/hyperlink" Target="https://drive.google.com/file/d/18x7LbrNM7kH5UuTFMQO0X7fNmqaZ7MP4/view?usp=drive_link" TargetMode="External"/><Relationship Id="rId99" Type="http://schemas.openxmlformats.org/officeDocument/2006/relationships/hyperlink" Target="https://drive.google.com/file/d/1egvuICb9Fe5dZ-cPpgczoxhMGrxXWj7x/view?usp=sharing" TargetMode="External"/><Relationship Id="rId98" Type="http://schemas.openxmlformats.org/officeDocument/2006/relationships/hyperlink" Target="https://drive.google.com/drive/folders/10gdRNvHaesOYapEBw9VjuyApTvEMW3oo" TargetMode="External"/><Relationship Id="rId91" Type="http://schemas.openxmlformats.org/officeDocument/2006/relationships/hyperlink" Target="https://drive.google.com/file/d/1e3MIskV95w9vhLcemJFBqQ339QT6D07m/view?usp=drivesdk" TargetMode="External"/><Relationship Id="rId90" Type="http://schemas.openxmlformats.org/officeDocument/2006/relationships/hyperlink" Target="https://drive.google.com/drive/folders/19r7Cl5nUN2M2MKhSE7bGX8tAGaPZ57JC" TargetMode="External"/><Relationship Id="rId93" Type="http://schemas.openxmlformats.org/officeDocument/2006/relationships/hyperlink" Target="https://drive.google.com/file/d/1YRPk_1GTpiCqHQHPgNtic-hvtdop6C8g/view?usp=drivesdk" TargetMode="External"/><Relationship Id="rId92" Type="http://schemas.openxmlformats.org/officeDocument/2006/relationships/hyperlink" Target="https://drive.google.com/file/d/1ZP7zckiKpLuo6ihpZfeBTDIdqQ5XkoCD/view?usp=drive_link" TargetMode="External"/><Relationship Id="rId118" Type="http://schemas.openxmlformats.org/officeDocument/2006/relationships/hyperlink" Target="https://drive.google.com/file/d/1H1b60SDS_e2nuExReA8tKk_zKU2XFb0P/view?usp=sharing" TargetMode="External"/><Relationship Id="rId117" Type="http://schemas.openxmlformats.org/officeDocument/2006/relationships/hyperlink" Target="https://drive.google.com/file/d/14KQVmfuC8MSj2Rmmu4-PodxAX09NV-2t/view?usp=sharing" TargetMode="External"/><Relationship Id="rId116" Type="http://schemas.openxmlformats.org/officeDocument/2006/relationships/hyperlink" Target="https://drive.google.com/file/d/1IwfRx5q1pQ71fp6NaZXiPECFmywaw67T/view?usp=drivesdk" TargetMode="External"/><Relationship Id="rId115" Type="http://schemas.openxmlformats.org/officeDocument/2006/relationships/hyperlink" Target="https://drive.google.com/drive/folders/1BbNrhkBUeXGFB07Zu5rb0FC2-93aesfT?usp=sharing" TargetMode="External"/><Relationship Id="rId119" Type="http://schemas.openxmlformats.org/officeDocument/2006/relationships/hyperlink" Target="https://drive.google.com/drive/folders/1PIdrEpmJ5Ts3AH6xgUsmMf4tQamCydq8?usp=sharing" TargetMode="External"/><Relationship Id="rId110" Type="http://schemas.openxmlformats.org/officeDocument/2006/relationships/hyperlink" Target="https://drive.google.com/file/d/1MDgO8wyA5Ky-V_4yvxhKBLDemJPoL33Z/view?usp=drivesdk" TargetMode="External"/><Relationship Id="rId114" Type="http://schemas.openxmlformats.org/officeDocument/2006/relationships/hyperlink" Target="https://drive.google.com/file/d/15DvaHVYPeSBauHFW_AUm0GxGrFWrx0UA/view?usp=drivesdk" TargetMode="External"/><Relationship Id="rId113" Type="http://schemas.openxmlformats.org/officeDocument/2006/relationships/hyperlink" Target="https://drive.google.com/drive/folders/1ow4-6NaDSh-0U4S7plIc-icO8HYC61WV?usp=sharing" TargetMode="External"/><Relationship Id="rId112" Type="http://schemas.openxmlformats.org/officeDocument/2006/relationships/hyperlink" Target="https://www.youtube.com/watch?v=_aocPMqz-bA&amp;t=352s" TargetMode="External"/><Relationship Id="rId111" Type="http://schemas.openxmlformats.org/officeDocument/2006/relationships/hyperlink" Target="https://drive.google.com/file/d/10nhWSrB9Ujt_hKAXf4doFhwHicSA0Cgt/view?usp=drivesdk" TargetMode="External"/><Relationship Id="rId206" Type="http://schemas.openxmlformats.org/officeDocument/2006/relationships/hyperlink" Target="https://drive.google.com/drive/folders/1M6zYjueC4knG4C45THwrSOKv3fiE93TK?usp=sharing" TargetMode="External"/><Relationship Id="rId205" Type="http://schemas.openxmlformats.org/officeDocument/2006/relationships/hyperlink" Target="https://drive.google.com/drive/folders/1v9Rl1ZkNsT6Jw6hEo64E-fGeNru0Mo2a?usp=sharing" TargetMode="External"/><Relationship Id="rId204" Type="http://schemas.openxmlformats.org/officeDocument/2006/relationships/hyperlink" Target="https://drive.google.com/file/d/1iq8cDdVfuoJxTaGIJK-5C0uFxCjY3984/view?usp=drivesdk" TargetMode="External"/><Relationship Id="rId203" Type="http://schemas.openxmlformats.org/officeDocument/2006/relationships/hyperlink" Target="https://drive.google.com/drive/folders/1IBUHZ570KJFy5CmkAqk3hdSbP9e0B9cp" TargetMode="External"/><Relationship Id="rId209" Type="http://schemas.openxmlformats.org/officeDocument/2006/relationships/hyperlink" Target="https://drive.google.com/drive/folders/1PQQxwZNzVypS3yGp4a0HX6Wmibz9ALEQ" TargetMode="External"/><Relationship Id="rId208" Type="http://schemas.openxmlformats.org/officeDocument/2006/relationships/hyperlink" Target="https://drive.google.com/drive/folders/1ltUU36tlXxgfeMDDdoLQOBEN6rzRAnT4" TargetMode="External"/><Relationship Id="rId207" Type="http://schemas.openxmlformats.org/officeDocument/2006/relationships/hyperlink" Target="https://drive.google.com/drive/folders/19MRaOM80DF038NWPqHaqqcWNbEgyOpsX" TargetMode="External"/><Relationship Id="rId202" Type="http://schemas.openxmlformats.org/officeDocument/2006/relationships/hyperlink" Target="https://drive.google.com/drive/folders/1yCvx2arxXyITby30A4zMMaHb1zIP3NMt?hl=ID" TargetMode="External"/><Relationship Id="rId201" Type="http://schemas.openxmlformats.org/officeDocument/2006/relationships/hyperlink" Target="https://drive.google.com/file/d/1WoZ2dEnTCug0Ziv3_iuegw3MELqpmkZC/view?usp=drivesdk" TargetMode="External"/><Relationship Id="rId200" Type="http://schemas.openxmlformats.org/officeDocument/2006/relationships/hyperlink" Target="https://drive.google.com/file/d/1iCxSV9hd262CkcTCjL23f6n7t7EoV6ur/view?usp=sharing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uns.id/zoom-wawancara-1" TargetMode="External"/><Relationship Id="rId2" Type="http://schemas.openxmlformats.org/officeDocument/2006/relationships/hyperlink" Target="http://uns.id/zoom-wawancara-1" TargetMode="External"/><Relationship Id="rId3" Type="http://schemas.openxmlformats.org/officeDocument/2006/relationships/hyperlink" Target="http://uns.id/zoom-wawancara-1" TargetMode="External"/><Relationship Id="rId4" Type="http://schemas.openxmlformats.org/officeDocument/2006/relationships/hyperlink" Target="http://uns.id/zoom-wawancara-1" TargetMode="External"/><Relationship Id="rId9" Type="http://schemas.openxmlformats.org/officeDocument/2006/relationships/hyperlink" Target="http://uns.id/zoom-wawancara-1" TargetMode="External"/><Relationship Id="rId5" Type="http://schemas.openxmlformats.org/officeDocument/2006/relationships/hyperlink" Target="http://uns.id/zoom-wawancara-1" TargetMode="External"/><Relationship Id="rId6" Type="http://schemas.openxmlformats.org/officeDocument/2006/relationships/hyperlink" Target="http://uns.id/zoom-wawancara-1" TargetMode="External"/><Relationship Id="rId7" Type="http://schemas.openxmlformats.org/officeDocument/2006/relationships/hyperlink" Target="http://uns.id/zoom-wawancara-1" TargetMode="External"/><Relationship Id="rId8" Type="http://schemas.openxmlformats.org/officeDocument/2006/relationships/hyperlink" Target="http://uns.id/zoom-wawancara-1" TargetMode="External"/><Relationship Id="rId40" Type="http://schemas.openxmlformats.org/officeDocument/2006/relationships/hyperlink" Target="http://uns.id/zoom-wawancara-5" TargetMode="External"/><Relationship Id="rId42" Type="http://schemas.openxmlformats.org/officeDocument/2006/relationships/hyperlink" Target="http://uns.id/zoom-wawancara-5" TargetMode="External"/><Relationship Id="rId41" Type="http://schemas.openxmlformats.org/officeDocument/2006/relationships/hyperlink" Target="http://uns.id/zoom-wawancara-5" TargetMode="External"/><Relationship Id="rId44" Type="http://schemas.openxmlformats.org/officeDocument/2006/relationships/hyperlink" Target="http://uns.id/zoom-wawancara-5" TargetMode="External"/><Relationship Id="rId43" Type="http://schemas.openxmlformats.org/officeDocument/2006/relationships/hyperlink" Target="http://uns.id/zoom-wawancara-5" TargetMode="External"/><Relationship Id="rId46" Type="http://schemas.openxmlformats.org/officeDocument/2006/relationships/hyperlink" Target="http://uns.id/zoom-wawancara-6" TargetMode="External"/><Relationship Id="rId45" Type="http://schemas.openxmlformats.org/officeDocument/2006/relationships/hyperlink" Target="http://uns.id/zoom-wawancara-5" TargetMode="External"/><Relationship Id="rId48" Type="http://schemas.openxmlformats.org/officeDocument/2006/relationships/hyperlink" Target="http://uns.id/zoom-wawancara-6" TargetMode="External"/><Relationship Id="rId47" Type="http://schemas.openxmlformats.org/officeDocument/2006/relationships/hyperlink" Target="http://uns.id/zoom-wawancara-6" TargetMode="External"/><Relationship Id="rId49" Type="http://schemas.openxmlformats.org/officeDocument/2006/relationships/hyperlink" Target="http://uns.id/zoom-wawancara-6" TargetMode="External"/><Relationship Id="rId31" Type="http://schemas.openxmlformats.org/officeDocument/2006/relationships/hyperlink" Target="http://uns.id/zoom-wawancara-4" TargetMode="External"/><Relationship Id="rId30" Type="http://schemas.openxmlformats.org/officeDocument/2006/relationships/hyperlink" Target="http://uns.id/zoom-wawancara-4" TargetMode="External"/><Relationship Id="rId33" Type="http://schemas.openxmlformats.org/officeDocument/2006/relationships/hyperlink" Target="http://uns.id/zoom-wawancara-4" TargetMode="External"/><Relationship Id="rId32" Type="http://schemas.openxmlformats.org/officeDocument/2006/relationships/hyperlink" Target="http://uns.id/zoom-wawancara-4" TargetMode="External"/><Relationship Id="rId35" Type="http://schemas.openxmlformats.org/officeDocument/2006/relationships/hyperlink" Target="http://uns.id/zoom-wawancara-4" TargetMode="External"/><Relationship Id="rId34" Type="http://schemas.openxmlformats.org/officeDocument/2006/relationships/hyperlink" Target="http://uns.id/zoom-wawancara-4" TargetMode="External"/><Relationship Id="rId37" Type="http://schemas.openxmlformats.org/officeDocument/2006/relationships/hyperlink" Target="http://uns.id/zoom-wawancara-5" TargetMode="External"/><Relationship Id="rId36" Type="http://schemas.openxmlformats.org/officeDocument/2006/relationships/hyperlink" Target="http://uns.id/zoom-wawancara-4" TargetMode="External"/><Relationship Id="rId39" Type="http://schemas.openxmlformats.org/officeDocument/2006/relationships/hyperlink" Target="http://uns.id/zoom-wawancara-5" TargetMode="External"/><Relationship Id="rId38" Type="http://schemas.openxmlformats.org/officeDocument/2006/relationships/hyperlink" Target="http://uns.id/zoom-wawancara-5" TargetMode="External"/><Relationship Id="rId20" Type="http://schemas.openxmlformats.org/officeDocument/2006/relationships/hyperlink" Target="http://uns.id/zoom-wawancara-3" TargetMode="External"/><Relationship Id="rId22" Type="http://schemas.openxmlformats.org/officeDocument/2006/relationships/hyperlink" Target="http://uns.id/zoom-wawancara-3" TargetMode="External"/><Relationship Id="rId21" Type="http://schemas.openxmlformats.org/officeDocument/2006/relationships/hyperlink" Target="http://uns.id/zoom-wawancara-3" TargetMode="External"/><Relationship Id="rId24" Type="http://schemas.openxmlformats.org/officeDocument/2006/relationships/hyperlink" Target="http://uns.id/zoom-wawancara-3" TargetMode="External"/><Relationship Id="rId23" Type="http://schemas.openxmlformats.org/officeDocument/2006/relationships/hyperlink" Target="http://uns.id/zoom-wawancara-3" TargetMode="External"/><Relationship Id="rId26" Type="http://schemas.openxmlformats.org/officeDocument/2006/relationships/hyperlink" Target="http://uns.id/zoom-wawancara-3" TargetMode="External"/><Relationship Id="rId25" Type="http://schemas.openxmlformats.org/officeDocument/2006/relationships/hyperlink" Target="http://uns.id/zoom-wawancara-3" TargetMode="External"/><Relationship Id="rId28" Type="http://schemas.openxmlformats.org/officeDocument/2006/relationships/hyperlink" Target="http://uns.id/zoom-wawancara-4" TargetMode="External"/><Relationship Id="rId27" Type="http://schemas.openxmlformats.org/officeDocument/2006/relationships/hyperlink" Target="http://uns.id/zoom-wawancara-3" TargetMode="External"/><Relationship Id="rId29" Type="http://schemas.openxmlformats.org/officeDocument/2006/relationships/hyperlink" Target="http://uns.id/zoom-wawancara-4" TargetMode="External"/><Relationship Id="rId11" Type="http://schemas.openxmlformats.org/officeDocument/2006/relationships/hyperlink" Target="http://uns.id/zoom-wawancara-2" TargetMode="External"/><Relationship Id="rId10" Type="http://schemas.openxmlformats.org/officeDocument/2006/relationships/hyperlink" Target="http://uns.id/zoom-wawancara-2" TargetMode="External"/><Relationship Id="rId13" Type="http://schemas.openxmlformats.org/officeDocument/2006/relationships/hyperlink" Target="http://uns.id/zoom-wawancara-2" TargetMode="External"/><Relationship Id="rId12" Type="http://schemas.openxmlformats.org/officeDocument/2006/relationships/hyperlink" Target="http://uns.id/zoom-wawancara-2" TargetMode="External"/><Relationship Id="rId15" Type="http://schemas.openxmlformats.org/officeDocument/2006/relationships/hyperlink" Target="http://uns.id/zoom-wawancara-2" TargetMode="External"/><Relationship Id="rId14" Type="http://schemas.openxmlformats.org/officeDocument/2006/relationships/hyperlink" Target="http://uns.id/zoom-wawancara-2" TargetMode="External"/><Relationship Id="rId17" Type="http://schemas.openxmlformats.org/officeDocument/2006/relationships/hyperlink" Target="http://uns.id/zoom-wawancara-2" TargetMode="External"/><Relationship Id="rId16" Type="http://schemas.openxmlformats.org/officeDocument/2006/relationships/hyperlink" Target="http://uns.id/zoom-wawancara-2" TargetMode="External"/><Relationship Id="rId19" Type="http://schemas.openxmlformats.org/officeDocument/2006/relationships/hyperlink" Target="http://uns.id/zoom-wawancara-3" TargetMode="External"/><Relationship Id="rId18" Type="http://schemas.openxmlformats.org/officeDocument/2006/relationships/hyperlink" Target="http://uns.id/zoom-wawancara-2" TargetMode="External"/><Relationship Id="rId70" Type="http://schemas.openxmlformats.org/officeDocument/2006/relationships/drawing" Target="../drawings/drawing11.xml"/><Relationship Id="rId62" Type="http://schemas.openxmlformats.org/officeDocument/2006/relationships/hyperlink" Target="http://uns.id/zoom-wawancara-8" TargetMode="External"/><Relationship Id="rId61" Type="http://schemas.openxmlformats.org/officeDocument/2006/relationships/hyperlink" Target="http://uns.id/zoom-wawancara-7" TargetMode="External"/><Relationship Id="rId64" Type="http://schemas.openxmlformats.org/officeDocument/2006/relationships/hyperlink" Target="http://uns.id/zoom-wawancara-8" TargetMode="External"/><Relationship Id="rId63" Type="http://schemas.openxmlformats.org/officeDocument/2006/relationships/hyperlink" Target="http://uns.id/zoom-wawancara-8" TargetMode="External"/><Relationship Id="rId66" Type="http://schemas.openxmlformats.org/officeDocument/2006/relationships/hyperlink" Target="http://uns.id/zoom-wawancara-8" TargetMode="External"/><Relationship Id="rId65" Type="http://schemas.openxmlformats.org/officeDocument/2006/relationships/hyperlink" Target="http://uns.id/zoom-wawancara-8" TargetMode="External"/><Relationship Id="rId68" Type="http://schemas.openxmlformats.org/officeDocument/2006/relationships/hyperlink" Target="http://uns.id/zoom-wawancara-8" TargetMode="External"/><Relationship Id="rId67" Type="http://schemas.openxmlformats.org/officeDocument/2006/relationships/hyperlink" Target="http://uns.id/zoom-wawancara-8" TargetMode="External"/><Relationship Id="rId60" Type="http://schemas.openxmlformats.org/officeDocument/2006/relationships/hyperlink" Target="http://uns.id/zoom-wawancara-7" TargetMode="External"/><Relationship Id="rId69" Type="http://schemas.openxmlformats.org/officeDocument/2006/relationships/hyperlink" Target="http://uns.id/zoom-wawancara-8" TargetMode="External"/><Relationship Id="rId51" Type="http://schemas.openxmlformats.org/officeDocument/2006/relationships/hyperlink" Target="http://uns.id/zoom-wawancara-6" TargetMode="External"/><Relationship Id="rId50" Type="http://schemas.openxmlformats.org/officeDocument/2006/relationships/hyperlink" Target="http://uns.id/zoom-wawancara-6" TargetMode="External"/><Relationship Id="rId53" Type="http://schemas.openxmlformats.org/officeDocument/2006/relationships/hyperlink" Target="http://uns.id/zoom-wawancara-6" TargetMode="External"/><Relationship Id="rId52" Type="http://schemas.openxmlformats.org/officeDocument/2006/relationships/hyperlink" Target="http://uns.id/zoom-wawancara-6" TargetMode="External"/><Relationship Id="rId55" Type="http://schemas.openxmlformats.org/officeDocument/2006/relationships/hyperlink" Target="http://uns.id/zoom-wawancara-7" TargetMode="External"/><Relationship Id="rId54" Type="http://schemas.openxmlformats.org/officeDocument/2006/relationships/hyperlink" Target="http://uns.id/zoom-wawancara-7" TargetMode="External"/><Relationship Id="rId57" Type="http://schemas.openxmlformats.org/officeDocument/2006/relationships/hyperlink" Target="http://uns.id/zoom-wawancara-7" TargetMode="External"/><Relationship Id="rId56" Type="http://schemas.openxmlformats.org/officeDocument/2006/relationships/hyperlink" Target="http://uns.id/zoom-wawancara-7" TargetMode="External"/><Relationship Id="rId59" Type="http://schemas.openxmlformats.org/officeDocument/2006/relationships/hyperlink" Target="http://uns.id/zoom-wawancara-7" TargetMode="External"/><Relationship Id="rId58" Type="http://schemas.openxmlformats.org/officeDocument/2006/relationships/hyperlink" Target="http://uns.id/zoom-wawancara-7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uns.id/zoom-wawancara-1" TargetMode="External"/><Relationship Id="rId2" Type="http://schemas.openxmlformats.org/officeDocument/2006/relationships/hyperlink" Target="http://uns.id/zoom-wawancara-1" TargetMode="External"/><Relationship Id="rId3" Type="http://schemas.openxmlformats.org/officeDocument/2006/relationships/hyperlink" Target="http://uns.id/zoom-wawancara-1" TargetMode="External"/><Relationship Id="rId4" Type="http://schemas.openxmlformats.org/officeDocument/2006/relationships/hyperlink" Target="http://uns.id/zoom-wawancara-1" TargetMode="External"/><Relationship Id="rId9" Type="http://schemas.openxmlformats.org/officeDocument/2006/relationships/hyperlink" Target="http://uns.id/zoom-wawancara-1" TargetMode="External"/><Relationship Id="rId5" Type="http://schemas.openxmlformats.org/officeDocument/2006/relationships/hyperlink" Target="http://uns.id/zoom-wawancara-1" TargetMode="External"/><Relationship Id="rId6" Type="http://schemas.openxmlformats.org/officeDocument/2006/relationships/hyperlink" Target="http://uns.id/zoom-wawancara-1" TargetMode="External"/><Relationship Id="rId7" Type="http://schemas.openxmlformats.org/officeDocument/2006/relationships/hyperlink" Target="http://uns.id/zoom-wawancara-1" TargetMode="External"/><Relationship Id="rId8" Type="http://schemas.openxmlformats.org/officeDocument/2006/relationships/hyperlink" Target="http://uns.id/zoom-wawancara-1" TargetMode="External"/><Relationship Id="rId40" Type="http://schemas.openxmlformats.org/officeDocument/2006/relationships/hyperlink" Target="http://uns.id/zoom-wawancara-5" TargetMode="External"/><Relationship Id="rId42" Type="http://schemas.openxmlformats.org/officeDocument/2006/relationships/hyperlink" Target="http://uns.id/zoom-wawancara-5" TargetMode="External"/><Relationship Id="rId41" Type="http://schemas.openxmlformats.org/officeDocument/2006/relationships/hyperlink" Target="http://uns.id/zoom-wawancara-5" TargetMode="External"/><Relationship Id="rId44" Type="http://schemas.openxmlformats.org/officeDocument/2006/relationships/hyperlink" Target="http://uns.id/zoom-wawancara-5" TargetMode="External"/><Relationship Id="rId43" Type="http://schemas.openxmlformats.org/officeDocument/2006/relationships/hyperlink" Target="http://uns.id/zoom-wawancara-5" TargetMode="External"/><Relationship Id="rId46" Type="http://schemas.openxmlformats.org/officeDocument/2006/relationships/hyperlink" Target="http://uns.id/zoom-wawancara-6" TargetMode="External"/><Relationship Id="rId45" Type="http://schemas.openxmlformats.org/officeDocument/2006/relationships/hyperlink" Target="http://uns.id/zoom-wawancara-5" TargetMode="External"/><Relationship Id="rId48" Type="http://schemas.openxmlformats.org/officeDocument/2006/relationships/hyperlink" Target="http://uns.id/zoom-wawancara-6" TargetMode="External"/><Relationship Id="rId47" Type="http://schemas.openxmlformats.org/officeDocument/2006/relationships/hyperlink" Target="http://uns.id/zoom-wawancara-6" TargetMode="External"/><Relationship Id="rId49" Type="http://schemas.openxmlformats.org/officeDocument/2006/relationships/hyperlink" Target="http://uns.id/zoom-wawancara-6" TargetMode="External"/><Relationship Id="rId31" Type="http://schemas.openxmlformats.org/officeDocument/2006/relationships/hyperlink" Target="http://uns.id/zoom-wawancara-4" TargetMode="External"/><Relationship Id="rId30" Type="http://schemas.openxmlformats.org/officeDocument/2006/relationships/hyperlink" Target="http://uns.id/zoom-wawancara-4" TargetMode="External"/><Relationship Id="rId33" Type="http://schemas.openxmlformats.org/officeDocument/2006/relationships/hyperlink" Target="http://uns.id/zoom-wawancara-4" TargetMode="External"/><Relationship Id="rId32" Type="http://schemas.openxmlformats.org/officeDocument/2006/relationships/hyperlink" Target="http://uns.id/zoom-wawancara-4" TargetMode="External"/><Relationship Id="rId35" Type="http://schemas.openxmlformats.org/officeDocument/2006/relationships/hyperlink" Target="http://uns.id/zoom-wawancara-4" TargetMode="External"/><Relationship Id="rId34" Type="http://schemas.openxmlformats.org/officeDocument/2006/relationships/hyperlink" Target="http://uns.id/zoom-wawancara-4" TargetMode="External"/><Relationship Id="rId37" Type="http://schemas.openxmlformats.org/officeDocument/2006/relationships/hyperlink" Target="http://uns.id/zoom-wawancara-5" TargetMode="External"/><Relationship Id="rId36" Type="http://schemas.openxmlformats.org/officeDocument/2006/relationships/hyperlink" Target="http://uns.id/zoom-wawancara-4" TargetMode="External"/><Relationship Id="rId39" Type="http://schemas.openxmlformats.org/officeDocument/2006/relationships/hyperlink" Target="http://uns.id/zoom-wawancara-5" TargetMode="External"/><Relationship Id="rId38" Type="http://schemas.openxmlformats.org/officeDocument/2006/relationships/hyperlink" Target="http://uns.id/zoom-wawancara-5" TargetMode="External"/><Relationship Id="rId20" Type="http://schemas.openxmlformats.org/officeDocument/2006/relationships/hyperlink" Target="http://uns.id/zoom-wawancara-3" TargetMode="External"/><Relationship Id="rId22" Type="http://schemas.openxmlformats.org/officeDocument/2006/relationships/hyperlink" Target="http://uns.id/zoom-wawancara-3" TargetMode="External"/><Relationship Id="rId21" Type="http://schemas.openxmlformats.org/officeDocument/2006/relationships/hyperlink" Target="http://uns.id/zoom-wawancara-3" TargetMode="External"/><Relationship Id="rId24" Type="http://schemas.openxmlformats.org/officeDocument/2006/relationships/hyperlink" Target="http://uns.id/zoom-wawancara-3" TargetMode="External"/><Relationship Id="rId23" Type="http://schemas.openxmlformats.org/officeDocument/2006/relationships/hyperlink" Target="http://uns.id/zoom-wawancara-3" TargetMode="External"/><Relationship Id="rId26" Type="http://schemas.openxmlformats.org/officeDocument/2006/relationships/hyperlink" Target="http://uns.id/zoom-wawancara-3" TargetMode="External"/><Relationship Id="rId25" Type="http://schemas.openxmlformats.org/officeDocument/2006/relationships/hyperlink" Target="http://uns.id/zoom-wawancara-3" TargetMode="External"/><Relationship Id="rId28" Type="http://schemas.openxmlformats.org/officeDocument/2006/relationships/hyperlink" Target="http://uns.id/zoom-wawancara-4" TargetMode="External"/><Relationship Id="rId27" Type="http://schemas.openxmlformats.org/officeDocument/2006/relationships/hyperlink" Target="http://uns.id/zoom-wawancara-3" TargetMode="External"/><Relationship Id="rId29" Type="http://schemas.openxmlformats.org/officeDocument/2006/relationships/hyperlink" Target="http://uns.id/zoom-wawancara-4" TargetMode="External"/><Relationship Id="rId11" Type="http://schemas.openxmlformats.org/officeDocument/2006/relationships/hyperlink" Target="http://uns.id/zoom-wawancara-2" TargetMode="External"/><Relationship Id="rId10" Type="http://schemas.openxmlformats.org/officeDocument/2006/relationships/hyperlink" Target="http://uns.id/zoom-wawancara-2" TargetMode="External"/><Relationship Id="rId13" Type="http://schemas.openxmlformats.org/officeDocument/2006/relationships/hyperlink" Target="http://uns.id/zoom-wawancara-2" TargetMode="External"/><Relationship Id="rId12" Type="http://schemas.openxmlformats.org/officeDocument/2006/relationships/hyperlink" Target="http://uns.id/zoom-wawancara-2" TargetMode="External"/><Relationship Id="rId15" Type="http://schemas.openxmlformats.org/officeDocument/2006/relationships/hyperlink" Target="http://uns.id/zoom-wawancara-2" TargetMode="External"/><Relationship Id="rId14" Type="http://schemas.openxmlformats.org/officeDocument/2006/relationships/hyperlink" Target="http://uns.id/zoom-wawancara-2" TargetMode="External"/><Relationship Id="rId17" Type="http://schemas.openxmlformats.org/officeDocument/2006/relationships/hyperlink" Target="http://uns.id/zoom-wawancara-2" TargetMode="External"/><Relationship Id="rId16" Type="http://schemas.openxmlformats.org/officeDocument/2006/relationships/hyperlink" Target="http://uns.id/zoom-wawancara-2" TargetMode="External"/><Relationship Id="rId19" Type="http://schemas.openxmlformats.org/officeDocument/2006/relationships/hyperlink" Target="http://uns.id/zoom-wawancara-3" TargetMode="External"/><Relationship Id="rId18" Type="http://schemas.openxmlformats.org/officeDocument/2006/relationships/hyperlink" Target="http://uns.id/zoom-wawancara-2" TargetMode="External"/><Relationship Id="rId70" Type="http://schemas.openxmlformats.org/officeDocument/2006/relationships/drawing" Target="../drawings/drawing12.xml"/><Relationship Id="rId62" Type="http://schemas.openxmlformats.org/officeDocument/2006/relationships/hyperlink" Target="http://uns.id/zoom-wawancara-8" TargetMode="External"/><Relationship Id="rId61" Type="http://schemas.openxmlformats.org/officeDocument/2006/relationships/hyperlink" Target="http://uns.id/zoom-wawancara-7" TargetMode="External"/><Relationship Id="rId64" Type="http://schemas.openxmlformats.org/officeDocument/2006/relationships/hyperlink" Target="http://uns.id/zoom-wawancara-8" TargetMode="External"/><Relationship Id="rId63" Type="http://schemas.openxmlformats.org/officeDocument/2006/relationships/hyperlink" Target="http://uns.id/zoom-wawancara-8" TargetMode="External"/><Relationship Id="rId66" Type="http://schemas.openxmlformats.org/officeDocument/2006/relationships/hyperlink" Target="http://uns.id/zoom-wawancara-8" TargetMode="External"/><Relationship Id="rId65" Type="http://schemas.openxmlformats.org/officeDocument/2006/relationships/hyperlink" Target="http://uns.id/zoom-wawancara-8" TargetMode="External"/><Relationship Id="rId68" Type="http://schemas.openxmlformats.org/officeDocument/2006/relationships/hyperlink" Target="http://uns.id/zoom-wawancara-8" TargetMode="External"/><Relationship Id="rId67" Type="http://schemas.openxmlformats.org/officeDocument/2006/relationships/hyperlink" Target="http://uns.id/zoom-wawancara-8" TargetMode="External"/><Relationship Id="rId60" Type="http://schemas.openxmlformats.org/officeDocument/2006/relationships/hyperlink" Target="http://uns.id/zoom-wawancara-7" TargetMode="External"/><Relationship Id="rId69" Type="http://schemas.openxmlformats.org/officeDocument/2006/relationships/hyperlink" Target="http://uns.id/zoom-wawancara-8" TargetMode="External"/><Relationship Id="rId51" Type="http://schemas.openxmlformats.org/officeDocument/2006/relationships/hyperlink" Target="http://uns.id/zoom-wawancara-6" TargetMode="External"/><Relationship Id="rId50" Type="http://schemas.openxmlformats.org/officeDocument/2006/relationships/hyperlink" Target="http://uns.id/zoom-wawancara-6" TargetMode="External"/><Relationship Id="rId53" Type="http://schemas.openxmlformats.org/officeDocument/2006/relationships/hyperlink" Target="http://uns.id/zoom-wawancara-6" TargetMode="External"/><Relationship Id="rId52" Type="http://schemas.openxmlformats.org/officeDocument/2006/relationships/hyperlink" Target="http://uns.id/zoom-wawancara-6" TargetMode="External"/><Relationship Id="rId55" Type="http://schemas.openxmlformats.org/officeDocument/2006/relationships/hyperlink" Target="http://uns.id/zoom-wawancara-7" TargetMode="External"/><Relationship Id="rId54" Type="http://schemas.openxmlformats.org/officeDocument/2006/relationships/hyperlink" Target="http://uns.id/zoom-wawancara-7" TargetMode="External"/><Relationship Id="rId57" Type="http://schemas.openxmlformats.org/officeDocument/2006/relationships/hyperlink" Target="http://uns.id/zoom-wawancara-7" TargetMode="External"/><Relationship Id="rId56" Type="http://schemas.openxmlformats.org/officeDocument/2006/relationships/hyperlink" Target="http://uns.id/zoom-wawancara-7" TargetMode="External"/><Relationship Id="rId59" Type="http://schemas.openxmlformats.org/officeDocument/2006/relationships/hyperlink" Target="http://uns.id/zoom-wawancara-7" TargetMode="External"/><Relationship Id="rId58" Type="http://schemas.openxmlformats.org/officeDocument/2006/relationships/hyperlink" Target="http://uns.id/zoom-wawancara-7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chat.whatsapp.com/LPOWsHQqQUlKhHPZ9YyBFb" TargetMode="External"/><Relationship Id="rId2" Type="http://schemas.openxmlformats.org/officeDocument/2006/relationships/hyperlink" Target="https://chat.whatsapp.com/LPOWsHQqQUlKhHPZ9YyBFb" TargetMode="External"/><Relationship Id="rId3" Type="http://schemas.openxmlformats.org/officeDocument/2006/relationships/hyperlink" Target="https://chat.whatsapp.com/KxOOYW4piA01QNaLrY9Upa" TargetMode="External"/><Relationship Id="rId4" Type="http://schemas.openxmlformats.org/officeDocument/2006/relationships/hyperlink" Target="https://chat.whatsapp.com/LPOWsHQqQUlKhHPZ9YyBFb" TargetMode="External"/><Relationship Id="rId9" Type="http://schemas.openxmlformats.org/officeDocument/2006/relationships/hyperlink" Target="https://chat.whatsapp.com/KxOOYW4piA01QNaLrY9Upa" TargetMode="External"/><Relationship Id="rId5" Type="http://schemas.openxmlformats.org/officeDocument/2006/relationships/hyperlink" Target="https://chat.whatsapp.com/KxOOYW4piA01QNaLrY9Upa" TargetMode="External"/><Relationship Id="rId6" Type="http://schemas.openxmlformats.org/officeDocument/2006/relationships/hyperlink" Target="https://chat.whatsapp.com/KxOOYW4piA01QNaLrY9Upa" TargetMode="External"/><Relationship Id="rId7" Type="http://schemas.openxmlformats.org/officeDocument/2006/relationships/hyperlink" Target="https://chat.whatsapp.com/KxOOYW4piA01QNaLrY9Upa" TargetMode="External"/><Relationship Id="rId8" Type="http://schemas.openxmlformats.org/officeDocument/2006/relationships/hyperlink" Target="https://chat.whatsapp.com/KxOOYW4piA01QNaLrY9Upa" TargetMode="External"/><Relationship Id="rId20" Type="http://schemas.openxmlformats.org/officeDocument/2006/relationships/hyperlink" Target="https://chat.whatsapp.com/KxOOYW4piA01QNaLrY9Upa" TargetMode="External"/><Relationship Id="rId22" Type="http://schemas.openxmlformats.org/officeDocument/2006/relationships/hyperlink" Target="https://chat.whatsapp.com/LPOWsHQqQUlKhHPZ9YyBFb" TargetMode="External"/><Relationship Id="rId21" Type="http://schemas.openxmlformats.org/officeDocument/2006/relationships/hyperlink" Target="https://chat.whatsapp.com/KxOOYW4piA01QNaLrY9Upa" TargetMode="External"/><Relationship Id="rId24" Type="http://schemas.openxmlformats.org/officeDocument/2006/relationships/drawing" Target="../drawings/drawing14.xml"/><Relationship Id="rId23" Type="http://schemas.openxmlformats.org/officeDocument/2006/relationships/hyperlink" Target="https://chat.whatsapp.com/LPOWsHQqQUlKhHPZ9YyBFb" TargetMode="External"/><Relationship Id="rId11" Type="http://schemas.openxmlformats.org/officeDocument/2006/relationships/hyperlink" Target="https://chat.whatsapp.com/LPOWsHQqQUlKhHPZ9YyBFb" TargetMode="External"/><Relationship Id="rId10" Type="http://schemas.openxmlformats.org/officeDocument/2006/relationships/hyperlink" Target="https://chat.whatsapp.com/KxOOYW4piA01QNaLrY9Upa" TargetMode="External"/><Relationship Id="rId13" Type="http://schemas.openxmlformats.org/officeDocument/2006/relationships/hyperlink" Target="https://chat.whatsapp.com/KxOOYW4piA01QNaLrY9Upa" TargetMode="External"/><Relationship Id="rId12" Type="http://schemas.openxmlformats.org/officeDocument/2006/relationships/hyperlink" Target="https://chat.whatsapp.com/KxOOYW4piA01QNaLrY9Upa" TargetMode="External"/><Relationship Id="rId15" Type="http://schemas.openxmlformats.org/officeDocument/2006/relationships/hyperlink" Target="https://chat.whatsapp.com/KxOOYW4piA01QNaLrY9Upa" TargetMode="External"/><Relationship Id="rId14" Type="http://schemas.openxmlformats.org/officeDocument/2006/relationships/hyperlink" Target="https://chat.whatsapp.com/KxOOYW4piA01QNaLrY9Upa" TargetMode="External"/><Relationship Id="rId17" Type="http://schemas.openxmlformats.org/officeDocument/2006/relationships/hyperlink" Target="https://chat.whatsapp.com/LPOWsHQqQUlKhHPZ9YyBFb" TargetMode="External"/><Relationship Id="rId16" Type="http://schemas.openxmlformats.org/officeDocument/2006/relationships/hyperlink" Target="https://chat.whatsapp.com/LPOWsHQqQUlKhHPZ9YyBFb" TargetMode="External"/><Relationship Id="rId19" Type="http://schemas.openxmlformats.org/officeDocument/2006/relationships/hyperlink" Target="https://chat.whatsapp.com/LPOWsHQqQUlKhHPZ9YyBFb" TargetMode="External"/><Relationship Id="rId18" Type="http://schemas.openxmlformats.org/officeDocument/2006/relationships/hyperlink" Target="https://chat.whatsapp.com/LPOWsHQqQUlKhHPZ9YyBFb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5.63"/>
    <col customWidth="1" min="2" max="2" width="68.0"/>
    <col customWidth="1" min="3" max="3" width="36.0"/>
    <col customWidth="1" min="4" max="4" width="11.88"/>
    <col customWidth="1" min="5" max="5" width="45.63"/>
    <col customWidth="1" min="6" max="6" width="23.38"/>
    <col customWidth="1" min="7" max="7" width="44.25"/>
    <col customWidth="1" min="8" max="8" width="42.13"/>
    <col customWidth="1" min="9" max="9" width="74.63"/>
    <col customWidth="1" min="13" max="14" width="23.88"/>
  </cols>
  <sheetData>
    <row r="1">
      <c r="N1" s="10" t="s">
        <v>20</v>
      </c>
    </row>
    <row r="2">
      <c r="M2" s="16"/>
      <c r="N2" s="17" t="s">
        <v>44</v>
      </c>
      <c r="O2" s="18"/>
    </row>
    <row r="3">
      <c r="M3" s="23"/>
      <c r="N3" s="24" t="s">
        <v>44</v>
      </c>
      <c r="O3" s="25"/>
    </row>
    <row r="4">
      <c r="M4" s="16"/>
      <c r="N4" s="17" t="s">
        <v>44</v>
      </c>
      <c r="O4" s="18"/>
    </row>
    <row r="5">
      <c r="M5" s="23"/>
      <c r="N5" s="24" t="s">
        <v>44</v>
      </c>
      <c r="O5" s="25"/>
    </row>
    <row r="6">
      <c r="M6" s="16"/>
      <c r="N6" s="17" t="s">
        <v>44</v>
      </c>
      <c r="O6" s="18"/>
    </row>
    <row r="7">
      <c r="M7" s="23"/>
      <c r="N7" s="24" t="s">
        <v>54</v>
      </c>
      <c r="O7" s="23" t="s">
        <v>103</v>
      </c>
    </row>
    <row r="8">
      <c r="M8" s="16"/>
      <c r="N8" s="17" t="s">
        <v>44</v>
      </c>
      <c r="O8" s="18"/>
    </row>
    <row r="9">
      <c r="M9" s="23"/>
      <c r="N9" s="24" t="s">
        <v>44</v>
      </c>
      <c r="O9" s="25"/>
    </row>
    <row r="10">
      <c r="M10" s="16"/>
      <c r="N10" s="17" t="s">
        <v>44</v>
      </c>
      <c r="O10" s="18"/>
    </row>
    <row r="11">
      <c r="M11" s="23"/>
      <c r="N11" s="24" t="s">
        <v>44</v>
      </c>
      <c r="O11" s="25"/>
    </row>
    <row r="12">
      <c r="M12" s="16"/>
      <c r="N12" s="17" t="s">
        <v>54</v>
      </c>
      <c r="O12" s="18"/>
    </row>
    <row r="13">
      <c r="M13" s="23"/>
      <c r="N13" s="24" t="s">
        <v>44</v>
      </c>
      <c r="O13" s="25"/>
    </row>
    <row r="14">
      <c r="M14" s="16"/>
      <c r="N14" s="17" t="s">
        <v>54</v>
      </c>
      <c r="O14" s="18"/>
    </row>
    <row r="15">
      <c r="M15" s="23"/>
      <c r="N15" s="24" t="s">
        <v>54</v>
      </c>
      <c r="O15" s="25"/>
    </row>
    <row r="16">
      <c r="M16" s="16"/>
      <c r="N16" s="17" t="s">
        <v>44</v>
      </c>
      <c r="O16" s="18"/>
    </row>
    <row r="17">
      <c r="M17" s="23"/>
      <c r="N17" s="24" t="s">
        <v>54</v>
      </c>
      <c r="O17" s="25"/>
    </row>
    <row r="18">
      <c r="M18" s="16"/>
      <c r="N18" s="17" t="s">
        <v>44</v>
      </c>
      <c r="O18" s="18"/>
    </row>
    <row r="19">
      <c r="M19" s="23"/>
      <c r="N19" s="24" t="s">
        <v>44</v>
      </c>
      <c r="O19" s="25"/>
    </row>
    <row r="20">
      <c r="M20" s="16"/>
      <c r="N20" s="17" t="s">
        <v>44</v>
      </c>
      <c r="O20" s="18"/>
    </row>
    <row r="21">
      <c r="M21" s="23"/>
      <c r="N21" s="24" t="s">
        <v>44</v>
      </c>
      <c r="O21" s="25"/>
    </row>
    <row r="22">
      <c r="M22" s="16"/>
      <c r="N22" s="17" t="s">
        <v>44</v>
      </c>
      <c r="O22" s="18"/>
    </row>
    <row r="23">
      <c r="M23" s="23"/>
      <c r="N23" s="24" t="s">
        <v>44</v>
      </c>
      <c r="O23" s="25"/>
    </row>
    <row r="24">
      <c r="M24" s="16"/>
      <c r="N24" s="17" t="s">
        <v>44</v>
      </c>
      <c r="O24" s="18"/>
    </row>
    <row r="25">
      <c r="M25" s="23"/>
      <c r="N25" s="24" t="s">
        <v>54</v>
      </c>
      <c r="O25" s="25"/>
    </row>
    <row r="26">
      <c r="M26" s="16"/>
      <c r="N26" s="17" t="s">
        <v>44</v>
      </c>
      <c r="O26" s="18"/>
    </row>
    <row r="27">
      <c r="M27" s="23"/>
      <c r="N27" s="24" t="s">
        <v>44</v>
      </c>
      <c r="O27" s="25"/>
    </row>
    <row r="28">
      <c r="M28" s="16"/>
      <c r="N28" s="17" t="s">
        <v>44</v>
      </c>
      <c r="O28" s="18"/>
    </row>
    <row r="29">
      <c r="M29" s="23"/>
      <c r="N29" s="24" t="s">
        <v>44</v>
      </c>
      <c r="O29" s="25"/>
    </row>
    <row r="30">
      <c r="M30" s="16"/>
      <c r="N30" s="17" t="s">
        <v>44</v>
      </c>
      <c r="O30" s="18"/>
    </row>
    <row r="31">
      <c r="M31" s="23"/>
      <c r="N31" s="24" t="s">
        <v>44</v>
      </c>
      <c r="O31" s="25"/>
    </row>
    <row r="32">
      <c r="M32" s="16"/>
      <c r="N32" s="17" t="s">
        <v>44</v>
      </c>
      <c r="O32" s="18"/>
    </row>
    <row r="33">
      <c r="M33" s="23"/>
      <c r="N33" s="24" t="s">
        <v>44</v>
      </c>
      <c r="O33" s="25"/>
    </row>
    <row r="34">
      <c r="M34" s="16"/>
      <c r="N34" s="17" t="s">
        <v>44</v>
      </c>
      <c r="O34" s="18"/>
    </row>
    <row r="35">
      <c r="M35" s="23"/>
      <c r="N35" s="24" t="s">
        <v>44</v>
      </c>
      <c r="O35" s="25"/>
    </row>
    <row r="36">
      <c r="M36" s="16"/>
      <c r="N36" s="17" t="s">
        <v>44</v>
      </c>
      <c r="O36" s="18"/>
    </row>
    <row r="37">
      <c r="M37" s="23"/>
      <c r="N37" s="24" t="s">
        <v>54</v>
      </c>
      <c r="O37" s="25"/>
    </row>
    <row r="38">
      <c r="M38" s="16"/>
      <c r="N38" s="17" t="s">
        <v>44</v>
      </c>
      <c r="O38" s="18"/>
    </row>
    <row r="39">
      <c r="M39" s="23"/>
      <c r="N39" s="24" t="s">
        <v>44</v>
      </c>
      <c r="O39" s="25"/>
    </row>
    <row r="40">
      <c r="M40" s="16"/>
      <c r="N40" s="17" t="s">
        <v>44</v>
      </c>
      <c r="O40" s="18"/>
    </row>
    <row r="41">
      <c r="M41" s="23"/>
      <c r="N41" s="24" t="s">
        <v>44</v>
      </c>
      <c r="O41" s="25"/>
    </row>
    <row r="42">
      <c r="M42" s="16"/>
      <c r="N42" s="17" t="s">
        <v>44</v>
      </c>
      <c r="O42" s="18"/>
    </row>
    <row r="43">
      <c r="M43" s="23"/>
      <c r="N43" s="24" t="s">
        <v>44</v>
      </c>
      <c r="O43" s="25"/>
    </row>
    <row r="44">
      <c r="M44" s="16"/>
      <c r="N44" s="17" t="s">
        <v>44</v>
      </c>
      <c r="O44" s="18"/>
    </row>
    <row r="45">
      <c r="M45" s="23"/>
      <c r="N45" s="24" t="s">
        <v>44</v>
      </c>
      <c r="O45" s="25"/>
    </row>
    <row r="46">
      <c r="M46" s="16"/>
      <c r="N46" s="17" t="s">
        <v>44</v>
      </c>
      <c r="O46" s="18"/>
    </row>
    <row r="47">
      <c r="M47" s="23"/>
      <c r="N47" s="24" t="s">
        <v>54</v>
      </c>
      <c r="O47" s="25"/>
    </row>
    <row r="48">
      <c r="M48" s="16"/>
      <c r="N48" s="17" t="s">
        <v>44</v>
      </c>
      <c r="O48" s="18"/>
    </row>
    <row r="49">
      <c r="M49" s="23"/>
      <c r="N49" s="24" t="s">
        <v>44</v>
      </c>
      <c r="O49" s="25"/>
    </row>
    <row r="50">
      <c r="M50" s="16"/>
      <c r="N50" s="17" t="s">
        <v>44</v>
      </c>
      <c r="O50" s="18"/>
    </row>
    <row r="51">
      <c r="M51" s="23"/>
      <c r="N51" s="24" t="s">
        <v>54</v>
      </c>
      <c r="O51" s="25"/>
    </row>
    <row r="52">
      <c r="M52" s="16"/>
      <c r="N52" s="17" t="s">
        <v>44</v>
      </c>
      <c r="O52" s="18"/>
    </row>
    <row r="53">
      <c r="M53" s="23"/>
      <c r="N53" s="24" t="s">
        <v>44</v>
      </c>
      <c r="O53" s="25"/>
    </row>
    <row r="54">
      <c r="M54" s="16"/>
      <c r="N54" s="17" t="s">
        <v>44</v>
      </c>
      <c r="O54" s="18"/>
    </row>
    <row r="55">
      <c r="M55" s="23"/>
      <c r="N55" s="24" t="s">
        <v>44</v>
      </c>
      <c r="O55" s="25"/>
    </row>
    <row r="56">
      <c r="M56" s="16"/>
      <c r="N56" s="17" t="s">
        <v>44</v>
      </c>
      <c r="O56" s="18"/>
    </row>
    <row r="57">
      <c r="M57" s="23"/>
      <c r="N57" s="24" t="s">
        <v>44</v>
      </c>
      <c r="O57" s="25"/>
    </row>
    <row r="58">
      <c r="M58" s="16"/>
      <c r="N58" s="17" t="s">
        <v>54</v>
      </c>
      <c r="O58" s="18"/>
    </row>
    <row r="59">
      <c r="M59" s="23"/>
      <c r="N59" s="24" t="s">
        <v>44</v>
      </c>
      <c r="O59" s="25"/>
    </row>
    <row r="60">
      <c r="M60" s="16"/>
      <c r="N60" s="17" t="s">
        <v>44</v>
      </c>
      <c r="O60" s="18"/>
    </row>
    <row r="61">
      <c r="M61" s="23"/>
      <c r="N61" s="24" t="s">
        <v>44</v>
      </c>
      <c r="O61" s="25"/>
    </row>
    <row r="62">
      <c r="M62" s="16"/>
      <c r="N62" s="17" t="s">
        <v>44</v>
      </c>
      <c r="O62" s="18"/>
    </row>
    <row r="63">
      <c r="M63" s="23"/>
      <c r="N63" s="24" t="s">
        <v>44</v>
      </c>
      <c r="O63" s="25"/>
    </row>
    <row r="64">
      <c r="M64" s="16"/>
      <c r="N64" s="17" t="s">
        <v>44</v>
      </c>
      <c r="O64" s="18"/>
    </row>
    <row r="65">
      <c r="M65" s="23"/>
      <c r="N65" s="24" t="s">
        <v>54</v>
      </c>
      <c r="O65" s="25"/>
    </row>
    <row r="66">
      <c r="M66" s="16"/>
      <c r="N66" s="17" t="s">
        <v>44</v>
      </c>
      <c r="O66" s="18"/>
    </row>
    <row r="67">
      <c r="M67" s="23"/>
      <c r="N67" s="24" t="s">
        <v>54</v>
      </c>
      <c r="O67" s="25"/>
    </row>
    <row r="68">
      <c r="M68" s="16"/>
      <c r="N68" s="17" t="s">
        <v>54</v>
      </c>
      <c r="O68" s="18"/>
    </row>
    <row r="69">
      <c r="M69" s="23"/>
      <c r="N69" s="24" t="s">
        <v>44</v>
      </c>
      <c r="O69" s="25"/>
    </row>
    <row r="70">
      <c r="M70" s="16"/>
      <c r="N70" s="17" t="s">
        <v>44</v>
      </c>
      <c r="O70" s="18"/>
    </row>
    <row r="71">
      <c r="M71" s="23"/>
      <c r="N71" s="24" t="s">
        <v>54</v>
      </c>
      <c r="O71" s="25"/>
    </row>
    <row r="72">
      <c r="M72" s="16"/>
      <c r="N72" s="17" t="s">
        <v>44</v>
      </c>
      <c r="O72" s="18"/>
    </row>
    <row r="73">
      <c r="M73" s="23"/>
      <c r="N73" s="24" t="s">
        <v>54</v>
      </c>
      <c r="O73" s="25"/>
    </row>
    <row r="74">
      <c r="M74" s="16"/>
      <c r="N74" s="17" t="s">
        <v>44</v>
      </c>
      <c r="O74" s="18"/>
    </row>
    <row r="75">
      <c r="M75" s="23"/>
      <c r="N75" s="24" t="s">
        <v>44</v>
      </c>
      <c r="O75" s="25"/>
    </row>
    <row r="76">
      <c r="M76" s="16"/>
      <c r="N76" s="17" t="s">
        <v>44</v>
      </c>
      <c r="O76" s="18"/>
    </row>
    <row r="77">
      <c r="M77" s="23"/>
      <c r="N77" s="24" t="s">
        <v>44</v>
      </c>
      <c r="O77" s="25"/>
    </row>
    <row r="78">
      <c r="M78" s="16"/>
      <c r="N78" s="17" t="s">
        <v>44</v>
      </c>
      <c r="O78" s="18"/>
    </row>
    <row r="79">
      <c r="M79" s="23"/>
      <c r="N79" s="24" t="s">
        <v>44</v>
      </c>
      <c r="O79" s="25"/>
    </row>
    <row r="80">
      <c r="M80" s="16"/>
      <c r="N80" s="17" t="s">
        <v>44</v>
      </c>
      <c r="O80" s="18"/>
    </row>
    <row r="81">
      <c r="M81" s="23"/>
      <c r="N81" s="24" t="s">
        <v>44</v>
      </c>
      <c r="O81" s="25"/>
    </row>
    <row r="82">
      <c r="M82" s="16"/>
      <c r="N82" s="17" t="s">
        <v>44</v>
      </c>
      <c r="O82" s="18"/>
    </row>
    <row r="83">
      <c r="M83" s="23"/>
      <c r="N83" s="24" t="s">
        <v>44</v>
      </c>
      <c r="O83" s="25"/>
    </row>
    <row r="84">
      <c r="M84" s="16"/>
      <c r="N84" s="17" t="s">
        <v>54</v>
      </c>
      <c r="O84" s="18"/>
    </row>
    <row r="85">
      <c r="M85" s="23"/>
      <c r="N85" s="24" t="s">
        <v>54</v>
      </c>
      <c r="O85" s="25"/>
    </row>
    <row r="86">
      <c r="M86" s="16"/>
      <c r="N86" s="17" t="s">
        <v>44</v>
      </c>
      <c r="O86" s="18"/>
    </row>
    <row r="87">
      <c r="M87" s="23"/>
      <c r="N87" s="24" t="s">
        <v>54</v>
      </c>
      <c r="O87" s="25"/>
    </row>
    <row r="88">
      <c r="M88" s="16"/>
      <c r="N88" s="17" t="s">
        <v>44</v>
      </c>
      <c r="O88" s="18"/>
    </row>
    <row r="89">
      <c r="M89" s="23"/>
      <c r="N89" s="24" t="s">
        <v>44</v>
      </c>
      <c r="O89" s="25"/>
    </row>
    <row r="90">
      <c r="M90" s="16"/>
      <c r="N90" s="17" t="s">
        <v>44</v>
      </c>
      <c r="O90" s="18"/>
    </row>
    <row r="91">
      <c r="A91" s="10" t="s">
        <v>21</v>
      </c>
      <c r="B91" s="10" t="s">
        <v>857</v>
      </c>
      <c r="C91" s="10" t="s">
        <v>2097</v>
      </c>
      <c r="D91" s="39">
        <v>36160.0</v>
      </c>
      <c r="E91" s="10" t="s">
        <v>2104</v>
      </c>
      <c r="F91" s="10" t="s">
        <v>311</v>
      </c>
      <c r="G91" s="10" t="s">
        <v>113</v>
      </c>
      <c r="H91" s="10" t="s">
        <v>1588</v>
      </c>
      <c r="I91" s="40" t="s">
        <v>2109</v>
      </c>
      <c r="J91" s="41" t="s">
        <v>2113</v>
      </c>
      <c r="M91" s="25"/>
      <c r="N91" s="24" t="s">
        <v>44</v>
      </c>
      <c r="O91" s="23"/>
    </row>
    <row r="92">
      <c r="B92" s="10" t="s">
        <v>2114</v>
      </c>
      <c r="C92" s="10" t="s">
        <v>2037</v>
      </c>
      <c r="D92" s="39">
        <v>34986.0</v>
      </c>
      <c r="E92" s="10" t="s">
        <v>1620</v>
      </c>
      <c r="F92" s="10" t="s">
        <v>2115</v>
      </c>
      <c r="G92" s="10" t="s">
        <v>1587</v>
      </c>
      <c r="H92" s="10" t="s">
        <v>149</v>
      </c>
      <c r="I92" s="40" t="s">
        <v>2116</v>
      </c>
      <c r="J92" s="41" t="s">
        <v>2118</v>
      </c>
      <c r="M92" s="18"/>
      <c r="N92" s="17" t="s">
        <v>44</v>
      </c>
      <c r="O92" s="18"/>
    </row>
    <row r="93">
      <c r="B93" s="10" t="s">
        <v>2119</v>
      </c>
      <c r="C93" s="10" t="s">
        <v>2120</v>
      </c>
      <c r="D93" s="39">
        <v>36000.0</v>
      </c>
      <c r="E93" s="10" t="s">
        <v>2121</v>
      </c>
      <c r="F93" s="10" t="s">
        <v>1423</v>
      </c>
      <c r="G93" s="10" t="s">
        <v>128</v>
      </c>
      <c r="H93" s="10" t="s">
        <v>2122</v>
      </c>
      <c r="I93" s="40" t="s">
        <v>2123</v>
      </c>
      <c r="J93" s="41" t="s">
        <v>2126</v>
      </c>
      <c r="M93" s="25"/>
      <c r="N93" s="24" t="s">
        <v>54</v>
      </c>
      <c r="O93" s="23" t="s">
        <v>2127</v>
      </c>
    </row>
    <row r="94">
      <c r="B94" s="10" t="s">
        <v>2128</v>
      </c>
      <c r="C94" s="10" t="s">
        <v>2129</v>
      </c>
      <c r="D94" s="39">
        <v>34873.0</v>
      </c>
      <c r="E94" s="10" t="s">
        <v>283</v>
      </c>
      <c r="F94" s="41" t="s">
        <v>1535</v>
      </c>
      <c r="G94" s="10" t="s">
        <v>283</v>
      </c>
      <c r="H94" s="10" t="s">
        <v>1546</v>
      </c>
      <c r="I94" s="40" t="s">
        <v>1549</v>
      </c>
      <c r="J94" s="41" t="s">
        <v>1565</v>
      </c>
      <c r="N94" s="42" t="s">
        <v>54</v>
      </c>
      <c r="O94" s="10" t="s">
        <v>2131</v>
      </c>
    </row>
    <row r="95">
      <c r="B95" s="10" t="s">
        <v>2128</v>
      </c>
      <c r="C95" s="10" t="s">
        <v>2133</v>
      </c>
      <c r="D95" s="39">
        <v>36964.0</v>
      </c>
      <c r="E95" s="10" t="s">
        <v>152</v>
      </c>
      <c r="F95" s="10" t="s">
        <v>1234</v>
      </c>
      <c r="G95" s="10" t="s">
        <v>200</v>
      </c>
      <c r="H95" s="10" t="s">
        <v>581</v>
      </c>
      <c r="I95" s="40" t="s">
        <v>2136</v>
      </c>
      <c r="J95" s="41" t="s">
        <v>2139</v>
      </c>
      <c r="N95" s="42" t="s">
        <v>54</v>
      </c>
      <c r="O95" s="10" t="s">
        <v>2127</v>
      </c>
    </row>
    <row r="96">
      <c r="B96" s="10" t="s">
        <v>2119</v>
      </c>
      <c r="C96" s="10" t="s">
        <v>2140</v>
      </c>
      <c r="D96" s="39">
        <v>34480.0</v>
      </c>
      <c r="E96" s="10" t="s">
        <v>2141</v>
      </c>
      <c r="F96" s="41" t="s">
        <v>2142</v>
      </c>
      <c r="G96" s="10" t="s">
        <v>390</v>
      </c>
      <c r="H96" s="10" t="s">
        <v>1588</v>
      </c>
      <c r="I96" s="40" t="s">
        <v>2143</v>
      </c>
      <c r="J96" s="41" t="s">
        <v>2145</v>
      </c>
      <c r="N96" s="42" t="s">
        <v>54</v>
      </c>
      <c r="O96" s="10" t="s">
        <v>2146</v>
      </c>
    </row>
    <row r="97">
      <c r="B97" s="10" t="s">
        <v>2128</v>
      </c>
      <c r="C97" s="44" t="s">
        <v>2148</v>
      </c>
      <c r="D97" s="45">
        <v>36856.0</v>
      </c>
      <c r="E97" s="44" t="s">
        <v>2005</v>
      </c>
      <c r="F97" s="44" t="s">
        <v>1970</v>
      </c>
      <c r="G97" s="44" t="s">
        <v>842</v>
      </c>
      <c r="H97" s="44" t="s">
        <v>712</v>
      </c>
      <c r="I97" s="44" t="s">
        <v>2149</v>
      </c>
      <c r="J97" s="41" t="s">
        <v>2150</v>
      </c>
      <c r="N97" s="42" t="s">
        <v>44</v>
      </c>
    </row>
    <row r="98">
      <c r="B98" s="10" t="s">
        <v>2128</v>
      </c>
      <c r="C98" s="44" t="s">
        <v>2151</v>
      </c>
      <c r="D98" s="45">
        <v>36441.0</v>
      </c>
      <c r="E98" s="44" t="s">
        <v>2068</v>
      </c>
      <c r="F98" s="44" t="s">
        <v>2152</v>
      </c>
      <c r="G98" s="44" t="s">
        <v>842</v>
      </c>
      <c r="H98" s="44" t="s">
        <v>581</v>
      </c>
      <c r="I98" s="44" t="s">
        <v>2154</v>
      </c>
      <c r="J98" s="41" t="s">
        <v>2156</v>
      </c>
      <c r="N98" s="42" t="s">
        <v>44</v>
      </c>
    </row>
    <row r="99">
      <c r="B99" s="10" t="s">
        <v>2119</v>
      </c>
      <c r="C99" s="44" t="s">
        <v>2158</v>
      </c>
      <c r="D99" s="45">
        <v>35562.0</v>
      </c>
      <c r="E99" s="44" t="s">
        <v>2159</v>
      </c>
      <c r="F99" s="44" t="s">
        <v>2160</v>
      </c>
      <c r="G99" s="44" t="s">
        <v>96</v>
      </c>
      <c r="H99" s="44" t="s">
        <v>2161</v>
      </c>
      <c r="I99" s="46" t="s">
        <v>2162</v>
      </c>
      <c r="J99" s="41" t="s">
        <v>2163</v>
      </c>
      <c r="N99" s="42" t="s">
        <v>44</v>
      </c>
    </row>
  </sheetData>
  <autoFilter ref="$N$1:$N$93"/>
  <dataValidations>
    <dataValidation type="list" allowBlank="1" showErrorMessage="1" sqref="N2:N6 M7:N7 N8:N11 M12:N12 N13 M14:N15 N16 M17:N17 N18:N24 M25:N25 N26:N36 M37:N37 N38:N46 M47:N47 N48:N50 M51:N51 N52:N57 M58:N58 N59:N64 M65:N65 N66 M67:N68 N69:N70 M71:N71 N72 M73:N73 N74:N83 M84:N85 N86 M87:N87 N88:N99">
      <formula1>"Lolos Administrasi,Tidak Lolos Administrasi"</formula1>
    </dataValidation>
  </dataValidations>
  <hyperlinks>
    <hyperlink r:id="rId2" ref="I2"/>
    <hyperlink r:id="rId3" ref="I3"/>
    <hyperlink r:id="rId4" ref="I4"/>
    <hyperlink r:id="rId5" ref="I5"/>
    <hyperlink r:id="rId6" ref="I6"/>
    <hyperlink r:id="rId7" ref="I7"/>
    <hyperlink r:id="rId8" ref="I8"/>
    <hyperlink r:id="rId9" ref="I9"/>
    <hyperlink r:id="rId10" ref="I10"/>
    <hyperlink r:id="rId11" ref="I11"/>
    <hyperlink r:id="rId12" ref="I12"/>
    <hyperlink r:id="rId13" ref="I13"/>
    <hyperlink r:id="rId14" ref="I14"/>
    <hyperlink r:id="rId15" ref="I15"/>
    <hyperlink r:id="rId16" ref="I16"/>
    <hyperlink r:id="rId17" ref="I17"/>
    <hyperlink r:id="rId18" ref="I18"/>
    <hyperlink r:id="rId19" ref="I19"/>
    <hyperlink r:id="rId20" ref="I20"/>
    <hyperlink r:id="rId21" ref="I21"/>
    <hyperlink r:id="rId22" ref="I22"/>
    <hyperlink r:id="rId23" ref="I23"/>
    <hyperlink r:id="rId24" ref="I24"/>
    <hyperlink r:id="rId25" ref="I25"/>
    <hyperlink r:id="rId26" ref="I26"/>
    <hyperlink r:id="rId27" ref="I27"/>
    <hyperlink r:id="rId28" ref="I28"/>
    <hyperlink r:id="rId29" ref="I29"/>
    <hyperlink r:id="rId30" ref="I30"/>
    <hyperlink r:id="rId31" ref="I31"/>
    <hyperlink r:id="rId32" ref="I32"/>
    <hyperlink r:id="rId33" ref="I33"/>
    <hyperlink r:id="rId34" ref="I34"/>
    <hyperlink r:id="rId35" ref="I35"/>
    <hyperlink r:id="rId36" ref="I36"/>
    <hyperlink r:id="rId37" ref="I37"/>
    <hyperlink r:id="rId38" ref="I38"/>
    <hyperlink r:id="rId39" ref="I39"/>
    <hyperlink r:id="rId40" ref="I40"/>
    <hyperlink r:id="rId41" ref="I41"/>
    <hyperlink r:id="rId42" ref="I42"/>
    <hyperlink r:id="rId43" ref="I43"/>
    <hyperlink r:id="rId44" ref="I44"/>
    <hyperlink r:id="rId45" ref="I45"/>
    <hyperlink r:id="rId46" ref="I46"/>
    <hyperlink r:id="rId47" ref="I47"/>
    <hyperlink r:id="rId48" ref="I48"/>
    <hyperlink r:id="rId49" ref="I49"/>
    <hyperlink r:id="rId50" ref="I50"/>
    <hyperlink r:id="rId51" ref="I51"/>
    <hyperlink r:id="rId52" ref="I52"/>
    <hyperlink r:id="rId53" ref="I53"/>
    <hyperlink r:id="rId54" ref="I54"/>
    <hyperlink r:id="rId55" ref="I55"/>
    <hyperlink r:id="rId56" ref="I56"/>
    <hyperlink r:id="rId57" ref="I57"/>
    <hyperlink r:id="rId58" ref="I58"/>
    <hyperlink r:id="rId59" ref="I59"/>
    <hyperlink r:id="rId60" ref="I60"/>
    <hyperlink r:id="rId61" ref="I61"/>
    <hyperlink r:id="rId62" ref="I62"/>
    <hyperlink r:id="rId63" ref="I63"/>
    <hyperlink r:id="rId64" ref="I64"/>
    <hyperlink r:id="rId65" ref="I65"/>
    <hyperlink r:id="rId66" ref="I66"/>
    <hyperlink r:id="rId67" ref="I68"/>
    <hyperlink r:id="rId68" ref="I69"/>
    <hyperlink r:id="rId69" ref="I70"/>
    <hyperlink r:id="rId70" ref="I71"/>
    <hyperlink r:id="rId71" ref="I72"/>
    <hyperlink r:id="rId72" ref="I73"/>
    <hyperlink r:id="rId73" ref="I74"/>
    <hyperlink r:id="rId74" ref="I75"/>
    <hyperlink r:id="rId75" ref="I76"/>
    <hyperlink r:id="rId76" ref="I77"/>
    <hyperlink r:id="rId77" ref="I78"/>
    <hyperlink r:id="rId78" ref="I79"/>
    <hyperlink r:id="rId79" ref="I80"/>
    <hyperlink r:id="rId80" ref="I81"/>
    <hyperlink r:id="rId81" ref="I82"/>
    <hyperlink r:id="rId82" ref="I83"/>
    <hyperlink r:id="rId83" ref="I84"/>
    <hyperlink r:id="rId84" ref="I85"/>
    <hyperlink r:id="rId85" ref="I86"/>
    <hyperlink r:id="rId86" ref="I87"/>
    <hyperlink r:id="rId87" ref="I88"/>
    <hyperlink r:id="rId88" ref="I89"/>
    <hyperlink r:id="rId89" ref="I90"/>
    <hyperlink r:id="rId90" ref="I91"/>
    <hyperlink r:id="rId91" ref="I92"/>
    <hyperlink r:id="rId92" ref="I93"/>
    <hyperlink r:id="rId93" ref="I94"/>
    <hyperlink r:id="rId94" ref="I95"/>
    <hyperlink r:id="rId95" ref="I96"/>
    <hyperlink r:id="rId96" ref="I99"/>
  </hyperlinks>
  <drawing r:id="rId97"/>
  <tableParts count="1">
    <tablePart r:id="rId9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40.38"/>
    <col customWidth="1" min="3" max="3" width="27.25"/>
    <col customWidth="1" min="4" max="4" width="19.63"/>
    <col customWidth="1" min="5" max="6" width="18.88"/>
    <col customWidth="1" min="7" max="7" width="32.63"/>
    <col customWidth="1" min="8" max="8" width="23.38"/>
    <col customWidth="1" min="9" max="9" width="37.63"/>
    <col customWidth="1" min="10" max="10" width="18.88"/>
    <col customWidth="1" min="11" max="11" width="37.63"/>
    <col customWidth="1" min="12" max="13" width="18.88"/>
    <col customWidth="1" min="14" max="15" width="37.63"/>
    <col customWidth="1" min="16" max="16" width="86.63"/>
    <col customWidth="1" min="17" max="17" width="37.25"/>
    <col customWidth="1" min="18" max="18" width="94.13"/>
    <col customWidth="1" min="19" max="19" width="297.5"/>
    <col customWidth="1" min="20" max="20" width="37.0"/>
    <col customWidth="1" min="21" max="21" width="37.63"/>
    <col customWidth="1" min="22" max="32" width="18.88"/>
  </cols>
  <sheetData>
    <row r="1" ht="22.5" customHeight="1">
      <c r="A1" s="6" t="s">
        <v>2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13</v>
      </c>
      <c r="L1" s="6" t="s">
        <v>15</v>
      </c>
      <c r="M1" s="6" t="s">
        <v>16</v>
      </c>
      <c r="N1" s="6" t="s">
        <v>17</v>
      </c>
      <c r="O1" s="6" t="s">
        <v>19</v>
      </c>
      <c r="P1" s="6" t="s">
        <v>14</v>
      </c>
      <c r="Q1" s="6" t="s">
        <v>12</v>
      </c>
      <c r="R1" s="6" t="s">
        <v>23</v>
      </c>
      <c r="S1" s="6" t="s">
        <v>18</v>
      </c>
      <c r="T1" s="6" t="s">
        <v>27</v>
      </c>
      <c r="U1" s="6" t="s">
        <v>31</v>
      </c>
      <c r="V1" s="6" t="s">
        <v>32</v>
      </c>
      <c r="W1" s="6" t="s">
        <v>33</v>
      </c>
      <c r="X1" s="6" t="s">
        <v>34</v>
      </c>
      <c r="Y1" s="6" t="s">
        <v>35</v>
      </c>
      <c r="Z1" s="13" t="s">
        <v>36</v>
      </c>
      <c r="AA1" s="14" t="s">
        <v>37</v>
      </c>
      <c r="AB1" s="14" t="s">
        <v>38</v>
      </c>
      <c r="AC1" s="14" t="s">
        <v>40</v>
      </c>
      <c r="AD1" s="14" t="s">
        <v>41</v>
      </c>
      <c r="AE1" s="14" t="s">
        <v>42</v>
      </c>
      <c r="AF1" s="14" t="s">
        <v>43</v>
      </c>
    </row>
    <row r="2" ht="22.5" customHeight="1">
      <c r="A2" s="19">
        <v>46231.92248826389</v>
      </c>
      <c r="B2" s="20" t="s">
        <v>45</v>
      </c>
      <c r="C2" s="20" t="s">
        <v>50</v>
      </c>
      <c r="D2" s="20">
        <v>7.000247262E9</v>
      </c>
      <c r="E2" s="21" t="s">
        <v>53</v>
      </c>
      <c r="F2" s="22">
        <v>36791.0</v>
      </c>
      <c r="G2" s="20" t="s">
        <v>58</v>
      </c>
      <c r="H2" s="20" t="s">
        <v>60</v>
      </c>
      <c r="I2" s="20" t="s">
        <v>64</v>
      </c>
      <c r="J2" s="20" t="s">
        <v>65</v>
      </c>
      <c r="K2" s="20">
        <v>2025.0</v>
      </c>
      <c r="L2" s="20" t="s">
        <v>66</v>
      </c>
      <c r="M2" s="20" t="s">
        <v>68</v>
      </c>
      <c r="N2" s="20" t="s">
        <v>72</v>
      </c>
      <c r="O2" s="20" t="s">
        <v>73</v>
      </c>
      <c r="P2" s="20" t="s">
        <v>74</v>
      </c>
      <c r="Q2" s="20" t="s">
        <v>75</v>
      </c>
      <c r="R2" s="26" t="s">
        <v>76</v>
      </c>
      <c r="S2" s="26" t="s">
        <v>82</v>
      </c>
      <c r="T2" s="20" t="s">
        <v>86</v>
      </c>
      <c r="U2" s="20" t="s">
        <v>87</v>
      </c>
      <c r="V2" s="20" t="s">
        <v>88</v>
      </c>
      <c r="W2" s="20" t="s">
        <v>90</v>
      </c>
      <c r="X2" s="20" t="s">
        <v>91</v>
      </c>
      <c r="Y2" s="20" t="s">
        <v>87</v>
      </c>
      <c r="Z2" s="27"/>
      <c r="AA2" s="27"/>
      <c r="AB2" s="27"/>
      <c r="AC2" s="27"/>
      <c r="AD2" s="27"/>
      <c r="AE2" s="27"/>
      <c r="AF2" s="27"/>
    </row>
    <row r="3" ht="22.5" customHeight="1">
      <c r="A3" s="19">
        <v>46229.614621678236</v>
      </c>
      <c r="B3" s="20" t="s">
        <v>100</v>
      </c>
      <c r="C3" s="20" t="s">
        <v>101</v>
      </c>
      <c r="D3" s="20">
        <v>7.00008667E9</v>
      </c>
      <c r="E3" s="21" t="s">
        <v>102</v>
      </c>
      <c r="F3" s="22">
        <v>36249.0</v>
      </c>
      <c r="G3" s="20" t="s">
        <v>106</v>
      </c>
      <c r="H3" s="20" t="s">
        <v>109</v>
      </c>
      <c r="I3" s="20" t="s">
        <v>113</v>
      </c>
      <c r="J3" s="20" t="s">
        <v>114</v>
      </c>
      <c r="K3" s="20">
        <v>2023.0</v>
      </c>
      <c r="L3" s="20" t="s">
        <v>115</v>
      </c>
      <c r="M3" s="20" t="s">
        <v>116</v>
      </c>
      <c r="N3" s="20" t="s">
        <v>117</v>
      </c>
      <c r="O3" s="20" t="s">
        <v>73</v>
      </c>
      <c r="P3" s="20" t="s">
        <v>119</v>
      </c>
      <c r="Q3" s="20" t="s">
        <v>75</v>
      </c>
      <c r="R3" s="26" t="s">
        <v>124</v>
      </c>
      <c r="S3" s="26" t="s">
        <v>131</v>
      </c>
      <c r="T3" s="20" t="s">
        <v>86</v>
      </c>
      <c r="U3" s="20" t="s">
        <v>153</v>
      </c>
      <c r="V3" s="20" t="s">
        <v>149</v>
      </c>
      <c r="W3" s="20" t="s">
        <v>149</v>
      </c>
      <c r="X3" s="20" t="s">
        <v>149</v>
      </c>
      <c r="Y3" s="20" t="s">
        <v>149</v>
      </c>
      <c r="Z3" s="27"/>
      <c r="AA3" s="27"/>
      <c r="AB3" s="27"/>
      <c r="AC3" s="27"/>
      <c r="AD3" s="27"/>
      <c r="AE3" s="27"/>
      <c r="AF3" s="27"/>
    </row>
    <row r="4" ht="22.5" customHeight="1">
      <c r="A4" s="19">
        <v>46229.61537127315</v>
      </c>
      <c r="B4" s="20" t="s">
        <v>201</v>
      </c>
      <c r="C4" s="20" t="s">
        <v>205</v>
      </c>
      <c r="D4" s="20">
        <v>7.000266546E9</v>
      </c>
      <c r="E4" s="21" t="s">
        <v>214</v>
      </c>
      <c r="F4" s="22">
        <v>37414.0</v>
      </c>
      <c r="G4" s="20" t="s">
        <v>47</v>
      </c>
      <c r="H4" s="20" t="s">
        <v>231</v>
      </c>
      <c r="I4" s="20" t="s">
        <v>28</v>
      </c>
      <c r="J4" s="20" t="s">
        <v>240</v>
      </c>
      <c r="K4" s="20">
        <v>2025.0</v>
      </c>
      <c r="L4" s="20" t="s">
        <v>249</v>
      </c>
      <c r="M4" s="20" t="s">
        <v>254</v>
      </c>
      <c r="N4" s="20" t="s">
        <v>259</v>
      </c>
      <c r="O4" s="20" t="s">
        <v>73</v>
      </c>
      <c r="P4" s="20" t="s">
        <v>22</v>
      </c>
      <c r="Q4" s="20" t="s">
        <v>75</v>
      </c>
      <c r="R4" s="26" t="s">
        <v>275</v>
      </c>
      <c r="S4" s="26" t="s">
        <v>302</v>
      </c>
      <c r="T4" s="20" t="s">
        <v>86</v>
      </c>
      <c r="U4" s="20" t="s">
        <v>337</v>
      </c>
      <c r="V4" s="20" t="s">
        <v>149</v>
      </c>
      <c r="W4" s="20" t="s">
        <v>149</v>
      </c>
      <c r="X4" s="20" t="s">
        <v>351</v>
      </c>
      <c r="Y4" s="20" t="s">
        <v>149</v>
      </c>
      <c r="Z4" s="27"/>
      <c r="AA4" s="27"/>
      <c r="AB4" s="27"/>
      <c r="AC4" s="27"/>
      <c r="AD4" s="27"/>
      <c r="AE4" s="27"/>
      <c r="AF4" s="27"/>
    </row>
    <row r="5" ht="22.5" customHeight="1">
      <c r="A5" s="19">
        <v>46230.94699185185</v>
      </c>
      <c r="B5" s="20" t="s">
        <v>385</v>
      </c>
      <c r="C5" s="20" t="s">
        <v>386</v>
      </c>
      <c r="D5" s="20">
        <v>7.000088952E9</v>
      </c>
      <c r="E5" s="21" t="s">
        <v>387</v>
      </c>
      <c r="F5" s="22">
        <v>36154.0</v>
      </c>
      <c r="G5" s="20" t="s">
        <v>389</v>
      </c>
      <c r="H5" s="20" t="s">
        <v>109</v>
      </c>
      <c r="I5" s="20" t="s">
        <v>390</v>
      </c>
      <c r="J5" s="20" t="s">
        <v>394</v>
      </c>
      <c r="K5" s="20">
        <v>2024.0</v>
      </c>
      <c r="L5" s="20" t="s">
        <v>398</v>
      </c>
      <c r="M5" s="20" t="s">
        <v>254</v>
      </c>
      <c r="N5" s="20" t="s">
        <v>403</v>
      </c>
      <c r="O5" s="20" t="s">
        <v>73</v>
      </c>
      <c r="P5" s="20" t="s">
        <v>407</v>
      </c>
      <c r="Q5" s="20" t="s">
        <v>75</v>
      </c>
      <c r="R5" s="20" t="s">
        <v>149</v>
      </c>
      <c r="S5" s="26" t="s">
        <v>420</v>
      </c>
      <c r="T5" s="20" t="s">
        <v>86</v>
      </c>
      <c r="U5" s="20" t="s">
        <v>432</v>
      </c>
      <c r="V5" s="20">
        <v>2.50141704E9</v>
      </c>
      <c r="W5" s="20" t="s">
        <v>436</v>
      </c>
      <c r="X5" s="20" t="s">
        <v>446</v>
      </c>
      <c r="Y5" s="20" t="s">
        <v>432</v>
      </c>
      <c r="Z5" s="27"/>
      <c r="AA5" s="27"/>
      <c r="AB5" s="27"/>
      <c r="AC5" s="27"/>
      <c r="AD5" s="27"/>
      <c r="AE5" s="27"/>
      <c r="AF5" s="27"/>
    </row>
    <row r="6" ht="22.5" customHeight="1">
      <c r="A6" s="19">
        <v>46229.62515537037</v>
      </c>
      <c r="B6" s="20" t="s">
        <v>474</v>
      </c>
      <c r="C6" s="20" t="s">
        <v>431</v>
      </c>
      <c r="D6" s="20">
        <v>7.00216115E8</v>
      </c>
      <c r="E6" s="21" t="s">
        <v>441</v>
      </c>
      <c r="F6" s="22">
        <v>34744.0</v>
      </c>
      <c r="G6" s="20" t="s">
        <v>433</v>
      </c>
      <c r="H6" s="20" t="s">
        <v>488</v>
      </c>
      <c r="I6" s="20" t="s">
        <v>64</v>
      </c>
      <c r="J6" s="20" t="s">
        <v>65</v>
      </c>
      <c r="K6" s="20">
        <v>2025.0</v>
      </c>
      <c r="L6" s="20" t="s">
        <v>434</v>
      </c>
      <c r="M6" s="20" t="s">
        <v>51</v>
      </c>
      <c r="N6" s="20" t="s">
        <v>500</v>
      </c>
      <c r="O6" s="20" t="s">
        <v>73</v>
      </c>
      <c r="P6" s="20" t="s">
        <v>74</v>
      </c>
      <c r="Q6" s="31" t="s">
        <v>21</v>
      </c>
      <c r="R6" s="26" t="s">
        <v>514</v>
      </c>
      <c r="S6" s="26" t="s">
        <v>435</v>
      </c>
      <c r="T6" s="20" t="s">
        <v>537</v>
      </c>
      <c r="U6" s="32"/>
      <c r="V6" s="32"/>
      <c r="W6" s="32"/>
      <c r="X6" s="32"/>
      <c r="Y6" s="20" t="s">
        <v>551</v>
      </c>
      <c r="Z6" s="27"/>
      <c r="AA6" s="27"/>
      <c r="AB6" s="27"/>
      <c r="AC6" s="27"/>
      <c r="AD6" s="27"/>
      <c r="AE6" s="27"/>
      <c r="AF6" s="27"/>
    </row>
    <row r="7" ht="22.5" customHeight="1">
      <c r="A7" s="33">
        <v>46229.727876377314</v>
      </c>
      <c r="B7" s="31" t="s">
        <v>578</v>
      </c>
      <c r="C7" s="31" t="s">
        <v>583</v>
      </c>
      <c r="D7" s="31">
        <v>7.000141094E9</v>
      </c>
      <c r="E7" s="34" t="s">
        <v>589</v>
      </c>
      <c r="F7" s="35">
        <v>36178.0</v>
      </c>
      <c r="G7" s="31" t="s">
        <v>593</v>
      </c>
      <c r="H7" s="31" t="s">
        <v>595</v>
      </c>
      <c r="I7" s="31" t="s">
        <v>128</v>
      </c>
      <c r="J7" s="31" t="s">
        <v>394</v>
      </c>
      <c r="K7" s="31">
        <v>2024.0</v>
      </c>
      <c r="L7" s="31" t="s">
        <v>596</v>
      </c>
      <c r="M7" s="31" t="s">
        <v>116</v>
      </c>
      <c r="N7" s="31" t="s">
        <v>597</v>
      </c>
      <c r="O7" s="31" t="s">
        <v>73</v>
      </c>
      <c r="P7" s="31" t="s">
        <v>119</v>
      </c>
      <c r="Q7" s="31" t="s">
        <v>75</v>
      </c>
      <c r="R7" s="37" t="s">
        <v>603</v>
      </c>
      <c r="S7" s="37" t="s">
        <v>603</v>
      </c>
      <c r="T7" s="31" t="s">
        <v>86</v>
      </c>
      <c r="U7" s="31" t="s">
        <v>624</v>
      </c>
      <c r="V7" s="31">
        <v>4.001417039E9</v>
      </c>
      <c r="W7" s="31" t="s">
        <v>632</v>
      </c>
      <c r="X7" s="31" t="s">
        <v>635</v>
      </c>
      <c r="Y7" s="31" t="s">
        <v>624</v>
      </c>
      <c r="Z7" s="38"/>
      <c r="AA7" s="27"/>
      <c r="AB7" s="27"/>
      <c r="AC7" s="27"/>
      <c r="AD7" s="27"/>
      <c r="AE7" s="27"/>
      <c r="AF7" s="27"/>
    </row>
    <row r="8" ht="22.5" customHeight="1">
      <c r="A8" s="33">
        <v>46231.35516229167</v>
      </c>
      <c r="B8" s="31" t="s">
        <v>662</v>
      </c>
      <c r="C8" s="31" t="s">
        <v>679</v>
      </c>
      <c r="D8" s="31">
        <v>7.000012366E9</v>
      </c>
      <c r="E8" s="34" t="s">
        <v>684</v>
      </c>
      <c r="F8" s="35">
        <v>35747.0</v>
      </c>
      <c r="G8" s="31" t="s">
        <v>692</v>
      </c>
      <c r="H8" s="31" t="s">
        <v>697</v>
      </c>
      <c r="I8" s="31" t="s">
        <v>128</v>
      </c>
      <c r="J8" s="31" t="s">
        <v>394</v>
      </c>
      <c r="K8" s="31">
        <v>2024.0</v>
      </c>
      <c r="L8" s="31" t="s">
        <v>178</v>
      </c>
      <c r="M8" s="31" t="s">
        <v>712</v>
      </c>
      <c r="N8" s="31" t="s">
        <v>713</v>
      </c>
      <c r="O8" s="31" t="s">
        <v>73</v>
      </c>
      <c r="P8" s="31" t="s">
        <v>119</v>
      </c>
      <c r="Q8" s="31" t="s">
        <v>75</v>
      </c>
      <c r="R8" s="37" t="s">
        <v>728</v>
      </c>
      <c r="S8" s="37" t="s">
        <v>749</v>
      </c>
      <c r="T8" s="31" t="s">
        <v>86</v>
      </c>
      <c r="U8" s="31" t="s">
        <v>765</v>
      </c>
      <c r="V8" s="31">
        <v>1.501070008E9</v>
      </c>
      <c r="W8" s="31" t="s">
        <v>692</v>
      </c>
      <c r="X8" s="31" t="s">
        <v>351</v>
      </c>
      <c r="Y8" s="31" t="s">
        <v>149</v>
      </c>
      <c r="Z8" s="38"/>
      <c r="AA8" s="27"/>
      <c r="AB8" s="27"/>
      <c r="AC8" s="27"/>
      <c r="AD8" s="27"/>
      <c r="AE8" s="27"/>
      <c r="AF8" s="27"/>
    </row>
    <row r="9" ht="22.5" customHeight="1">
      <c r="A9" s="33">
        <v>46229.862542766205</v>
      </c>
      <c r="B9" s="31" t="s">
        <v>813</v>
      </c>
      <c r="C9" s="31" t="s">
        <v>819</v>
      </c>
      <c r="D9" s="31">
        <v>7.000230682E9</v>
      </c>
      <c r="E9" s="34" t="s">
        <v>825</v>
      </c>
      <c r="F9" s="35">
        <v>36233.0</v>
      </c>
      <c r="G9" s="31" t="s">
        <v>831</v>
      </c>
      <c r="H9" s="31" t="s">
        <v>837</v>
      </c>
      <c r="I9" s="31" t="s">
        <v>842</v>
      </c>
      <c r="J9" s="31" t="s">
        <v>65</v>
      </c>
      <c r="K9" s="31">
        <v>2025.0</v>
      </c>
      <c r="L9" s="34" t="s">
        <v>847</v>
      </c>
      <c r="M9" s="31" t="s">
        <v>116</v>
      </c>
      <c r="N9" s="31" t="s">
        <v>852</v>
      </c>
      <c r="O9" s="31" t="s">
        <v>73</v>
      </c>
      <c r="P9" s="31" t="s">
        <v>857</v>
      </c>
      <c r="Q9" s="31" t="s">
        <v>75</v>
      </c>
      <c r="R9" s="37" t="s">
        <v>863</v>
      </c>
      <c r="S9" s="37" t="s">
        <v>863</v>
      </c>
      <c r="T9" s="31" t="s">
        <v>86</v>
      </c>
      <c r="U9" s="31" t="s">
        <v>892</v>
      </c>
      <c r="V9" s="31">
        <v>1.202174075E9</v>
      </c>
      <c r="W9" s="31" t="s">
        <v>896</v>
      </c>
      <c r="X9" s="31" t="s">
        <v>351</v>
      </c>
      <c r="Y9" s="31" t="s">
        <v>892</v>
      </c>
      <c r="Z9" s="38"/>
      <c r="AA9" s="27"/>
      <c r="AB9" s="27"/>
      <c r="AC9" s="27"/>
      <c r="AD9" s="27"/>
      <c r="AE9" s="27"/>
      <c r="AF9" s="27"/>
    </row>
    <row r="10" ht="22.5" customHeight="1">
      <c r="A10" s="33">
        <v>46233.86906005787</v>
      </c>
      <c r="B10" s="31" t="s">
        <v>917</v>
      </c>
      <c r="C10" s="31" t="s">
        <v>379</v>
      </c>
      <c r="D10" s="31">
        <v>7.000227911E9</v>
      </c>
      <c r="E10" s="34" t="s">
        <v>388</v>
      </c>
      <c r="F10" s="35">
        <v>34581.0</v>
      </c>
      <c r="G10" s="31" t="s">
        <v>310</v>
      </c>
      <c r="H10" s="31" t="s">
        <v>930</v>
      </c>
      <c r="I10" s="31" t="s">
        <v>283</v>
      </c>
      <c r="J10" s="31" t="s">
        <v>240</v>
      </c>
      <c r="K10" s="31">
        <v>2024.0</v>
      </c>
      <c r="L10" s="31">
        <v>3.57</v>
      </c>
      <c r="M10" s="31" t="s">
        <v>29</v>
      </c>
      <c r="N10" s="31" t="s">
        <v>939</v>
      </c>
      <c r="O10" s="31" t="s">
        <v>73</v>
      </c>
      <c r="P10" s="31" t="s">
        <v>280</v>
      </c>
      <c r="Q10" s="31" t="s">
        <v>21</v>
      </c>
      <c r="R10" s="37" t="s">
        <v>947</v>
      </c>
      <c r="S10" s="37" t="s">
        <v>384</v>
      </c>
      <c r="T10" s="31" t="s">
        <v>537</v>
      </c>
      <c r="Y10" s="31" t="s">
        <v>974</v>
      </c>
      <c r="Z10" s="38"/>
      <c r="AA10" s="27"/>
      <c r="AB10" s="27"/>
      <c r="AC10" s="27"/>
      <c r="AD10" s="27"/>
      <c r="AE10" s="27"/>
      <c r="AF10" s="27"/>
    </row>
    <row r="11" ht="22.5" customHeight="1">
      <c r="A11" s="33">
        <v>46229.96785178241</v>
      </c>
      <c r="B11" s="31" t="s">
        <v>991</v>
      </c>
      <c r="C11" s="31" t="s">
        <v>995</v>
      </c>
      <c r="D11" s="31">
        <v>7.000202065E9</v>
      </c>
      <c r="E11" s="34" t="s">
        <v>998</v>
      </c>
      <c r="F11" s="35">
        <v>35906.0</v>
      </c>
      <c r="G11" s="31" t="s">
        <v>1003</v>
      </c>
      <c r="H11" s="31" t="s">
        <v>1006</v>
      </c>
      <c r="I11" s="31" t="s">
        <v>263</v>
      </c>
      <c r="J11" s="31" t="s">
        <v>1014</v>
      </c>
      <c r="K11" s="31">
        <v>2024.0</v>
      </c>
      <c r="L11" s="31" t="s">
        <v>1017</v>
      </c>
      <c r="M11" s="31" t="s">
        <v>51</v>
      </c>
      <c r="N11" s="31" t="s">
        <v>1022</v>
      </c>
      <c r="O11" s="31" t="s">
        <v>73</v>
      </c>
      <c r="P11" s="31" t="s">
        <v>223</v>
      </c>
      <c r="Q11" s="31" t="s">
        <v>75</v>
      </c>
      <c r="R11" s="37" t="s">
        <v>1035</v>
      </c>
      <c r="S11" s="37" t="s">
        <v>1048</v>
      </c>
      <c r="T11" s="31" t="s">
        <v>86</v>
      </c>
      <c r="U11" s="31" t="s">
        <v>1058</v>
      </c>
      <c r="V11" s="31" t="s">
        <v>1062</v>
      </c>
      <c r="W11" s="31" t="s">
        <v>1065</v>
      </c>
      <c r="X11" s="31" t="s">
        <v>1006</v>
      </c>
      <c r="Y11" s="31" t="s">
        <v>1058</v>
      </c>
      <c r="Z11" s="38"/>
      <c r="AA11" s="27"/>
      <c r="AB11" s="27"/>
      <c r="AC11" s="27"/>
      <c r="AD11" s="27"/>
      <c r="AE11" s="27"/>
      <c r="AF11" s="27"/>
    </row>
    <row r="12" ht="22.5" customHeight="1">
      <c r="A12" s="33">
        <v>46230.05171579861</v>
      </c>
      <c r="B12" s="31" t="s">
        <v>1087</v>
      </c>
      <c r="C12" s="31" t="s">
        <v>808</v>
      </c>
      <c r="D12" s="31">
        <v>7.000094807E9</v>
      </c>
      <c r="E12" s="34" t="s">
        <v>834</v>
      </c>
      <c r="F12" s="35">
        <v>35825.0</v>
      </c>
      <c r="G12" s="31" t="s">
        <v>106</v>
      </c>
      <c r="H12" s="31" t="s">
        <v>231</v>
      </c>
      <c r="I12" s="31" t="s">
        <v>128</v>
      </c>
      <c r="J12" s="31" t="s">
        <v>394</v>
      </c>
      <c r="K12" s="31">
        <v>2024.0</v>
      </c>
      <c r="L12" s="31" t="s">
        <v>26</v>
      </c>
      <c r="M12" s="31" t="s">
        <v>745</v>
      </c>
      <c r="N12" s="31" t="s">
        <v>1120</v>
      </c>
      <c r="O12" s="31" t="s">
        <v>73</v>
      </c>
      <c r="P12" s="31" t="s">
        <v>119</v>
      </c>
      <c r="Q12" s="31" t="s">
        <v>75</v>
      </c>
      <c r="R12" s="37" t="s">
        <v>1134</v>
      </c>
      <c r="S12" s="37" t="s">
        <v>815</v>
      </c>
      <c r="T12" s="31" t="s">
        <v>86</v>
      </c>
      <c r="U12" s="31" t="s">
        <v>1176</v>
      </c>
      <c r="V12" s="31" t="s">
        <v>26</v>
      </c>
      <c r="W12" s="31" t="s">
        <v>106</v>
      </c>
      <c r="X12" s="31" t="s">
        <v>1186</v>
      </c>
      <c r="Y12" s="31" t="s">
        <v>1176</v>
      </c>
      <c r="Z12" s="38"/>
      <c r="AA12" s="27"/>
      <c r="AB12" s="27"/>
      <c r="AC12" s="27"/>
      <c r="AD12" s="27"/>
      <c r="AE12" s="27"/>
      <c r="AF12" s="27"/>
    </row>
    <row r="13" ht="22.5" customHeight="1">
      <c r="A13" s="33">
        <v>46230.07072915509</v>
      </c>
      <c r="B13" s="31" t="s">
        <v>1204</v>
      </c>
      <c r="C13" s="31" t="s">
        <v>649</v>
      </c>
      <c r="D13" s="31">
        <v>7.000127861E9</v>
      </c>
      <c r="E13" s="34" t="s">
        <v>664</v>
      </c>
      <c r="F13" s="35">
        <v>36756.0</v>
      </c>
      <c r="G13" s="31" t="s">
        <v>650</v>
      </c>
      <c r="H13" s="31" t="s">
        <v>1219</v>
      </c>
      <c r="I13" s="31" t="s">
        <v>110</v>
      </c>
      <c r="J13" s="31" t="s">
        <v>394</v>
      </c>
      <c r="K13" s="31">
        <v>2024.0</v>
      </c>
      <c r="L13" s="31">
        <v>3.65</v>
      </c>
      <c r="M13" s="31">
        <v>3.68</v>
      </c>
      <c r="N13" s="31" t="s">
        <v>1238</v>
      </c>
      <c r="O13" s="31" t="s">
        <v>73</v>
      </c>
      <c r="P13" s="31" t="s">
        <v>104</v>
      </c>
      <c r="Q13" s="31" t="s">
        <v>75</v>
      </c>
      <c r="R13" s="37" t="s">
        <v>653</v>
      </c>
      <c r="S13" s="37" t="s">
        <v>653</v>
      </c>
      <c r="T13" s="31" t="s">
        <v>86</v>
      </c>
      <c r="U13" s="31" t="s">
        <v>1284</v>
      </c>
      <c r="V13" s="31" t="s">
        <v>1287</v>
      </c>
      <c r="W13" s="31" t="s">
        <v>650</v>
      </c>
      <c r="X13" s="31" t="s">
        <v>1294</v>
      </c>
      <c r="Y13" s="31" t="s">
        <v>149</v>
      </c>
      <c r="Z13" s="38"/>
      <c r="AA13" s="27"/>
      <c r="AB13" s="27"/>
      <c r="AC13" s="27"/>
      <c r="AD13" s="27"/>
      <c r="AE13" s="27"/>
      <c r="AF13" s="27"/>
    </row>
    <row r="14" ht="22.5" customHeight="1">
      <c r="A14" s="33">
        <v>46230.31127060185</v>
      </c>
      <c r="B14" s="31" t="s">
        <v>1319</v>
      </c>
      <c r="C14" s="31" t="s">
        <v>1167</v>
      </c>
      <c r="D14" s="31">
        <v>7.000287279E9</v>
      </c>
      <c r="E14" s="31">
        <v>6.281357514433E12</v>
      </c>
      <c r="F14" s="35">
        <v>36644.0</v>
      </c>
      <c r="G14" s="31" t="s">
        <v>1170</v>
      </c>
      <c r="H14" s="31" t="s">
        <v>351</v>
      </c>
      <c r="I14" s="31" t="s">
        <v>263</v>
      </c>
      <c r="J14" s="31" t="s">
        <v>65</v>
      </c>
      <c r="K14" s="31">
        <v>2025.0</v>
      </c>
      <c r="L14" s="31" t="s">
        <v>744</v>
      </c>
      <c r="M14" s="31" t="s">
        <v>1171</v>
      </c>
      <c r="N14" s="31" t="s">
        <v>1350</v>
      </c>
      <c r="O14" s="31" t="s">
        <v>73</v>
      </c>
      <c r="P14" s="31" t="s">
        <v>223</v>
      </c>
      <c r="Q14" s="31" t="s">
        <v>75</v>
      </c>
      <c r="R14" s="37" t="s">
        <v>1357</v>
      </c>
      <c r="S14" s="37" t="s">
        <v>1179</v>
      </c>
      <c r="T14" s="31" t="s">
        <v>86</v>
      </c>
      <c r="U14" s="31" t="s">
        <v>1373</v>
      </c>
      <c r="V14" s="31" t="s">
        <v>1377</v>
      </c>
      <c r="W14" s="31" t="s">
        <v>1003</v>
      </c>
      <c r="X14" s="31" t="s">
        <v>1383</v>
      </c>
      <c r="Y14" s="31" t="s">
        <v>149</v>
      </c>
      <c r="Z14" s="38"/>
      <c r="AA14" s="27"/>
      <c r="AB14" s="27"/>
      <c r="AC14" s="27"/>
      <c r="AD14" s="27"/>
      <c r="AE14" s="27"/>
      <c r="AF14" s="27"/>
    </row>
    <row r="15" ht="22.5" customHeight="1">
      <c r="A15" s="33">
        <v>46232.40315420138</v>
      </c>
      <c r="B15" s="31" t="s">
        <v>1403</v>
      </c>
      <c r="C15" s="31" t="s">
        <v>225</v>
      </c>
      <c r="D15" s="31">
        <v>7.000193855E9</v>
      </c>
      <c r="E15" s="34" t="s">
        <v>250</v>
      </c>
      <c r="F15" s="35">
        <v>36830.0</v>
      </c>
      <c r="G15" s="31" t="s">
        <v>226</v>
      </c>
      <c r="H15" s="31" t="s">
        <v>1413</v>
      </c>
      <c r="I15" s="31" t="s">
        <v>230</v>
      </c>
      <c r="J15" s="31" t="s">
        <v>65</v>
      </c>
      <c r="K15" s="31">
        <v>2025.0</v>
      </c>
      <c r="L15" s="31" t="s">
        <v>229</v>
      </c>
      <c r="M15" s="31" t="s">
        <v>232</v>
      </c>
      <c r="N15" s="31" t="s">
        <v>1427</v>
      </c>
      <c r="O15" s="31" t="s">
        <v>73</v>
      </c>
      <c r="P15" s="31" t="s">
        <v>223</v>
      </c>
      <c r="Q15" s="31" t="s">
        <v>21</v>
      </c>
      <c r="R15" s="31" t="s">
        <v>149</v>
      </c>
      <c r="S15" s="37" t="s">
        <v>233</v>
      </c>
      <c r="T15" s="31" t="s">
        <v>86</v>
      </c>
      <c r="U15" s="31" t="s">
        <v>1454</v>
      </c>
      <c r="V15" s="31">
        <v>1.892041011E9</v>
      </c>
      <c r="W15" s="31" t="s">
        <v>226</v>
      </c>
      <c r="X15" s="31" t="s">
        <v>1413</v>
      </c>
      <c r="Y15" s="31" t="s">
        <v>1454</v>
      </c>
      <c r="Z15" s="38"/>
      <c r="AA15" s="27"/>
      <c r="AB15" s="27"/>
      <c r="AC15" s="27"/>
      <c r="AD15" s="27"/>
      <c r="AE15" s="27"/>
      <c r="AF15" s="27"/>
    </row>
    <row r="16" ht="22.5" customHeight="1">
      <c r="A16" s="33">
        <v>46231.63336821759</v>
      </c>
      <c r="B16" s="31" t="s">
        <v>1477</v>
      </c>
      <c r="C16" s="31" t="s">
        <v>601</v>
      </c>
      <c r="D16" s="31">
        <v>7.000180386E9</v>
      </c>
      <c r="E16" s="34" t="s">
        <v>618</v>
      </c>
      <c r="F16" s="35">
        <v>37225.0</v>
      </c>
      <c r="G16" s="31" t="s">
        <v>604</v>
      </c>
      <c r="H16" s="31" t="s">
        <v>1489</v>
      </c>
      <c r="I16" s="31" t="s">
        <v>28</v>
      </c>
      <c r="J16" s="31" t="s">
        <v>1014</v>
      </c>
      <c r="K16" s="31">
        <v>2024.0</v>
      </c>
      <c r="L16" s="31">
        <v>3.67</v>
      </c>
      <c r="M16" s="31">
        <v>3.73</v>
      </c>
      <c r="N16" s="31" t="s">
        <v>1501</v>
      </c>
      <c r="O16" s="31" t="s">
        <v>73</v>
      </c>
      <c r="P16" s="31" t="s">
        <v>22</v>
      </c>
      <c r="Q16" s="31" t="s">
        <v>75</v>
      </c>
      <c r="R16" s="37" t="s">
        <v>1506</v>
      </c>
      <c r="S16" s="37" t="s">
        <v>607</v>
      </c>
      <c r="T16" s="31" t="s">
        <v>86</v>
      </c>
      <c r="U16" s="31" t="s">
        <v>1542</v>
      </c>
      <c r="V16" s="31">
        <v>1.910301058E9</v>
      </c>
      <c r="W16" s="31" t="s">
        <v>47</v>
      </c>
      <c r="X16" s="31" t="s">
        <v>1006</v>
      </c>
      <c r="Y16" s="31" t="s">
        <v>1542</v>
      </c>
      <c r="Z16" s="38"/>
      <c r="AA16" s="27"/>
      <c r="AB16" s="27"/>
      <c r="AC16" s="27"/>
      <c r="AD16" s="27"/>
      <c r="AE16" s="27"/>
      <c r="AF16" s="27"/>
    </row>
    <row r="17" ht="22.5" customHeight="1">
      <c r="A17" s="33">
        <v>46231.740353483794</v>
      </c>
      <c r="B17" s="31" t="s">
        <v>1573</v>
      </c>
      <c r="C17" s="31" t="s">
        <v>67</v>
      </c>
      <c r="D17" s="31">
        <v>7.000115177E9</v>
      </c>
      <c r="E17" s="34" t="s">
        <v>77</v>
      </c>
      <c r="F17" s="35">
        <v>35061.0</v>
      </c>
      <c r="G17" s="31" t="s">
        <v>69</v>
      </c>
      <c r="H17" s="31" t="s">
        <v>488</v>
      </c>
      <c r="I17" s="31" t="s">
        <v>28</v>
      </c>
      <c r="J17" s="31" t="s">
        <v>394</v>
      </c>
      <c r="K17" s="31">
        <v>2024.0</v>
      </c>
      <c r="L17" s="31" t="s">
        <v>70</v>
      </c>
      <c r="M17" s="31" t="s">
        <v>51</v>
      </c>
      <c r="N17" s="31" t="s">
        <v>1602</v>
      </c>
      <c r="O17" s="31" t="s">
        <v>73</v>
      </c>
      <c r="P17" s="31" t="s">
        <v>22</v>
      </c>
      <c r="Q17" s="31" t="s">
        <v>21</v>
      </c>
      <c r="R17" s="37" t="s">
        <v>1614</v>
      </c>
      <c r="S17" s="37" t="s">
        <v>71</v>
      </c>
      <c r="T17" s="31" t="s">
        <v>537</v>
      </c>
      <c r="Y17" s="31" t="s">
        <v>1655</v>
      </c>
      <c r="Z17" s="38"/>
      <c r="AA17" s="27"/>
      <c r="AB17" s="27"/>
      <c r="AC17" s="27"/>
      <c r="AD17" s="27"/>
      <c r="AE17" s="27"/>
      <c r="AF17" s="27"/>
    </row>
    <row r="18" ht="22.5" customHeight="1">
      <c r="A18" s="33">
        <v>46230.79670269676</v>
      </c>
      <c r="B18" s="31" t="s">
        <v>1678</v>
      </c>
      <c r="C18" s="31" t="s">
        <v>198</v>
      </c>
      <c r="D18" s="31" t="s">
        <v>1678</v>
      </c>
      <c r="E18" s="34" t="s">
        <v>217</v>
      </c>
      <c r="F18" s="35">
        <v>37031.0</v>
      </c>
      <c r="G18" s="31" t="s">
        <v>106</v>
      </c>
      <c r="H18" s="31" t="s">
        <v>488</v>
      </c>
      <c r="I18" s="31" t="s">
        <v>200</v>
      </c>
      <c r="J18" s="31" t="s">
        <v>65</v>
      </c>
      <c r="K18" s="31">
        <v>2025.0</v>
      </c>
      <c r="L18" s="31" t="s">
        <v>199</v>
      </c>
      <c r="M18" s="31" t="s">
        <v>51</v>
      </c>
      <c r="N18" s="31" t="s">
        <v>1602</v>
      </c>
      <c r="O18" s="31" t="s">
        <v>73</v>
      </c>
      <c r="P18" s="31" t="s">
        <v>119</v>
      </c>
      <c r="Q18" s="31" t="s">
        <v>21</v>
      </c>
      <c r="R18" s="37" t="s">
        <v>1709</v>
      </c>
      <c r="S18" s="37" t="s">
        <v>202</v>
      </c>
      <c r="T18" s="31" t="s">
        <v>537</v>
      </c>
      <c r="Y18" s="31" t="s">
        <v>1741</v>
      </c>
      <c r="Z18" s="38"/>
      <c r="AA18" s="27"/>
      <c r="AB18" s="27"/>
      <c r="AC18" s="27"/>
      <c r="AD18" s="27"/>
      <c r="AE18" s="27"/>
      <c r="AF18" s="27"/>
    </row>
    <row r="19" ht="22.5" customHeight="1">
      <c r="A19" s="33">
        <v>46230.8859721412</v>
      </c>
      <c r="B19" s="31" t="s">
        <v>1761</v>
      </c>
      <c r="C19" s="31" t="s">
        <v>1071</v>
      </c>
      <c r="D19" s="31">
        <v>7.000058324E9</v>
      </c>
      <c r="E19" s="34" t="s">
        <v>1088</v>
      </c>
      <c r="F19" s="35">
        <v>34712.0</v>
      </c>
      <c r="G19" s="31" t="s">
        <v>1073</v>
      </c>
      <c r="H19" s="31" t="s">
        <v>1773</v>
      </c>
      <c r="I19" s="31" t="s">
        <v>230</v>
      </c>
      <c r="J19" s="31" t="s">
        <v>65</v>
      </c>
      <c r="K19" s="31">
        <v>2025.0</v>
      </c>
      <c r="L19" s="31" t="s">
        <v>552</v>
      </c>
      <c r="M19" s="31" t="s">
        <v>712</v>
      </c>
      <c r="N19" s="31" t="s">
        <v>1797</v>
      </c>
      <c r="O19" s="31" t="s">
        <v>73</v>
      </c>
      <c r="P19" s="31" t="s">
        <v>223</v>
      </c>
      <c r="Q19" s="31" t="s">
        <v>75</v>
      </c>
      <c r="R19" s="37" t="s">
        <v>1809</v>
      </c>
      <c r="S19" s="37" t="s">
        <v>1076</v>
      </c>
      <c r="T19" s="31" t="s">
        <v>86</v>
      </c>
      <c r="U19" s="31" t="s">
        <v>1840</v>
      </c>
      <c r="V19" s="31">
        <v>1.601020011E9</v>
      </c>
      <c r="W19" s="31" t="s">
        <v>1073</v>
      </c>
      <c r="X19" s="31" t="s">
        <v>351</v>
      </c>
      <c r="Y19" s="31" t="s">
        <v>1840</v>
      </c>
      <c r="Z19" s="38"/>
      <c r="AA19" s="27"/>
      <c r="AB19" s="27"/>
      <c r="AC19" s="27"/>
      <c r="AD19" s="27"/>
      <c r="AE19" s="27"/>
      <c r="AF19" s="27"/>
    </row>
    <row r="20" ht="22.5" customHeight="1">
      <c r="A20" s="33">
        <v>46230.89981366898</v>
      </c>
      <c r="B20" s="31" t="s">
        <v>1872</v>
      </c>
      <c r="C20" s="31" t="s">
        <v>1775</v>
      </c>
      <c r="D20" s="31">
        <v>7.000158269E9</v>
      </c>
      <c r="E20" s="34" t="s">
        <v>1794</v>
      </c>
      <c r="F20" s="35">
        <v>36262.0</v>
      </c>
      <c r="G20" s="31" t="s">
        <v>1777</v>
      </c>
      <c r="H20" s="31" t="s">
        <v>1887</v>
      </c>
      <c r="I20" s="31" t="s">
        <v>64</v>
      </c>
      <c r="J20" s="31" t="s">
        <v>394</v>
      </c>
      <c r="K20" s="31">
        <v>2024.0</v>
      </c>
      <c r="L20" s="31" t="s">
        <v>1778</v>
      </c>
      <c r="M20" s="31" t="s">
        <v>712</v>
      </c>
      <c r="N20" s="31" t="s">
        <v>1903</v>
      </c>
      <c r="O20" s="31" t="s">
        <v>73</v>
      </c>
      <c r="P20" s="31" t="s">
        <v>74</v>
      </c>
      <c r="Q20" s="31" t="s">
        <v>75</v>
      </c>
      <c r="R20" s="37" t="s">
        <v>1913</v>
      </c>
      <c r="S20" s="37" t="s">
        <v>1781</v>
      </c>
      <c r="T20" s="31" t="s">
        <v>86</v>
      </c>
      <c r="U20" s="31" t="s">
        <v>1933</v>
      </c>
      <c r="V20" s="31" t="s">
        <v>149</v>
      </c>
      <c r="W20" s="31" t="s">
        <v>149</v>
      </c>
      <c r="X20" s="31" t="s">
        <v>149</v>
      </c>
      <c r="Y20" s="31" t="s">
        <v>149</v>
      </c>
      <c r="Z20" s="38"/>
      <c r="AA20" s="27"/>
      <c r="AB20" s="27"/>
      <c r="AC20" s="27"/>
      <c r="AD20" s="27"/>
      <c r="AE20" s="27"/>
      <c r="AF20" s="27"/>
    </row>
    <row r="21" ht="22.5" customHeight="1">
      <c r="A21" s="33">
        <v>46230.948714479164</v>
      </c>
      <c r="B21" s="31" t="s">
        <v>1963</v>
      </c>
      <c r="C21" s="31" t="s">
        <v>1095</v>
      </c>
      <c r="D21" s="31">
        <v>7.000133033E9</v>
      </c>
      <c r="E21" s="34" t="s">
        <v>1111</v>
      </c>
      <c r="F21" s="35">
        <v>36520.0</v>
      </c>
      <c r="G21" s="31" t="s">
        <v>1003</v>
      </c>
      <c r="H21" s="31" t="s">
        <v>351</v>
      </c>
      <c r="I21" s="31" t="s">
        <v>263</v>
      </c>
      <c r="J21" s="31" t="s">
        <v>1014</v>
      </c>
      <c r="K21" s="31">
        <v>2024.0</v>
      </c>
      <c r="L21" s="31" t="s">
        <v>361</v>
      </c>
      <c r="M21" s="31" t="s">
        <v>712</v>
      </c>
      <c r="N21" s="31" t="s">
        <v>1238</v>
      </c>
      <c r="O21" s="31" t="s">
        <v>73</v>
      </c>
      <c r="P21" s="31" t="s">
        <v>223</v>
      </c>
      <c r="Q21" s="31" t="s">
        <v>75</v>
      </c>
      <c r="R21" s="37" t="s">
        <v>1997</v>
      </c>
      <c r="S21" s="37" t="s">
        <v>1100</v>
      </c>
      <c r="T21" s="31" t="s">
        <v>86</v>
      </c>
      <c r="U21" s="31" t="s">
        <v>2015</v>
      </c>
      <c r="V21" s="31" t="s">
        <v>2019</v>
      </c>
      <c r="W21" s="31" t="s">
        <v>1003</v>
      </c>
      <c r="X21" s="31" t="s">
        <v>351</v>
      </c>
      <c r="Y21" s="31" t="s">
        <v>2015</v>
      </c>
      <c r="Z21" s="38"/>
      <c r="AA21" s="27"/>
      <c r="AB21" s="27"/>
      <c r="AC21" s="27"/>
      <c r="AD21" s="27"/>
      <c r="AE21" s="27"/>
      <c r="AF21" s="27"/>
    </row>
    <row r="22" ht="22.5" customHeight="1">
      <c r="A22" s="33">
        <v>46231.16109511574</v>
      </c>
      <c r="B22" s="31" t="s">
        <v>2043</v>
      </c>
      <c r="C22" s="31" t="s">
        <v>899</v>
      </c>
      <c r="D22" s="31">
        <v>7.00012434E9</v>
      </c>
      <c r="E22" s="34" t="s">
        <v>914</v>
      </c>
      <c r="F22" s="35">
        <v>36584.0</v>
      </c>
      <c r="G22" s="31" t="s">
        <v>692</v>
      </c>
      <c r="H22" s="31" t="s">
        <v>1489</v>
      </c>
      <c r="I22" s="31" t="s">
        <v>128</v>
      </c>
      <c r="J22" s="31" t="s">
        <v>394</v>
      </c>
      <c r="K22" s="31">
        <v>2024.0</v>
      </c>
      <c r="L22" s="31" t="s">
        <v>229</v>
      </c>
      <c r="M22" s="31" t="s">
        <v>712</v>
      </c>
      <c r="N22" s="31" t="s">
        <v>2067</v>
      </c>
      <c r="O22" s="31" t="s">
        <v>73</v>
      </c>
      <c r="P22" s="31" t="s">
        <v>119</v>
      </c>
      <c r="Q22" s="31" t="s">
        <v>75</v>
      </c>
      <c r="R22" s="37" t="s">
        <v>2079</v>
      </c>
      <c r="S22" s="37" t="s">
        <v>903</v>
      </c>
      <c r="T22" s="31" t="s">
        <v>86</v>
      </c>
      <c r="U22" s="31" t="s">
        <v>2110</v>
      </c>
      <c r="V22" s="31" t="s">
        <v>149</v>
      </c>
      <c r="W22" s="31" t="s">
        <v>149</v>
      </c>
      <c r="X22" s="31" t="s">
        <v>149</v>
      </c>
      <c r="Y22" s="31" t="s">
        <v>149</v>
      </c>
      <c r="Z22" s="38"/>
      <c r="AA22" s="27"/>
      <c r="AB22" s="27"/>
      <c r="AC22" s="27"/>
      <c r="AD22" s="27"/>
      <c r="AE22" s="27"/>
      <c r="AF22" s="27"/>
    </row>
    <row r="23" ht="22.5" customHeight="1">
      <c r="A23" s="33">
        <v>46231.3670880787</v>
      </c>
      <c r="B23" s="31" t="s">
        <v>2117</v>
      </c>
      <c r="C23" s="31" t="s">
        <v>953</v>
      </c>
      <c r="D23" s="31">
        <v>7.000128901E9</v>
      </c>
      <c r="E23" s="34" t="s">
        <v>967</v>
      </c>
      <c r="F23" s="35">
        <v>36613.0</v>
      </c>
      <c r="G23" s="31" t="s">
        <v>955</v>
      </c>
      <c r="H23" s="31" t="s">
        <v>1006</v>
      </c>
      <c r="I23" s="31" t="s">
        <v>128</v>
      </c>
      <c r="J23" s="31" t="s">
        <v>394</v>
      </c>
      <c r="K23" s="31">
        <v>2024.0</v>
      </c>
      <c r="L23" s="31" t="s">
        <v>957</v>
      </c>
      <c r="M23" s="31" t="s">
        <v>581</v>
      </c>
      <c r="N23" s="31" t="s">
        <v>2124</v>
      </c>
      <c r="O23" s="31" t="s">
        <v>73</v>
      </c>
      <c r="P23" s="31" t="s">
        <v>119</v>
      </c>
      <c r="Q23" s="31" t="s">
        <v>75</v>
      </c>
      <c r="R23" s="37" t="s">
        <v>2125</v>
      </c>
      <c r="S23" s="37" t="s">
        <v>958</v>
      </c>
      <c r="T23" s="31" t="s">
        <v>86</v>
      </c>
      <c r="U23" s="31" t="s">
        <v>2130</v>
      </c>
      <c r="V23" s="31" t="s">
        <v>2132</v>
      </c>
      <c r="W23" s="31" t="s">
        <v>2134</v>
      </c>
      <c r="X23" s="31" t="s">
        <v>2135</v>
      </c>
      <c r="Y23" s="31" t="s">
        <v>149</v>
      </c>
      <c r="Z23" s="38"/>
      <c r="AA23" s="27"/>
      <c r="AB23" s="27"/>
      <c r="AC23" s="27"/>
      <c r="AD23" s="27"/>
      <c r="AE23" s="27"/>
      <c r="AF23" s="27"/>
    </row>
    <row r="24" ht="22.5" customHeight="1">
      <c r="A24" s="33">
        <v>46231.43852134259</v>
      </c>
      <c r="B24" s="31" t="s">
        <v>2138</v>
      </c>
      <c r="C24" s="31" t="s">
        <v>1923</v>
      </c>
      <c r="D24" s="31">
        <v>7.000130658E9</v>
      </c>
      <c r="E24" s="34" t="s">
        <v>1940</v>
      </c>
      <c r="F24" s="35">
        <v>36237.0</v>
      </c>
      <c r="G24" s="31" t="s">
        <v>1924</v>
      </c>
      <c r="H24" s="31" t="s">
        <v>635</v>
      </c>
      <c r="I24" s="31" t="s">
        <v>1925</v>
      </c>
      <c r="J24" s="31" t="s">
        <v>394</v>
      </c>
      <c r="K24" s="31">
        <v>2024.0</v>
      </c>
      <c r="L24" s="31" t="s">
        <v>628</v>
      </c>
      <c r="M24" s="31" t="s">
        <v>51</v>
      </c>
      <c r="N24" s="31" t="s">
        <v>2144</v>
      </c>
      <c r="O24" s="31" t="s">
        <v>73</v>
      </c>
      <c r="P24" s="31" t="s">
        <v>407</v>
      </c>
      <c r="Q24" s="31" t="s">
        <v>75</v>
      </c>
      <c r="R24" s="37" t="s">
        <v>2147</v>
      </c>
      <c r="S24" s="37" t="s">
        <v>1927</v>
      </c>
      <c r="T24" s="31" t="s">
        <v>86</v>
      </c>
      <c r="U24" s="31" t="s">
        <v>2153</v>
      </c>
      <c r="V24" s="31" t="s">
        <v>2155</v>
      </c>
      <c r="W24" s="31" t="s">
        <v>2157</v>
      </c>
      <c r="X24" s="31" t="s">
        <v>635</v>
      </c>
      <c r="Y24" s="31" t="s">
        <v>149</v>
      </c>
      <c r="Z24" s="38"/>
      <c r="AA24" s="27"/>
      <c r="AB24" s="27"/>
      <c r="AC24" s="27"/>
      <c r="AD24" s="27"/>
      <c r="AE24" s="27"/>
      <c r="AF24" s="27"/>
    </row>
    <row r="25" ht="22.5" customHeight="1">
      <c r="A25" s="33">
        <v>46231.53557715278</v>
      </c>
      <c r="B25" s="31" t="s">
        <v>2164</v>
      </c>
      <c r="C25" s="31" t="s">
        <v>577</v>
      </c>
      <c r="D25" s="31">
        <v>7.000237077E9</v>
      </c>
      <c r="E25" s="31" t="s">
        <v>594</v>
      </c>
      <c r="F25" s="35">
        <v>36124.0</v>
      </c>
      <c r="G25" s="31" t="s">
        <v>47</v>
      </c>
      <c r="H25" s="31" t="s">
        <v>2165</v>
      </c>
      <c r="I25" s="31" t="s">
        <v>28</v>
      </c>
      <c r="J25" s="31" t="s">
        <v>65</v>
      </c>
      <c r="K25" s="31">
        <v>2025.0</v>
      </c>
      <c r="L25" s="31" t="s">
        <v>552</v>
      </c>
      <c r="M25" s="31" t="s">
        <v>581</v>
      </c>
      <c r="N25" s="31" t="s">
        <v>2166</v>
      </c>
      <c r="O25" s="31" t="s">
        <v>73</v>
      </c>
      <c r="P25" s="31" t="s">
        <v>22</v>
      </c>
      <c r="Q25" s="31" t="s">
        <v>75</v>
      </c>
      <c r="R25" s="37" t="s">
        <v>2167</v>
      </c>
      <c r="S25" s="37" t="s">
        <v>582</v>
      </c>
      <c r="T25" s="31" t="s">
        <v>2168</v>
      </c>
      <c r="V25" s="31">
        <v>1.60210402005E11</v>
      </c>
      <c r="W25" s="31" t="s">
        <v>47</v>
      </c>
      <c r="X25" s="31" t="s">
        <v>2165</v>
      </c>
      <c r="Y25" s="31">
        <v>2.40211920199E11</v>
      </c>
      <c r="Z25" s="38"/>
      <c r="AA25" s="27"/>
      <c r="AB25" s="27"/>
      <c r="AC25" s="27"/>
      <c r="AD25" s="27"/>
      <c r="AE25" s="27"/>
      <c r="AF25" s="27"/>
    </row>
    <row r="26" ht="22.5" customHeight="1">
      <c r="A26" s="33">
        <v>46231.537635914356</v>
      </c>
      <c r="B26" s="31" t="s">
        <v>2169</v>
      </c>
      <c r="C26" s="31" t="s">
        <v>623</v>
      </c>
      <c r="D26" s="31">
        <v>7.000046967E9</v>
      </c>
      <c r="E26" s="34" t="s">
        <v>642</v>
      </c>
      <c r="F26" s="35">
        <v>35739.0</v>
      </c>
      <c r="G26" s="31" t="s">
        <v>627</v>
      </c>
      <c r="H26" s="31" t="s">
        <v>2170</v>
      </c>
      <c r="I26" s="31" t="s">
        <v>96</v>
      </c>
      <c r="J26" s="31" t="s">
        <v>114</v>
      </c>
      <c r="K26" s="31">
        <v>2023.0</v>
      </c>
      <c r="L26" s="31" t="s">
        <v>628</v>
      </c>
      <c r="M26" s="31" t="s">
        <v>149</v>
      </c>
      <c r="N26" s="31" t="s">
        <v>2171</v>
      </c>
      <c r="O26" s="31" t="s">
        <v>73</v>
      </c>
      <c r="P26" s="31" t="s">
        <v>92</v>
      </c>
      <c r="Q26" s="31" t="s">
        <v>75</v>
      </c>
      <c r="R26" s="37" t="s">
        <v>2172</v>
      </c>
      <c r="S26" s="37" t="s">
        <v>631</v>
      </c>
      <c r="T26" s="31" t="s">
        <v>2168</v>
      </c>
      <c r="V26" s="31">
        <v>2.3030150077E10</v>
      </c>
      <c r="W26" s="31" t="s">
        <v>627</v>
      </c>
      <c r="X26" s="31" t="s">
        <v>109</v>
      </c>
      <c r="Y26" s="31">
        <v>2.201022236E9</v>
      </c>
      <c r="Z26" s="38"/>
      <c r="AA26" s="27"/>
      <c r="AB26" s="27"/>
      <c r="AC26" s="27"/>
      <c r="AD26" s="27"/>
      <c r="AE26" s="27"/>
      <c r="AF26" s="27"/>
    </row>
    <row r="27" ht="22.5" customHeight="1">
      <c r="A27" s="33">
        <v>46231.54861077546</v>
      </c>
      <c r="B27" s="31" t="s">
        <v>2173</v>
      </c>
      <c r="C27" s="31" t="s">
        <v>875</v>
      </c>
      <c r="D27" s="31">
        <v>7.000157175E9</v>
      </c>
      <c r="E27" s="34" t="s">
        <v>891</v>
      </c>
      <c r="F27" s="35">
        <v>36078.0</v>
      </c>
      <c r="G27" s="31" t="s">
        <v>140</v>
      </c>
      <c r="H27" s="31" t="s">
        <v>2174</v>
      </c>
      <c r="I27" s="31" t="s">
        <v>128</v>
      </c>
      <c r="J27" s="31" t="s">
        <v>394</v>
      </c>
      <c r="K27" s="31">
        <v>2024.0</v>
      </c>
      <c r="L27" s="31" t="s">
        <v>70</v>
      </c>
      <c r="M27" s="31" t="s">
        <v>116</v>
      </c>
      <c r="N27" s="31" t="s">
        <v>2175</v>
      </c>
      <c r="O27" s="31" t="s">
        <v>73</v>
      </c>
      <c r="P27" s="31" t="s">
        <v>119</v>
      </c>
      <c r="Q27" s="31" t="s">
        <v>75</v>
      </c>
      <c r="R27" s="37" t="s">
        <v>2176</v>
      </c>
      <c r="S27" s="37" t="s">
        <v>880</v>
      </c>
      <c r="T27" s="31" t="s">
        <v>86</v>
      </c>
      <c r="U27" s="31" t="s">
        <v>2177</v>
      </c>
      <c r="V27" s="31" t="s">
        <v>2178</v>
      </c>
      <c r="W27" s="31" t="s">
        <v>140</v>
      </c>
      <c r="X27" s="31" t="s">
        <v>1219</v>
      </c>
      <c r="Y27" s="31" t="s">
        <v>2177</v>
      </c>
      <c r="Z27" s="38"/>
      <c r="AA27" s="27"/>
      <c r="AB27" s="27"/>
      <c r="AC27" s="27"/>
      <c r="AD27" s="27"/>
      <c r="AE27" s="27"/>
      <c r="AF27" s="27"/>
    </row>
    <row r="28" ht="22.5" customHeight="1">
      <c r="A28" s="33">
        <v>46231.56606994213</v>
      </c>
      <c r="B28" s="31" t="s">
        <v>2179</v>
      </c>
      <c r="C28" s="31" t="s">
        <v>1232</v>
      </c>
      <c r="D28" s="31">
        <v>7.000330445E9</v>
      </c>
      <c r="E28" s="34" t="s">
        <v>1278</v>
      </c>
      <c r="F28" s="35">
        <v>37538.0</v>
      </c>
      <c r="G28" s="31" t="s">
        <v>1073</v>
      </c>
      <c r="H28" s="31" t="s">
        <v>109</v>
      </c>
      <c r="I28" s="31" t="s">
        <v>230</v>
      </c>
      <c r="J28" s="31" t="s">
        <v>65</v>
      </c>
      <c r="K28" s="31">
        <v>2025.0</v>
      </c>
      <c r="L28" s="31" t="s">
        <v>1234</v>
      </c>
      <c r="M28" s="31" t="s">
        <v>232</v>
      </c>
      <c r="N28" s="31" t="s">
        <v>75</v>
      </c>
      <c r="O28" s="31" t="s">
        <v>73</v>
      </c>
      <c r="P28" s="31" t="s">
        <v>223</v>
      </c>
      <c r="Q28" s="31" t="s">
        <v>75</v>
      </c>
      <c r="R28" s="37" t="s">
        <v>2180</v>
      </c>
      <c r="S28" s="37" t="s">
        <v>1237</v>
      </c>
      <c r="T28" s="31" t="s">
        <v>86</v>
      </c>
      <c r="U28" s="31" t="s">
        <v>2181</v>
      </c>
      <c r="V28" s="31" t="s">
        <v>149</v>
      </c>
      <c r="W28" s="31" t="s">
        <v>149</v>
      </c>
      <c r="X28" s="31" t="s">
        <v>149</v>
      </c>
      <c r="Y28" s="31" t="s">
        <v>149</v>
      </c>
      <c r="Z28" s="38"/>
      <c r="AA28" s="27"/>
      <c r="AB28" s="27"/>
      <c r="AC28" s="27"/>
      <c r="AD28" s="27"/>
      <c r="AE28" s="27"/>
      <c r="AF28" s="27"/>
    </row>
    <row r="29" ht="22.5" customHeight="1">
      <c r="A29" s="33">
        <v>46231.60860653935</v>
      </c>
      <c r="B29" s="31" t="s">
        <v>2182</v>
      </c>
      <c r="C29" s="31" t="s">
        <v>517</v>
      </c>
      <c r="D29" s="31">
        <v>7.000166435E9</v>
      </c>
      <c r="E29" s="34" t="s">
        <v>540</v>
      </c>
      <c r="F29" s="35">
        <v>36893.0</v>
      </c>
      <c r="G29" s="31" t="s">
        <v>47</v>
      </c>
      <c r="H29" s="31" t="s">
        <v>2183</v>
      </c>
      <c r="I29" s="31" t="s">
        <v>28</v>
      </c>
      <c r="J29" s="31" t="s">
        <v>1014</v>
      </c>
      <c r="K29" s="31">
        <v>2024.0</v>
      </c>
      <c r="L29" s="31">
        <v>3.71</v>
      </c>
      <c r="M29" s="31">
        <v>4.0</v>
      </c>
      <c r="N29" s="31" t="s">
        <v>2184</v>
      </c>
      <c r="O29" s="31" t="s">
        <v>73</v>
      </c>
      <c r="P29" s="31" t="s">
        <v>22</v>
      </c>
      <c r="Q29" s="31" t="s">
        <v>75</v>
      </c>
      <c r="R29" s="37" t="s">
        <v>2185</v>
      </c>
      <c r="S29" s="37" t="s">
        <v>522</v>
      </c>
      <c r="T29" s="31" t="s">
        <v>86</v>
      </c>
      <c r="U29" s="31" t="s">
        <v>2186</v>
      </c>
      <c r="V29" s="31">
        <v>1.888201031E9</v>
      </c>
      <c r="W29" s="31" t="s">
        <v>47</v>
      </c>
      <c r="X29" s="31" t="s">
        <v>351</v>
      </c>
      <c r="Y29" s="31" t="s">
        <v>2186</v>
      </c>
      <c r="Z29" s="38"/>
      <c r="AA29" s="27"/>
      <c r="AB29" s="27"/>
      <c r="AC29" s="27"/>
      <c r="AD29" s="27"/>
      <c r="AE29" s="27"/>
      <c r="AF29" s="27"/>
    </row>
    <row r="30" ht="22.5" customHeight="1">
      <c r="A30" s="33">
        <v>46231.73962476852</v>
      </c>
      <c r="B30" s="31" t="s">
        <v>2191</v>
      </c>
      <c r="C30" s="31" t="s">
        <v>2033</v>
      </c>
      <c r="D30" s="31">
        <v>7.000291731E9</v>
      </c>
      <c r="E30" s="34" t="s">
        <v>2047</v>
      </c>
      <c r="F30" s="35">
        <v>37099.0</v>
      </c>
      <c r="G30" s="31" t="s">
        <v>2034</v>
      </c>
      <c r="H30" s="31" t="s">
        <v>2195</v>
      </c>
      <c r="I30" s="31" t="s">
        <v>842</v>
      </c>
      <c r="J30" s="31" t="s">
        <v>65</v>
      </c>
      <c r="K30" s="31">
        <v>2025.0</v>
      </c>
      <c r="L30" s="34" t="s">
        <v>2036</v>
      </c>
      <c r="M30" s="31" t="s">
        <v>712</v>
      </c>
      <c r="N30" s="31" t="s">
        <v>117</v>
      </c>
      <c r="O30" s="31" t="s">
        <v>73</v>
      </c>
      <c r="P30" s="31" t="s">
        <v>857</v>
      </c>
      <c r="Q30" s="31" t="s">
        <v>75</v>
      </c>
      <c r="R30" s="37" t="s">
        <v>2203</v>
      </c>
      <c r="S30" s="37" t="s">
        <v>2038</v>
      </c>
      <c r="T30" s="31" t="s">
        <v>86</v>
      </c>
      <c r="U30" s="31" t="s">
        <v>2210</v>
      </c>
      <c r="V30" s="31" t="s">
        <v>149</v>
      </c>
      <c r="W30" s="31" t="s">
        <v>149</v>
      </c>
      <c r="X30" s="31" t="s">
        <v>149</v>
      </c>
      <c r="Y30" s="31" t="s">
        <v>149</v>
      </c>
      <c r="Z30" s="38"/>
      <c r="AA30" s="27"/>
      <c r="AB30" s="27"/>
      <c r="AC30" s="27"/>
      <c r="AD30" s="27"/>
      <c r="AE30" s="27"/>
      <c r="AF30" s="27"/>
    </row>
    <row r="31" ht="22.5" customHeight="1">
      <c r="A31" s="33">
        <v>46231.75788883102</v>
      </c>
      <c r="B31" s="31" t="s">
        <v>2214</v>
      </c>
      <c r="C31" s="31" t="s">
        <v>359</v>
      </c>
      <c r="D31" s="31">
        <v>2.02200123884E11</v>
      </c>
      <c r="E31" s="34" t="s">
        <v>374</v>
      </c>
      <c r="F31" s="35">
        <v>34981.0</v>
      </c>
      <c r="G31" s="31" t="s">
        <v>310</v>
      </c>
      <c r="H31" s="31" t="s">
        <v>2219</v>
      </c>
      <c r="I31" s="31" t="s">
        <v>283</v>
      </c>
      <c r="J31" s="31" t="s">
        <v>65</v>
      </c>
      <c r="K31" s="31">
        <v>2025.0</v>
      </c>
      <c r="L31" s="31" t="s">
        <v>361</v>
      </c>
      <c r="M31" s="31" t="s">
        <v>51</v>
      </c>
      <c r="N31" s="31" t="s">
        <v>1602</v>
      </c>
      <c r="O31" s="31" t="s">
        <v>73</v>
      </c>
      <c r="P31" s="31" t="s">
        <v>280</v>
      </c>
      <c r="Q31" s="31" t="s">
        <v>21</v>
      </c>
      <c r="R31" s="31" t="s">
        <v>149</v>
      </c>
      <c r="S31" s="37" t="s">
        <v>363</v>
      </c>
      <c r="T31" s="31" t="s">
        <v>537</v>
      </c>
      <c r="Y31" s="31" t="s">
        <v>2221</v>
      </c>
      <c r="Z31" s="38"/>
      <c r="AA31" s="27"/>
      <c r="AB31" s="27"/>
      <c r="AC31" s="27"/>
      <c r="AD31" s="27"/>
      <c r="AE31" s="27"/>
      <c r="AF31" s="27"/>
    </row>
    <row r="32" ht="22.5" customHeight="1">
      <c r="A32" s="33">
        <v>46231.84451763889</v>
      </c>
      <c r="B32" s="31" t="s">
        <v>2222</v>
      </c>
      <c r="C32" s="31" t="s">
        <v>391</v>
      </c>
      <c r="D32" s="31">
        <v>7.000239728E9</v>
      </c>
      <c r="E32" s="34" t="s">
        <v>404</v>
      </c>
      <c r="F32" s="35">
        <v>37214.0</v>
      </c>
      <c r="G32" s="31" t="s">
        <v>392</v>
      </c>
      <c r="H32" s="31" t="s">
        <v>2223</v>
      </c>
      <c r="I32" s="31" t="s">
        <v>283</v>
      </c>
      <c r="J32" s="31" t="s">
        <v>65</v>
      </c>
      <c r="K32" s="31">
        <v>2025.0</v>
      </c>
      <c r="L32" s="31" t="s">
        <v>393</v>
      </c>
      <c r="M32" s="31" t="s">
        <v>51</v>
      </c>
      <c r="N32" s="31" t="s">
        <v>2224</v>
      </c>
      <c r="O32" s="31" t="s">
        <v>73</v>
      </c>
      <c r="P32" s="31" t="s">
        <v>280</v>
      </c>
      <c r="Q32" s="31" t="s">
        <v>21</v>
      </c>
      <c r="R32" s="31" t="s">
        <v>149</v>
      </c>
      <c r="S32" s="37" t="s">
        <v>395</v>
      </c>
      <c r="T32" s="31" t="s">
        <v>537</v>
      </c>
      <c r="Y32" s="31" t="s">
        <v>2225</v>
      </c>
      <c r="Z32" s="38"/>
      <c r="AA32" s="27"/>
      <c r="AB32" s="27"/>
      <c r="AC32" s="27"/>
      <c r="AD32" s="27"/>
      <c r="AE32" s="27"/>
      <c r="AF32" s="27"/>
    </row>
    <row r="33" ht="22.5" customHeight="1">
      <c r="A33" s="33">
        <v>46231.84842071759</v>
      </c>
      <c r="B33" s="31" t="s">
        <v>2226</v>
      </c>
      <c r="C33" s="31" t="s">
        <v>83</v>
      </c>
      <c r="D33" s="31">
        <v>7.000143754E9</v>
      </c>
      <c r="E33" s="34" t="s">
        <v>89</v>
      </c>
      <c r="F33" s="35">
        <v>36870.0</v>
      </c>
      <c r="G33" s="31" t="s">
        <v>69</v>
      </c>
      <c r="H33" s="31" t="s">
        <v>488</v>
      </c>
      <c r="I33" s="31" t="s">
        <v>28</v>
      </c>
      <c r="J33" s="31" t="s">
        <v>394</v>
      </c>
      <c r="K33" s="31">
        <v>2024.0</v>
      </c>
      <c r="L33" s="31" t="s">
        <v>84</v>
      </c>
      <c r="M33" s="31" t="s">
        <v>51</v>
      </c>
      <c r="N33" s="31" t="s">
        <v>2227</v>
      </c>
      <c r="O33" s="31" t="s">
        <v>73</v>
      </c>
      <c r="P33" s="31" t="s">
        <v>22</v>
      </c>
      <c r="Q33" s="31" t="s">
        <v>21</v>
      </c>
      <c r="R33" s="31" t="s">
        <v>149</v>
      </c>
      <c r="S33" s="37" t="s">
        <v>85</v>
      </c>
      <c r="T33" s="31" t="s">
        <v>537</v>
      </c>
      <c r="Y33" s="31" t="s">
        <v>2228</v>
      </c>
      <c r="Z33" s="38"/>
      <c r="AA33" s="27"/>
      <c r="AB33" s="27"/>
      <c r="AC33" s="27"/>
      <c r="AD33" s="27"/>
      <c r="AE33" s="27"/>
      <c r="AF33" s="27"/>
    </row>
    <row r="34" ht="22.5" customHeight="1">
      <c r="A34" s="33">
        <v>46231.85709331019</v>
      </c>
      <c r="B34" s="31" t="s">
        <v>2229</v>
      </c>
      <c r="C34" s="31" t="s">
        <v>46</v>
      </c>
      <c r="D34" s="31">
        <v>7.000145964E9</v>
      </c>
      <c r="E34" s="34" t="s">
        <v>62</v>
      </c>
      <c r="F34" s="35">
        <v>36538.0</v>
      </c>
      <c r="G34" s="31" t="s">
        <v>47</v>
      </c>
      <c r="H34" s="31" t="s">
        <v>488</v>
      </c>
      <c r="I34" s="31" t="s">
        <v>28</v>
      </c>
      <c r="J34" s="31" t="s">
        <v>394</v>
      </c>
      <c r="K34" s="31">
        <v>2024.0</v>
      </c>
      <c r="L34" s="31" t="s">
        <v>49</v>
      </c>
      <c r="M34" s="31" t="s">
        <v>51</v>
      </c>
      <c r="N34" s="31" t="s">
        <v>2230</v>
      </c>
      <c r="O34" s="31" t="s">
        <v>73</v>
      </c>
      <c r="P34" s="31" t="s">
        <v>22</v>
      </c>
      <c r="Q34" s="31" t="s">
        <v>21</v>
      </c>
      <c r="R34" s="31" t="s">
        <v>149</v>
      </c>
      <c r="S34" s="37" t="s">
        <v>52</v>
      </c>
      <c r="T34" s="31" t="s">
        <v>537</v>
      </c>
      <c r="Y34" s="31" t="s">
        <v>2231</v>
      </c>
      <c r="Z34" s="38"/>
      <c r="AA34" s="27"/>
      <c r="AB34" s="27"/>
      <c r="AC34" s="27"/>
      <c r="AD34" s="27"/>
      <c r="AE34" s="27"/>
      <c r="AF34" s="27"/>
    </row>
    <row r="35" ht="22.5" customHeight="1">
      <c r="A35" s="33">
        <v>46231.8693347338</v>
      </c>
      <c r="B35" s="31" t="s">
        <v>2232</v>
      </c>
      <c r="C35" s="31" t="s">
        <v>1581</v>
      </c>
      <c r="D35" s="31">
        <v>7.00014757E9</v>
      </c>
      <c r="E35" s="34" t="s">
        <v>1604</v>
      </c>
      <c r="F35" s="35">
        <v>36759.0</v>
      </c>
      <c r="G35" s="31" t="s">
        <v>1584</v>
      </c>
      <c r="H35" s="31" t="s">
        <v>2233</v>
      </c>
      <c r="I35" s="31" t="s">
        <v>1587</v>
      </c>
      <c r="J35" s="31" t="s">
        <v>1014</v>
      </c>
      <c r="K35" s="31">
        <v>2024.0</v>
      </c>
      <c r="L35" s="31" t="s">
        <v>720</v>
      </c>
      <c r="M35" s="31" t="s">
        <v>1588</v>
      </c>
      <c r="N35" s="31" t="s">
        <v>2234</v>
      </c>
      <c r="O35" s="31" t="s">
        <v>73</v>
      </c>
      <c r="P35" s="31" t="s">
        <v>1578</v>
      </c>
      <c r="Q35" s="31" t="s">
        <v>75</v>
      </c>
      <c r="R35" s="37" t="s">
        <v>2235</v>
      </c>
      <c r="S35" s="37" t="s">
        <v>1589</v>
      </c>
      <c r="T35" s="31" t="s">
        <v>86</v>
      </c>
      <c r="U35" s="31" t="s">
        <v>2236</v>
      </c>
      <c r="V35" s="31">
        <v>1.9510009E7</v>
      </c>
      <c r="W35" s="31" t="s">
        <v>2233</v>
      </c>
      <c r="X35" s="31" t="s">
        <v>2237</v>
      </c>
      <c r="Y35" s="31" t="s">
        <v>149</v>
      </c>
      <c r="Z35" s="38"/>
      <c r="AA35" s="27"/>
      <c r="AB35" s="27"/>
      <c r="AC35" s="27"/>
      <c r="AD35" s="27"/>
      <c r="AE35" s="27"/>
      <c r="AF35" s="27"/>
    </row>
    <row r="36" ht="22.5" customHeight="1">
      <c r="A36" s="33">
        <v>46231.874807430555</v>
      </c>
      <c r="B36" s="31" t="s">
        <v>2239</v>
      </c>
      <c r="C36" s="31" t="s">
        <v>1189</v>
      </c>
      <c r="D36" s="31">
        <v>2.02500039736E11</v>
      </c>
      <c r="E36" s="34" t="s">
        <v>1202</v>
      </c>
      <c r="F36" s="35">
        <v>35987.0</v>
      </c>
      <c r="G36" s="31" t="s">
        <v>1190</v>
      </c>
      <c r="H36" s="31" t="s">
        <v>1006</v>
      </c>
      <c r="I36" s="31" t="s">
        <v>1191</v>
      </c>
      <c r="J36" s="31" t="s">
        <v>114</v>
      </c>
      <c r="K36" s="31">
        <v>2023.0</v>
      </c>
      <c r="L36" s="31" t="s">
        <v>49</v>
      </c>
      <c r="M36" s="31" t="s">
        <v>122</v>
      </c>
      <c r="N36" s="31" t="s">
        <v>2234</v>
      </c>
      <c r="O36" s="31" t="s">
        <v>73</v>
      </c>
      <c r="P36" s="31" t="s">
        <v>223</v>
      </c>
      <c r="Q36" s="31" t="s">
        <v>75</v>
      </c>
      <c r="R36" s="37" t="s">
        <v>2242</v>
      </c>
      <c r="S36" s="37" t="s">
        <v>1192</v>
      </c>
      <c r="T36" s="31" t="s">
        <v>2168</v>
      </c>
      <c r="V36" s="31" t="s">
        <v>2244</v>
      </c>
      <c r="W36" s="31" t="s">
        <v>1190</v>
      </c>
      <c r="X36" s="31" t="s">
        <v>351</v>
      </c>
      <c r="Y36" s="31" t="s">
        <v>2245</v>
      </c>
      <c r="Z36" s="38"/>
      <c r="AA36" s="27"/>
      <c r="AB36" s="27"/>
      <c r="AC36" s="27"/>
      <c r="AD36" s="27"/>
      <c r="AE36" s="27"/>
      <c r="AF36" s="27"/>
    </row>
    <row r="37" ht="22.5" customHeight="1">
      <c r="A37" s="33">
        <v>46231.88089446759</v>
      </c>
      <c r="B37" s="31" t="s">
        <v>2246</v>
      </c>
      <c r="C37" s="31" t="s">
        <v>2003</v>
      </c>
      <c r="D37" s="31">
        <v>7.000116289E9</v>
      </c>
      <c r="E37" s="34" t="s">
        <v>2011</v>
      </c>
      <c r="F37" s="35">
        <v>36432.0</v>
      </c>
      <c r="G37" s="31" t="s">
        <v>2005</v>
      </c>
      <c r="H37" s="31" t="s">
        <v>2250</v>
      </c>
      <c r="I37" s="31" t="s">
        <v>842</v>
      </c>
      <c r="J37" s="31" t="s">
        <v>65</v>
      </c>
      <c r="K37" s="31">
        <v>2025.0</v>
      </c>
      <c r="L37" s="31" t="s">
        <v>719</v>
      </c>
      <c r="M37" s="31" t="s">
        <v>745</v>
      </c>
      <c r="N37" s="31" t="s">
        <v>2251</v>
      </c>
      <c r="O37" s="31" t="s">
        <v>73</v>
      </c>
      <c r="P37" s="31" t="s">
        <v>857</v>
      </c>
      <c r="Q37" s="31" t="s">
        <v>75</v>
      </c>
      <c r="R37" s="31" t="s">
        <v>149</v>
      </c>
      <c r="S37" s="37" t="s">
        <v>2007</v>
      </c>
      <c r="T37" s="31" t="s">
        <v>86</v>
      </c>
      <c r="U37" s="31" t="s">
        <v>2253</v>
      </c>
      <c r="V37" s="31">
        <v>5.171311001E9</v>
      </c>
      <c r="W37" s="31" t="s">
        <v>2005</v>
      </c>
      <c r="X37" s="31" t="s">
        <v>351</v>
      </c>
      <c r="Y37" s="31" t="s">
        <v>2253</v>
      </c>
      <c r="Z37" s="38"/>
      <c r="AA37" s="27"/>
      <c r="AB37" s="27"/>
      <c r="AC37" s="27"/>
      <c r="AD37" s="27"/>
      <c r="AE37" s="27"/>
      <c r="AF37" s="27"/>
    </row>
    <row r="38" ht="22.5" customHeight="1">
      <c r="A38" s="33">
        <v>46231.886918344906</v>
      </c>
      <c r="B38" s="31" t="s">
        <v>2257</v>
      </c>
      <c r="C38" s="31" t="s">
        <v>1209</v>
      </c>
      <c r="D38" s="31">
        <v>7.000019417E9</v>
      </c>
      <c r="E38" s="34" t="s">
        <v>1226</v>
      </c>
      <c r="F38" s="35">
        <v>34964.0</v>
      </c>
      <c r="G38" s="31" t="s">
        <v>1211</v>
      </c>
      <c r="H38" s="31" t="s">
        <v>109</v>
      </c>
      <c r="I38" s="31" t="s">
        <v>1213</v>
      </c>
      <c r="J38" s="31" t="s">
        <v>2259</v>
      </c>
      <c r="K38" s="31">
        <v>2023.0</v>
      </c>
      <c r="L38" s="31">
        <v>3.45</v>
      </c>
      <c r="M38" s="31">
        <v>3.94</v>
      </c>
      <c r="N38" s="31" t="s">
        <v>2261</v>
      </c>
      <c r="O38" s="31" t="s">
        <v>73</v>
      </c>
      <c r="P38" s="31" t="s">
        <v>223</v>
      </c>
      <c r="Q38" s="31" t="s">
        <v>75</v>
      </c>
      <c r="R38" s="37" t="s">
        <v>2263</v>
      </c>
      <c r="S38" s="37" t="s">
        <v>1215</v>
      </c>
      <c r="T38" s="31" t="s">
        <v>86</v>
      </c>
      <c r="U38" s="31" t="s">
        <v>2266</v>
      </c>
      <c r="V38" s="31" t="s">
        <v>149</v>
      </c>
      <c r="W38" s="31" t="s">
        <v>149</v>
      </c>
      <c r="X38" s="31" t="s">
        <v>149</v>
      </c>
      <c r="Y38" s="31" t="s">
        <v>149</v>
      </c>
      <c r="Z38" s="38"/>
      <c r="AA38" s="27"/>
      <c r="AB38" s="27"/>
      <c r="AC38" s="27"/>
      <c r="AD38" s="27"/>
      <c r="AE38" s="27"/>
      <c r="AF38" s="27"/>
    </row>
    <row r="39" ht="22.5" customHeight="1">
      <c r="A39" s="33">
        <v>46231.88617241898</v>
      </c>
      <c r="B39" s="31" t="s">
        <v>2269</v>
      </c>
      <c r="C39" s="31" t="s">
        <v>1945</v>
      </c>
      <c r="D39" s="31">
        <v>7.000181406E9</v>
      </c>
      <c r="E39" s="34" t="s">
        <v>1962</v>
      </c>
      <c r="F39" s="35">
        <v>36253.0</v>
      </c>
      <c r="G39" s="31" t="s">
        <v>1948</v>
      </c>
      <c r="H39" s="31" t="s">
        <v>109</v>
      </c>
      <c r="I39" s="31" t="s">
        <v>390</v>
      </c>
      <c r="J39" s="31" t="s">
        <v>1014</v>
      </c>
      <c r="K39" s="31">
        <v>2024.0</v>
      </c>
      <c r="L39" s="31" t="s">
        <v>115</v>
      </c>
      <c r="M39" s="31" t="s">
        <v>1448</v>
      </c>
      <c r="N39" s="31" t="s">
        <v>2272</v>
      </c>
      <c r="O39" s="31" t="s">
        <v>73</v>
      </c>
      <c r="P39" s="31" t="s">
        <v>407</v>
      </c>
      <c r="Q39" s="31" t="s">
        <v>75</v>
      </c>
      <c r="R39" s="37" t="s">
        <v>2273</v>
      </c>
      <c r="S39" s="37" t="s">
        <v>1951</v>
      </c>
      <c r="T39" s="31" t="s">
        <v>86</v>
      </c>
      <c r="U39" s="31" t="s">
        <v>2275</v>
      </c>
      <c r="V39" s="31" t="s">
        <v>149</v>
      </c>
      <c r="W39" s="31" t="s">
        <v>149</v>
      </c>
      <c r="X39" s="31" t="s">
        <v>1219</v>
      </c>
      <c r="Y39" s="31" t="s">
        <v>149</v>
      </c>
      <c r="Z39" s="38"/>
      <c r="AA39" s="27"/>
      <c r="AB39" s="27"/>
      <c r="AC39" s="27"/>
      <c r="AD39" s="27"/>
      <c r="AE39" s="27"/>
      <c r="AF39" s="27"/>
    </row>
    <row r="40" ht="22.5" customHeight="1">
      <c r="A40" s="33">
        <v>46231.890759050926</v>
      </c>
      <c r="B40" s="31" t="s">
        <v>2278</v>
      </c>
      <c r="C40" s="31" t="s">
        <v>1533</v>
      </c>
      <c r="D40" s="31">
        <v>7.000110408E9</v>
      </c>
      <c r="E40" s="34" t="s">
        <v>1565</v>
      </c>
      <c r="F40" s="35">
        <v>34873.0</v>
      </c>
      <c r="G40" s="31" t="s">
        <v>283</v>
      </c>
      <c r="H40" s="31" t="s">
        <v>351</v>
      </c>
      <c r="I40" s="31" t="s">
        <v>283</v>
      </c>
      <c r="J40" s="31" t="s">
        <v>1014</v>
      </c>
      <c r="K40" s="31">
        <v>2024.0</v>
      </c>
      <c r="L40" s="34" t="s">
        <v>1535</v>
      </c>
      <c r="M40" s="31" t="s">
        <v>1546</v>
      </c>
      <c r="N40" s="31" t="s">
        <v>2234</v>
      </c>
      <c r="O40" s="31" t="s">
        <v>73</v>
      </c>
      <c r="P40" s="31" t="s">
        <v>280</v>
      </c>
      <c r="Q40" s="31" t="s">
        <v>75</v>
      </c>
      <c r="R40" s="37" t="s">
        <v>1549</v>
      </c>
      <c r="S40" s="37" t="s">
        <v>1549</v>
      </c>
      <c r="T40" s="31" t="s">
        <v>86</v>
      </c>
      <c r="U40" s="31" t="s">
        <v>2285</v>
      </c>
      <c r="V40" s="31" t="s">
        <v>2286</v>
      </c>
      <c r="W40" s="31" t="s">
        <v>283</v>
      </c>
      <c r="X40" s="31" t="s">
        <v>351</v>
      </c>
      <c r="Y40" s="31" t="s">
        <v>149</v>
      </c>
      <c r="Z40" s="38"/>
      <c r="AA40" s="27"/>
      <c r="AB40" s="27"/>
      <c r="AC40" s="27"/>
      <c r="AD40" s="27"/>
      <c r="AE40" s="27"/>
      <c r="AF40" s="27"/>
    </row>
    <row r="41" ht="22.5" customHeight="1">
      <c r="A41" s="33">
        <v>46231.91060094908</v>
      </c>
      <c r="B41" s="31" t="s">
        <v>2294</v>
      </c>
      <c r="C41" s="31" t="s">
        <v>1420</v>
      </c>
      <c r="D41" s="31">
        <v>7.000229318E9</v>
      </c>
      <c r="E41" s="34" t="s">
        <v>1439</v>
      </c>
      <c r="F41" s="35">
        <v>37119.0</v>
      </c>
      <c r="G41" s="31" t="s">
        <v>1170</v>
      </c>
      <c r="H41" s="31" t="s">
        <v>351</v>
      </c>
      <c r="I41" s="31" t="s">
        <v>263</v>
      </c>
      <c r="J41" s="31" t="s">
        <v>240</v>
      </c>
      <c r="K41" s="31">
        <v>2024.0</v>
      </c>
      <c r="L41" s="31" t="s">
        <v>1423</v>
      </c>
      <c r="M41" s="31" t="s">
        <v>51</v>
      </c>
      <c r="N41" s="31" t="s">
        <v>1350</v>
      </c>
      <c r="O41" s="31" t="s">
        <v>73</v>
      </c>
      <c r="P41" s="31" t="s">
        <v>223</v>
      </c>
      <c r="Q41" s="31" t="s">
        <v>75</v>
      </c>
      <c r="R41" s="37" t="s">
        <v>2299</v>
      </c>
      <c r="S41" s="37" t="s">
        <v>1425</v>
      </c>
      <c r="T41" s="31" t="s">
        <v>86</v>
      </c>
      <c r="U41" s="31" t="s">
        <v>2301</v>
      </c>
      <c r="V41" s="31" t="s">
        <v>149</v>
      </c>
      <c r="W41" s="31" t="s">
        <v>149</v>
      </c>
      <c r="X41" s="31" t="s">
        <v>149</v>
      </c>
      <c r="Y41" s="31" t="s">
        <v>149</v>
      </c>
      <c r="Z41" s="38"/>
      <c r="AA41" s="27"/>
      <c r="AB41" s="27"/>
      <c r="AC41" s="27"/>
      <c r="AD41" s="27"/>
      <c r="AE41" s="27"/>
      <c r="AF41" s="27"/>
    </row>
    <row r="42" ht="22.5" customHeight="1">
      <c r="A42" s="33">
        <v>46231.911147499995</v>
      </c>
      <c r="B42" s="31" t="s">
        <v>2303</v>
      </c>
      <c r="C42" s="31" t="s">
        <v>716</v>
      </c>
      <c r="D42" s="31">
        <v>7.00015249E9</v>
      </c>
      <c r="E42" s="34" t="s">
        <v>734</v>
      </c>
      <c r="F42" s="35">
        <v>36699.0</v>
      </c>
      <c r="G42" s="31" t="s">
        <v>177</v>
      </c>
      <c r="H42" s="31" t="s">
        <v>2305</v>
      </c>
      <c r="I42" s="31" t="s">
        <v>128</v>
      </c>
      <c r="J42" s="31" t="s">
        <v>394</v>
      </c>
      <c r="K42" s="31">
        <v>2024.0</v>
      </c>
      <c r="L42" s="31" t="s">
        <v>719</v>
      </c>
      <c r="M42" s="31" t="s">
        <v>720</v>
      </c>
      <c r="N42" s="31" t="s">
        <v>2306</v>
      </c>
      <c r="O42" s="31" t="s">
        <v>73</v>
      </c>
      <c r="P42" s="31" t="s">
        <v>119</v>
      </c>
      <c r="Q42" s="31" t="s">
        <v>75</v>
      </c>
      <c r="R42" s="37" t="s">
        <v>722</v>
      </c>
      <c r="S42" s="37" t="s">
        <v>722</v>
      </c>
      <c r="T42" s="31" t="s">
        <v>86</v>
      </c>
      <c r="U42" s="31" t="s">
        <v>2309</v>
      </c>
      <c r="V42" s="31" t="s">
        <v>149</v>
      </c>
      <c r="W42" s="31" t="s">
        <v>149</v>
      </c>
      <c r="X42" s="31" t="s">
        <v>149</v>
      </c>
      <c r="Y42" s="31" t="s">
        <v>149</v>
      </c>
      <c r="Z42" s="38"/>
      <c r="AA42" s="27"/>
      <c r="AB42" s="27"/>
      <c r="AC42" s="27"/>
      <c r="AD42" s="27"/>
      <c r="AE42" s="27"/>
      <c r="AF42" s="27"/>
    </row>
    <row r="43" ht="22.5" customHeight="1">
      <c r="A43" s="33">
        <v>46231.92142857639</v>
      </c>
      <c r="B43" s="31" t="s">
        <v>2313</v>
      </c>
      <c r="C43" s="31" t="s">
        <v>1139</v>
      </c>
      <c r="D43" s="31">
        <v>7.000202065E9</v>
      </c>
      <c r="E43" s="34" t="s">
        <v>998</v>
      </c>
      <c r="F43" s="35">
        <v>35906.0</v>
      </c>
      <c r="G43" s="31" t="s">
        <v>1003</v>
      </c>
      <c r="H43" s="31" t="s">
        <v>351</v>
      </c>
      <c r="I43" s="31" t="s">
        <v>263</v>
      </c>
      <c r="J43" s="31" t="s">
        <v>1014</v>
      </c>
      <c r="K43" s="31">
        <v>2024.0</v>
      </c>
      <c r="L43" s="31" t="s">
        <v>1017</v>
      </c>
      <c r="M43" s="31" t="s">
        <v>51</v>
      </c>
      <c r="N43" s="31" t="s">
        <v>2317</v>
      </c>
      <c r="O43" s="31" t="s">
        <v>73</v>
      </c>
      <c r="P43" s="31" t="s">
        <v>223</v>
      </c>
      <c r="Q43" s="31" t="s">
        <v>75</v>
      </c>
      <c r="R43" s="37" t="s">
        <v>2319</v>
      </c>
      <c r="S43" s="37" t="s">
        <v>1143</v>
      </c>
      <c r="T43" s="31" t="s">
        <v>86</v>
      </c>
      <c r="U43" s="31" t="s">
        <v>1058</v>
      </c>
      <c r="V43" s="31" t="s">
        <v>1062</v>
      </c>
      <c r="W43" s="31" t="s">
        <v>1003</v>
      </c>
      <c r="X43" s="31" t="s">
        <v>351</v>
      </c>
      <c r="Y43" s="31" t="s">
        <v>1058</v>
      </c>
      <c r="Z43" s="38"/>
      <c r="AA43" s="27"/>
      <c r="AB43" s="27"/>
      <c r="AC43" s="27"/>
      <c r="AD43" s="27"/>
      <c r="AE43" s="27"/>
      <c r="AF43" s="27"/>
    </row>
    <row r="44" ht="22.5" customHeight="1">
      <c r="A44" s="33">
        <v>46231.9233643287</v>
      </c>
      <c r="B44" s="31" t="s">
        <v>2323</v>
      </c>
      <c r="C44" s="31" t="s">
        <v>1967</v>
      </c>
      <c r="D44" s="31">
        <v>7.000305558E9</v>
      </c>
      <c r="E44" s="34" t="s">
        <v>1984</v>
      </c>
      <c r="F44" s="35">
        <v>37188.0</v>
      </c>
      <c r="G44" s="31" t="s">
        <v>1969</v>
      </c>
      <c r="H44" s="31" t="s">
        <v>2326</v>
      </c>
      <c r="I44" s="31" t="s">
        <v>842</v>
      </c>
      <c r="J44" s="31" t="s">
        <v>65</v>
      </c>
      <c r="K44" s="31">
        <v>2025.0</v>
      </c>
      <c r="L44" s="31" t="s">
        <v>1970</v>
      </c>
      <c r="M44" s="31" t="s">
        <v>232</v>
      </c>
      <c r="N44" s="31" t="s">
        <v>2327</v>
      </c>
      <c r="O44" s="31" t="s">
        <v>73</v>
      </c>
      <c r="P44" s="31" t="s">
        <v>857</v>
      </c>
      <c r="Q44" s="31" t="s">
        <v>75</v>
      </c>
      <c r="R44" s="31" t="s">
        <v>149</v>
      </c>
      <c r="S44" s="37" t="s">
        <v>1973</v>
      </c>
      <c r="T44" s="31" t="s">
        <v>86</v>
      </c>
      <c r="U44" s="31" t="s">
        <v>2328</v>
      </c>
      <c r="V44" s="31">
        <v>8.020190094E9</v>
      </c>
      <c r="W44" s="31" t="s">
        <v>1969</v>
      </c>
      <c r="X44" s="31" t="s">
        <v>351</v>
      </c>
      <c r="Y44" s="31" t="s">
        <v>2329</v>
      </c>
      <c r="Z44" s="38"/>
      <c r="AA44" s="27"/>
      <c r="AB44" s="27"/>
      <c r="AC44" s="27"/>
      <c r="AD44" s="27"/>
      <c r="AE44" s="27"/>
      <c r="AF44" s="27"/>
    </row>
    <row r="45" ht="22.5" customHeight="1">
      <c r="A45" s="33">
        <v>46232.70063806713</v>
      </c>
      <c r="B45" s="31" t="s">
        <v>2330</v>
      </c>
      <c r="C45" s="31" t="s">
        <v>24</v>
      </c>
      <c r="D45" s="31">
        <v>7.000242161E9</v>
      </c>
      <c r="E45" s="34" t="s">
        <v>39</v>
      </c>
      <c r="F45" s="35">
        <v>37176.0</v>
      </c>
      <c r="G45" s="31" t="s">
        <v>25</v>
      </c>
      <c r="H45" s="31" t="s">
        <v>2332</v>
      </c>
      <c r="I45" s="31" t="s">
        <v>28</v>
      </c>
      <c r="J45" s="31" t="s">
        <v>65</v>
      </c>
      <c r="K45" s="31">
        <v>2025.0</v>
      </c>
      <c r="L45" s="31" t="s">
        <v>26</v>
      </c>
      <c r="M45" s="31" t="s">
        <v>29</v>
      </c>
      <c r="N45" s="31" t="s">
        <v>2333</v>
      </c>
      <c r="O45" s="31" t="s">
        <v>73</v>
      </c>
      <c r="P45" s="31" t="s">
        <v>22</v>
      </c>
      <c r="Q45" s="31" t="s">
        <v>21</v>
      </c>
      <c r="R45" s="37" t="s">
        <v>2334</v>
      </c>
      <c r="S45" s="37" t="s">
        <v>30</v>
      </c>
      <c r="T45" s="31" t="s">
        <v>537</v>
      </c>
      <c r="Y45" s="31" t="s">
        <v>2336</v>
      </c>
      <c r="Z45" s="38"/>
      <c r="AA45" s="27"/>
      <c r="AB45" s="27"/>
      <c r="AC45" s="27"/>
      <c r="AD45" s="27"/>
      <c r="AE45" s="27"/>
      <c r="AF45" s="27"/>
    </row>
    <row r="46" ht="22.5" customHeight="1">
      <c r="A46" s="33">
        <v>46231.94335212963</v>
      </c>
      <c r="B46" s="31" t="s">
        <v>2338</v>
      </c>
      <c r="C46" s="31" t="s">
        <v>1372</v>
      </c>
      <c r="D46" s="31">
        <v>7.000053135E9</v>
      </c>
      <c r="E46" s="34" t="s">
        <v>1390</v>
      </c>
      <c r="F46" s="35">
        <v>35925.0</v>
      </c>
      <c r="G46" s="31" t="s">
        <v>1374</v>
      </c>
      <c r="H46" s="31" t="s">
        <v>109</v>
      </c>
      <c r="I46" s="31" t="s">
        <v>1191</v>
      </c>
      <c r="J46" s="31" t="s">
        <v>2259</v>
      </c>
      <c r="K46" s="31">
        <v>2023.0</v>
      </c>
      <c r="L46" s="31">
        <v>3.74</v>
      </c>
      <c r="M46" s="31">
        <v>3.97</v>
      </c>
      <c r="N46" s="31" t="s">
        <v>2339</v>
      </c>
      <c r="O46" s="31" t="s">
        <v>73</v>
      </c>
      <c r="P46" s="31" t="s">
        <v>223</v>
      </c>
      <c r="Q46" s="31" t="s">
        <v>75</v>
      </c>
      <c r="R46" s="37" t="s">
        <v>2340</v>
      </c>
      <c r="S46" s="37" t="s">
        <v>1378</v>
      </c>
      <c r="T46" s="31" t="s">
        <v>86</v>
      </c>
      <c r="U46" s="31" t="s">
        <v>2344</v>
      </c>
      <c r="V46" s="31">
        <v>7.101416128E9</v>
      </c>
      <c r="W46" s="31" t="s">
        <v>1374</v>
      </c>
      <c r="X46" s="31" t="s">
        <v>109</v>
      </c>
      <c r="Y46" s="31" t="s">
        <v>149</v>
      </c>
      <c r="Z46" s="38"/>
      <c r="AA46" s="27"/>
      <c r="AB46" s="27"/>
      <c r="AC46" s="27"/>
      <c r="AD46" s="27"/>
      <c r="AE46" s="27"/>
      <c r="AF46" s="27"/>
    </row>
    <row r="47" ht="22.5" customHeight="1">
      <c r="A47" s="33">
        <v>46231.94807637732</v>
      </c>
      <c r="B47" s="31" t="s">
        <v>2346</v>
      </c>
      <c r="C47" s="31" t="s">
        <v>334</v>
      </c>
      <c r="D47" s="31" t="s">
        <v>2347</v>
      </c>
      <c r="E47" s="34" t="s">
        <v>353</v>
      </c>
      <c r="F47" s="35">
        <v>36747.0</v>
      </c>
      <c r="G47" s="31" t="s">
        <v>335</v>
      </c>
      <c r="H47" s="31" t="s">
        <v>2348</v>
      </c>
      <c r="I47" s="31" t="s">
        <v>283</v>
      </c>
      <c r="J47" s="31" t="s">
        <v>65</v>
      </c>
      <c r="K47" s="31">
        <v>2025.0</v>
      </c>
      <c r="L47" s="31">
        <v>3.77</v>
      </c>
      <c r="M47" s="31">
        <v>4.0</v>
      </c>
      <c r="N47" s="31" t="s">
        <v>1602</v>
      </c>
      <c r="O47" s="31" t="s">
        <v>73</v>
      </c>
      <c r="P47" s="31" t="s">
        <v>280</v>
      </c>
      <c r="Q47" s="31" t="s">
        <v>21</v>
      </c>
      <c r="R47" s="31" t="s">
        <v>149</v>
      </c>
      <c r="S47" s="37" t="s">
        <v>341</v>
      </c>
      <c r="T47" s="31" t="s">
        <v>537</v>
      </c>
      <c r="Y47" s="31" t="s">
        <v>2353</v>
      </c>
      <c r="Z47" s="38"/>
      <c r="AA47" s="27"/>
      <c r="AB47" s="27"/>
      <c r="AC47" s="27"/>
      <c r="AD47" s="27"/>
      <c r="AE47" s="27"/>
      <c r="AF47" s="27"/>
    </row>
    <row r="48" ht="22.5" customHeight="1">
      <c r="A48" s="33">
        <v>46231.94897387731</v>
      </c>
      <c r="B48" s="31" t="s">
        <v>2356</v>
      </c>
      <c r="C48" s="31" t="s">
        <v>2051</v>
      </c>
      <c r="D48" s="31">
        <v>7.00012574E9</v>
      </c>
      <c r="E48" s="34" t="s">
        <v>2061</v>
      </c>
      <c r="F48" s="35">
        <v>36890.0</v>
      </c>
      <c r="G48" s="31" t="s">
        <v>1777</v>
      </c>
      <c r="H48" s="31" t="s">
        <v>231</v>
      </c>
      <c r="I48" s="31" t="s">
        <v>842</v>
      </c>
      <c r="J48" s="31" t="s">
        <v>114</v>
      </c>
      <c r="K48" s="31">
        <v>2025.0</v>
      </c>
      <c r="L48" s="31" t="s">
        <v>127</v>
      </c>
      <c r="M48" s="31" t="s">
        <v>712</v>
      </c>
      <c r="N48" s="31" t="s">
        <v>2359</v>
      </c>
      <c r="O48" s="31" t="s">
        <v>73</v>
      </c>
      <c r="P48" s="31" t="s">
        <v>857</v>
      </c>
      <c r="Q48" s="31" t="s">
        <v>75</v>
      </c>
      <c r="R48" s="37" t="s">
        <v>2362</v>
      </c>
      <c r="S48" s="37" t="s">
        <v>2054</v>
      </c>
      <c r="T48" s="31" t="s">
        <v>86</v>
      </c>
      <c r="U48" s="31" t="s">
        <v>2364</v>
      </c>
      <c r="V48" s="31" t="s">
        <v>2365</v>
      </c>
      <c r="W48" s="31" t="s">
        <v>2367</v>
      </c>
      <c r="X48" s="31" t="s">
        <v>2368</v>
      </c>
      <c r="Y48" s="31" t="s">
        <v>2364</v>
      </c>
      <c r="Z48" s="38"/>
      <c r="AA48" s="27"/>
      <c r="AB48" s="27"/>
      <c r="AC48" s="27"/>
      <c r="AD48" s="27"/>
      <c r="AE48" s="27"/>
      <c r="AF48" s="27"/>
    </row>
    <row r="49" ht="22.5" customHeight="1">
      <c r="A49" s="33">
        <v>46231.983297638886</v>
      </c>
      <c r="B49" s="31" t="s">
        <v>2371</v>
      </c>
      <c r="C49" s="31" t="s">
        <v>1617</v>
      </c>
      <c r="D49" s="31">
        <v>7.000166234E9</v>
      </c>
      <c r="E49" s="34" t="s">
        <v>1642</v>
      </c>
      <c r="F49" s="35">
        <v>35826.0</v>
      </c>
      <c r="G49" s="31" t="s">
        <v>1620</v>
      </c>
      <c r="H49" s="31" t="s">
        <v>2373</v>
      </c>
      <c r="I49" s="31" t="s">
        <v>1587</v>
      </c>
      <c r="J49" s="31" t="s">
        <v>1014</v>
      </c>
      <c r="K49" s="31">
        <v>2024.0</v>
      </c>
      <c r="L49" s="31" t="s">
        <v>1621</v>
      </c>
      <c r="M49" s="31" t="s">
        <v>116</v>
      </c>
      <c r="N49" s="31" t="s">
        <v>2376</v>
      </c>
      <c r="O49" s="31" t="s">
        <v>73</v>
      </c>
      <c r="P49" s="31" t="s">
        <v>1578</v>
      </c>
      <c r="Q49" s="31" t="s">
        <v>75</v>
      </c>
      <c r="R49" s="37" t="s">
        <v>2377</v>
      </c>
      <c r="S49" s="37" t="s">
        <v>1626</v>
      </c>
      <c r="T49" s="31" t="s">
        <v>86</v>
      </c>
      <c r="U49" s="31" t="s">
        <v>2382</v>
      </c>
      <c r="V49" s="31" t="s">
        <v>149</v>
      </c>
      <c r="W49" s="31" t="s">
        <v>149</v>
      </c>
      <c r="X49" s="31" t="s">
        <v>149</v>
      </c>
      <c r="Y49" s="31" t="s">
        <v>149</v>
      </c>
      <c r="Z49" s="38"/>
      <c r="AA49" s="27"/>
      <c r="AB49" s="27"/>
      <c r="AC49" s="27"/>
      <c r="AD49" s="27"/>
      <c r="AE49" s="27"/>
      <c r="AF49" s="27"/>
    </row>
    <row r="50" ht="22.5" customHeight="1">
      <c r="A50" s="33">
        <v>46232.28749877315</v>
      </c>
      <c r="B50" s="31" t="s">
        <v>2386</v>
      </c>
      <c r="C50" s="31" t="s">
        <v>1877</v>
      </c>
      <c r="D50" s="31">
        <v>7.000043958E9</v>
      </c>
      <c r="E50" s="34" t="s">
        <v>1898</v>
      </c>
      <c r="F50" s="35">
        <v>34663.0</v>
      </c>
      <c r="G50" s="31" t="s">
        <v>1878</v>
      </c>
      <c r="H50" s="31" t="s">
        <v>2388</v>
      </c>
      <c r="I50" s="31" t="s">
        <v>64</v>
      </c>
      <c r="J50" s="31" t="s">
        <v>65</v>
      </c>
      <c r="K50" s="31">
        <v>2025.0</v>
      </c>
      <c r="L50" s="31" t="s">
        <v>434</v>
      </c>
      <c r="M50" s="31" t="s">
        <v>1881</v>
      </c>
      <c r="N50" s="31" t="s">
        <v>2390</v>
      </c>
      <c r="O50" s="31" t="s">
        <v>73</v>
      </c>
      <c r="P50" s="31" t="s">
        <v>74</v>
      </c>
      <c r="Q50" s="31" t="s">
        <v>75</v>
      </c>
      <c r="R50" s="31" t="s">
        <v>2392</v>
      </c>
      <c r="S50" s="37" t="s">
        <v>1882</v>
      </c>
      <c r="T50" s="31" t="s">
        <v>86</v>
      </c>
      <c r="U50" s="31" t="s">
        <v>2394</v>
      </c>
      <c r="V50" s="31" t="s">
        <v>2395</v>
      </c>
      <c r="W50" s="31" t="s">
        <v>2397</v>
      </c>
      <c r="X50" s="31" t="s">
        <v>2399</v>
      </c>
      <c r="Y50" s="31" t="s">
        <v>2394</v>
      </c>
      <c r="Z50" s="38"/>
      <c r="AA50" s="27"/>
      <c r="AB50" s="27"/>
      <c r="AC50" s="27"/>
      <c r="AD50" s="27"/>
      <c r="AE50" s="27"/>
      <c r="AF50" s="27"/>
    </row>
    <row r="51" ht="22.5" customHeight="1">
      <c r="A51" s="33">
        <v>46231.99100324074</v>
      </c>
      <c r="B51" s="31" t="s">
        <v>2401</v>
      </c>
      <c r="C51" s="31" t="s">
        <v>691</v>
      </c>
      <c r="D51" s="31">
        <v>7.000112279E9</v>
      </c>
      <c r="E51" s="34" t="s">
        <v>710</v>
      </c>
      <c r="F51" s="35">
        <v>36725.0</v>
      </c>
      <c r="G51" s="31" t="s">
        <v>693</v>
      </c>
      <c r="H51" s="31" t="s">
        <v>2403</v>
      </c>
      <c r="I51" s="31" t="s">
        <v>128</v>
      </c>
      <c r="J51" s="31" t="s">
        <v>114</v>
      </c>
      <c r="K51" s="31">
        <v>2023.0</v>
      </c>
      <c r="L51" s="31">
        <v>3.58</v>
      </c>
      <c r="M51" s="31">
        <v>3.97</v>
      </c>
      <c r="N51" s="31" t="s">
        <v>2407</v>
      </c>
      <c r="O51" s="31" t="s">
        <v>73</v>
      </c>
      <c r="P51" s="31" t="s">
        <v>119</v>
      </c>
      <c r="Q51" s="31" t="s">
        <v>75</v>
      </c>
      <c r="R51" s="37" t="s">
        <v>2408</v>
      </c>
      <c r="S51" s="37" t="s">
        <v>698</v>
      </c>
      <c r="T51" s="31" t="s">
        <v>86</v>
      </c>
      <c r="U51" s="31" t="s">
        <v>2411</v>
      </c>
      <c r="V51" s="31" t="s">
        <v>149</v>
      </c>
      <c r="W51" s="31" t="s">
        <v>149</v>
      </c>
      <c r="X51" s="31" t="s">
        <v>149</v>
      </c>
      <c r="Y51" s="31" t="s">
        <v>149</v>
      </c>
      <c r="Z51" s="38"/>
      <c r="AA51" s="27"/>
      <c r="AB51" s="27"/>
      <c r="AC51" s="27"/>
      <c r="AD51" s="27"/>
      <c r="AE51" s="27"/>
      <c r="AF51" s="27"/>
    </row>
    <row r="52" ht="22.5" customHeight="1">
      <c r="A52" s="33">
        <v>46231.99631266204</v>
      </c>
      <c r="B52" s="31" t="s">
        <v>2413</v>
      </c>
      <c r="C52" s="31" t="s">
        <v>1682</v>
      </c>
      <c r="D52" s="31">
        <v>7.000060591E9</v>
      </c>
      <c r="E52" s="34" t="s">
        <v>1697</v>
      </c>
      <c r="F52" s="35">
        <v>35267.0</v>
      </c>
      <c r="G52" s="31" t="s">
        <v>1684</v>
      </c>
      <c r="H52" s="31" t="s">
        <v>1006</v>
      </c>
      <c r="I52" s="31" t="s">
        <v>1587</v>
      </c>
      <c r="J52" s="31" t="s">
        <v>65</v>
      </c>
      <c r="K52" s="31">
        <v>2025.0</v>
      </c>
      <c r="L52" s="31" t="s">
        <v>154</v>
      </c>
      <c r="M52" s="31" t="s">
        <v>1685</v>
      </c>
      <c r="N52" s="31" t="s">
        <v>2417</v>
      </c>
      <c r="O52" s="31" t="s">
        <v>73</v>
      </c>
      <c r="P52" s="31" t="s">
        <v>1578</v>
      </c>
      <c r="Q52" s="31" t="s">
        <v>75</v>
      </c>
      <c r="R52" s="31" t="s">
        <v>149</v>
      </c>
      <c r="S52" s="37" t="s">
        <v>1687</v>
      </c>
      <c r="T52" s="31" t="s">
        <v>2168</v>
      </c>
      <c r="V52" s="31" t="s">
        <v>2418</v>
      </c>
      <c r="W52" s="31" t="s">
        <v>2419</v>
      </c>
      <c r="X52" s="31" t="s">
        <v>2420</v>
      </c>
      <c r="Y52" s="31" t="s">
        <v>2421</v>
      </c>
      <c r="Z52" s="38"/>
      <c r="AA52" s="27"/>
      <c r="AB52" s="27"/>
      <c r="AC52" s="27"/>
      <c r="AD52" s="27"/>
      <c r="AE52" s="27"/>
      <c r="AF52" s="27"/>
    </row>
    <row r="53" ht="22.5" customHeight="1">
      <c r="A53" s="33">
        <v>46232.345758553245</v>
      </c>
      <c r="B53" s="31" t="s">
        <v>2424</v>
      </c>
      <c r="C53" s="31" t="s">
        <v>1353</v>
      </c>
      <c r="D53" s="31">
        <v>7.00027015E9</v>
      </c>
      <c r="E53" s="34" t="s">
        <v>1365</v>
      </c>
      <c r="F53" s="35">
        <v>36978.0</v>
      </c>
      <c r="G53" s="31" t="s">
        <v>1355</v>
      </c>
      <c r="H53" s="31" t="s">
        <v>2425</v>
      </c>
      <c r="I53" s="31" t="s">
        <v>263</v>
      </c>
      <c r="J53" s="31" t="s">
        <v>65</v>
      </c>
      <c r="K53" s="31">
        <v>2025.0</v>
      </c>
      <c r="L53" s="31">
        <v>3.8</v>
      </c>
      <c r="M53" s="31">
        <v>3.85</v>
      </c>
      <c r="N53" s="31" t="s">
        <v>2426</v>
      </c>
      <c r="O53" s="31" t="s">
        <v>73</v>
      </c>
      <c r="P53" s="31" t="s">
        <v>223</v>
      </c>
      <c r="Q53" s="31" t="s">
        <v>75</v>
      </c>
      <c r="R53" s="31" t="s">
        <v>149</v>
      </c>
      <c r="S53" s="37" t="s">
        <v>1358</v>
      </c>
      <c r="T53" s="31" t="s">
        <v>86</v>
      </c>
      <c r="U53" s="31" t="s">
        <v>2429</v>
      </c>
      <c r="V53" s="31" t="s">
        <v>149</v>
      </c>
      <c r="W53" s="31" t="s">
        <v>149</v>
      </c>
      <c r="X53" s="31" t="s">
        <v>149</v>
      </c>
      <c r="Y53" s="31" t="s">
        <v>149</v>
      </c>
      <c r="Z53" s="38"/>
      <c r="AA53" s="27"/>
      <c r="AB53" s="27"/>
      <c r="AC53" s="27"/>
      <c r="AD53" s="27"/>
      <c r="AE53" s="27"/>
      <c r="AF53" s="27"/>
    </row>
    <row r="54" ht="22.5" customHeight="1">
      <c r="A54" s="33">
        <v>46232.37958408565</v>
      </c>
      <c r="B54" s="31" t="s">
        <v>2432</v>
      </c>
      <c r="C54" s="31" t="s">
        <v>1446</v>
      </c>
      <c r="D54" s="31">
        <v>7.000024673E9</v>
      </c>
      <c r="E54" s="34" t="s">
        <v>1464</v>
      </c>
      <c r="F54" s="35">
        <v>36036.0</v>
      </c>
      <c r="G54" s="31" t="s">
        <v>310</v>
      </c>
      <c r="H54" s="31" t="s">
        <v>2435</v>
      </c>
      <c r="I54" s="31" t="s">
        <v>283</v>
      </c>
      <c r="J54" s="31" t="s">
        <v>394</v>
      </c>
      <c r="K54" s="31">
        <v>2024.0</v>
      </c>
      <c r="L54" s="31" t="s">
        <v>1448</v>
      </c>
      <c r="M54" s="31" t="s">
        <v>581</v>
      </c>
      <c r="N54" s="31" t="s">
        <v>1238</v>
      </c>
      <c r="O54" s="31" t="s">
        <v>2436</v>
      </c>
      <c r="P54" s="31" t="s">
        <v>280</v>
      </c>
      <c r="Q54" s="31" t="s">
        <v>75</v>
      </c>
      <c r="R54" s="37" t="s">
        <v>2437</v>
      </c>
      <c r="S54" s="37" t="s">
        <v>1451</v>
      </c>
      <c r="T54" s="31" t="s">
        <v>86</v>
      </c>
      <c r="U54" s="31" t="s">
        <v>2441</v>
      </c>
      <c r="V54" s="31" t="s">
        <v>149</v>
      </c>
      <c r="W54" s="31" t="s">
        <v>149</v>
      </c>
      <c r="X54" s="31" t="s">
        <v>446</v>
      </c>
      <c r="Y54" s="31" t="s">
        <v>149</v>
      </c>
      <c r="Z54" s="38"/>
      <c r="AA54" s="27"/>
      <c r="AB54" s="27"/>
      <c r="AC54" s="27"/>
      <c r="AD54" s="27"/>
      <c r="AE54" s="27"/>
      <c r="AF54" s="27"/>
    </row>
    <row r="55" ht="22.5" customHeight="1">
      <c r="A55" s="33">
        <v>46232.413991388894</v>
      </c>
      <c r="B55" s="31" t="s">
        <v>2443</v>
      </c>
      <c r="C55" s="31" t="s">
        <v>1398</v>
      </c>
      <c r="D55" s="31">
        <v>7.000211281E9</v>
      </c>
      <c r="E55" s="34" t="s">
        <v>1415</v>
      </c>
      <c r="F55" s="35">
        <v>36799.0</v>
      </c>
      <c r="G55" s="31" t="s">
        <v>1003</v>
      </c>
      <c r="H55" s="31" t="s">
        <v>2444</v>
      </c>
      <c r="I55" s="31" t="s">
        <v>263</v>
      </c>
      <c r="J55" s="31" t="s">
        <v>65</v>
      </c>
      <c r="K55" s="31">
        <v>2025.0</v>
      </c>
      <c r="L55" s="31">
        <v>3.78</v>
      </c>
      <c r="M55" s="31">
        <v>3.8</v>
      </c>
      <c r="N55" s="31" t="s">
        <v>2446</v>
      </c>
      <c r="O55" s="31" t="s">
        <v>73</v>
      </c>
      <c r="P55" s="31" t="s">
        <v>223</v>
      </c>
      <c r="Q55" s="31" t="s">
        <v>75</v>
      </c>
      <c r="R55" s="37" t="s">
        <v>2447</v>
      </c>
      <c r="S55" s="37" t="s">
        <v>1402</v>
      </c>
      <c r="T55" s="31" t="s">
        <v>86</v>
      </c>
      <c r="U55" s="31" t="s">
        <v>2450</v>
      </c>
      <c r="V55" s="31" t="s">
        <v>149</v>
      </c>
      <c r="W55" s="31" t="s">
        <v>149</v>
      </c>
      <c r="X55" s="31" t="s">
        <v>149</v>
      </c>
      <c r="Y55" s="31" t="s">
        <v>149</v>
      </c>
      <c r="Z55" s="38"/>
      <c r="AA55" s="27"/>
      <c r="AB55" s="27"/>
      <c r="AC55" s="27"/>
      <c r="AD55" s="27"/>
      <c r="AE55" s="27"/>
      <c r="AF55" s="27"/>
    </row>
    <row r="56" ht="22.5" customHeight="1">
      <c r="A56" s="33">
        <v>46232.4241370949</v>
      </c>
      <c r="B56" s="31" t="s">
        <v>2452</v>
      </c>
      <c r="C56" s="31" t="s">
        <v>987</v>
      </c>
      <c r="D56" s="31">
        <v>7.000286251E9</v>
      </c>
      <c r="E56" s="34" t="s">
        <v>1009</v>
      </c>
      <c r="F56" s="35">
        <v>36951.0</v>
      </c>
      <c r="G56" s="31" t="s">
        <v>990</v>
      </c>
      <c r="H56" s="31" t="s">
        <v>109</v>
      </c>
      <c r="I56" s="31" t="s">
        <v>200</v>
      </c>
      <c r="J56" s="31" t="s">
        <v>65</v>
      </c>
      <c r="K56" s="31">
        <v>2025.0</v>
      </c>
      <c r="L56" s="31" t="s">
        <v>628</v>
      </c>
      <c r="M56" s="31" t="s">
        <v>51</v>
      </c>
      <c r="N56" s="31" t="s">
        <v>75</v>
      </c>
      <c r="O56" s="31" t="s">
        <v>73</v>
      </c>
      <c r="P56" s="31" t="s">
        <v>119</v>
      </c>
      <c r="Q56" s="31" t="s">
        <v>75</v>
      </c>
      <c r="R56" s="37" t="s">
        <v>2454</v>
      </c>
      <c r="S56" s="37" t="s">
        <v>994</v>
      </c>
      <c r="T56" s="31" t="s">
        <v>86</v>
      </c>
      <c r="U56" s="31" t="s">
        <v>2457</v>
      </c>
      <c r="V56" s="31" t="s">
        <v>149</v>
      </c>
      <c r="W56" s="31" t="s">
        <v>149</v>
      </c>
      <c r="X56" s="31" t="s">
        <v>149</v>
      </c>
      <c r="Y56" s="31" t="s">
        <v>149</v>
      </c>
      <c r="Z56" s="38"/>
      <c r="AA56" s="27"/>
      <c r="AB56" s="27"/>
      <c r="AC56" s="27"/>
      <c r="AD56" s="27"/>
      <c r="AE56" s="27"/>
      <c r="AF56" s="27"/>
    </row>
    <row r="57" ht="22.5" customHeight="1">
      <c r="A57" s="33">
        <v>46232.591391875</v>
      </c>
      <c r="B57" s="31" t="s">
        <v>2458</v>
      </c>
      <c r="C57" s="31" t="s">
        <v>1752</v>
      </c>
      <c r="D57" s="31">
        <v>7.000270364E9</v>
      </c>
      <c r="E57" s="34" t="s">
        <v>1768</v>
      </c>
      <c r="F57" s="35">
        <v>35796.0</v>
      </c>
      <c r="G57" s="31" t="s">
        <v>1753</v>
      </c>
      <c r="H57" s="31" t="s">
        <v>2461</v>
      </c>
      <c r="I57" s="31" t="s">
        <v>64</v>
      </c>
      <c r="J57" s="31" t="s">
        <v>65</v>
      </c>
      <c r="K57" s="31">
        <v>2025.0</v>
      </c>
      <c r="L57" s="31" t="s">
        <v>154</v>
      </c>
      <c r="M57" s="31" t="s">
        <v>1546</v>
      </c>
      <c r="N57" s="31" t="s">
        <v>2462</v>
      </c>
      <c r="O57" s="31" t="s">
        <v>73</v>
      </c>
      <c r="P57" s="31" t="s">
        <v>74</v>
      </c>
      <c r="Q57" s="31" t="s">
        <v>75</v>
      </c>
      <c r="R57" s="37" t="s">
        <v>2464</v>
      </c>
      <c r="S57" s="37" t="s">
        <v>1756</v>
      </c>
      <c r="T57" s="31" t="s">
        <v>86</v>
      </c>
      <c r="U57" s="31" t="s">
        <v>2467</v>
      </c>
      <c r="V57" s="34" t="s">
        <v>2468</v>
      </c>
      <c r="W57" s="31" t="s">
        <v>2469</v>
      </c>
      <c r="X57" s="31" t="s">
        <v>351</v>
      </c>
      <c r="Y57" s="31" t="s">
        <v>2467</v>
      </c>
      <c r="Z57" s="38"/>
      <c r="AA57" s="27"/>
      <c r="AB57" s="27"/>
      <c r="AC57" s="27"/>
      <c r="AD57" s="27"/>
      <c r="AE57" s="27"/>
      <c r="AF57" s="27"/>
    </row>
    <row r="58" ht="22.5" customHeight="1">
      <c r="A58" s="33">
        <v>46232.617303067134</v>
      </c>
      <c r="B58" s="31" t="s">
        <v>2472</v>
      </c>
      <c r="C58" s="31" t="s">
        <v>669</v>
      </c>
      <c r="D58" s="31">
        <v>7.000016192E9</v>
      </c>
      <c r="E58" s="34" t="s">
        <v>686</v>
      </c>
      <c r="F58" s="35">
        <v>36614.0</v>
      </c>
      <c r="G58" s="31" t="s">
        <v>671</v>
      </c>
      <c r="H58" s="31" t="s">
        <v>2473</v>
      </c>
      <c r="I58" s="31" t="s">
        <v>110</v>
      </c>
      <c r="J58" s="31" t="s">
        <v>65</v>
      </c>
      <c r="K58" s="31">
        <v>2025.0</v>
      </c>
      <c r="L58" s="31">
        <v>3.6</v>
      </c>
      <c r="M58" s="31">
        <v>3.93</v>
      </c>
      <c r="N58" s="31" t="s">
        <v>2476</v>
      </c>
      <c r="O58" s="31" t="s">
        <v>73</v>
      </c>
      <c r="P58" s="31" t="s">
        <v>104</v>
      </c>
      <c r="Q58" s="31" t="s">
        <v>75</v>
      </c>
      <c r="R58" s="37" t="s">
        <v>2477</v>
      </c>
      <c r="S58" s="37" t="s">
        <v>674</v>
      </c>
      <c r="T58" s="31" t="s">
        <v>2248</v>
      </c>
      <c r="AA58" s="32"/>
      <c r="AB58" s="32"/>
      <c r="AC58" s="32"/>
      <c r="AD58" s="32"/>
      <c r="AE58" s="32"/>
      <c r="AF58" s="32"/>
    </row>
    <row r="59" ht="22.5" customHeight="1">
      <c r="A59" s="33">
        <v>46232.632230567135</v>
      </c>
      <c r="B59" s="31" t="s">
        <v>2481</v>
      </c>
      <c r="C59" s="31" t="s">
        <v>2066</v>
      </c>
      <c r="D59" s="31">
        <v>7.000198128E9</v>
      </c>
      <c r="E59" s="34" t="s">
        <v>2086</v>
      </c>
      <c r="F59" s="35">
        <v>36045.0</v>
      </c>
      <c r="G59" s="31" t="s">
        <v>2068</v>
      </c>
      <c r="H59" s="31" t="s">
        <v>109</v>
      </c>
      <c r="I59" s="31" t="s">
        <v>842</v>
      </c>
      <c r="J59" s="31" t="s">
        <v>65</v>
      </c>
      <c r="K59" s="31">
        <v>2025.0</v>
      </c>
      <c r="L59" s="31" t="s">
        <v>2070</v>
      </c>
      <c r="M59" s="31" t="s">
        <v>581</v>
      </c>
      <c r="N59" s="31" t="s">
        <v>2483</v>
      </c>
      <c r="O59" s="31" t="s">
        <v>73</v>
      </c>
      <c r="P59" s="31" t="s">
        <v>857</v>
      </c>
      <c r="Q59" s="31" t="s">
        <v>75</v>
      </c>
      <c r="R59" s="37" t="s">
        <v>2484</v>
      </c>
      <c r="S59" s="37" t="s">
        <v>2072</v>
      </c>
      <c r="T59" s="31" t="s">
        <v>2248</v>
      </c>
      <c r="AA59" s="32"/>
      <c r="AB59" s="32"/>
      <c r="AC59" s="32"/>
      <c r="AD59" s="32"/>
      <c r="AE59" s="32"/>
      <c r="AF59" s="32"/>
    </row>
    <row r="60" ht="22.5" customHeight="1">
      <c r="A60" s="33">
        <v>46232.751943854164</v>
      </c>
      <c r="B60" s="31" t="s">
        <v>2488</v>
      </c>
      <c r="C60" s="31" t="s">
        <v>1323</v>
      </c>
      <c r="D60" s="31">
        <v>7.00026836E9</v>
      </c>
      <c r="E60" s="34" t="s">
        <v>1343</v>
      </c>
      <c r="F60" s="35">
        <v>36941.0</v>
      </c>
      <c r="G60" s="31" t="s">
        <v>1325</v>
      </c>
      <c r="H60" s="31" t="s">
        <v>2490</v>
      </c>
      <c r="I60" s="31" t="s">
        <v>263</v>
      </c>
      <c r="J60" s="31" t="s">
        <v>65</v>
      </c>
      <c r="K60" s="31">
        <v>2025.0</v>
      </c>
      <c r="L60" s="31" t="s">
        <v>127</v>
      </c>
      <c r="M60" s="31" t="s">
        <v>51</v>
      </c>
      <c r="N60" s="31" t="s">
        <v>2234</v>
      </c>
      <c r="O60" s="31" t="s">
        <v>73</v>
      </c>
      <c r="P60" s="31" t="s">
        <v>223</v>
      </c>
      <c r="Q60" s="31" t="s">
        <v>75</v>
      </c>
      <c r="R60" s="31" t="s">
        <v>2493</v>
      </c>
      <c r="S60" s="37" t="s">
        <v>1330</v>
      </c>
      <c r="T60" s="31" t="s">
        <v>86</v>
      </c>
      <c r="U60" s="31" t="s">
        <v>2494</v>
      </c>
      <c r="V60" s="31" t="s">
        <v>149</v>
      </c>
      <c r="W60" s="31" t="s">
        <v>149</v>
      </c>
      <c r="X60" s="31" t="s">
        <v>149</v>
      </c>
      <c r="Y60" s="31" t="s">
        <v>149</v>
      </c>
      <c r="Z60" s="38"/>
      <c r="AA60" s="27"/>
      <c r="AB60" s="27"/>
      <c r="AC60" s="27"/>
      <c r="AD60" s="27"/>
      <c r="AE60" s="27"/>
      <c r="AF60" s="27"/>
    </row>
    <row r="61" ht="22.5" customHeight="1">
      <c r="A61" s="33">
        <v>46232.778198506945</v>
      </c>
      <c r="B61" s="31" t="s">
        <v>2498</v>
      </c>
      <c r="C61" s="31" t="s">
        <v>209</v>
      </c>
      <c r="D61" s="31">
        <v>7.000142556E9</v>
      </c>
      <c r="E61" s="34" t="s">
        <v>795</v>
      </c>
      <c r="F61" s="35">
        <v>36540.0</v>
      </c>
      <c r="G61" s="31" t="s">
        <v>776</v>
      </c>
      <c r="H61" s="31" t="s">
        <v>2499</v>
      </c>
      <c r="I61" s="31" t="s">
        <v>128</v>
      </c>
      <c r="J61" s="31" t="s">
        <v>394</v>
      </c>
      <c r="K61" s="31">
        <v>2024.0</v>
      </c>
      <c r="L61" s="31" t="s">
        <v>778</v>
      </c>
      <c r="M61" s="31" t="s">
        <v>51</v>
      </c>
      <c r="N61" s="31" t="s">
        <v>2175</v>
      </c>
      <c r="O61" s="31" t="s">
        <v>73</v>
      </c>
      <c r="P61" s="31" t="s">
        <v>119</v>
      </c>
      <c r="Q61" s="31" t="s">
        <v>75</v>
      </c>
      <c r="R61" s="37" t="s">
        <v>2503</v>
      </c>
      <c r="S61" s="37" t="s">
        <v>780</v>
      </c>
      <c r="T61" s="31" t="s">
        <v>2248</v>
      </c>
      <c r="AA61" s="32"/>
      <c r="AB61" s="32"/>
      <c r="AC61" s="32"/>
      <c r="AD61" s="32"/>
      <c r="AE61" s="32"/>
      <c r="AF61" s="32"/>
    </row>
    <row r="62" ht="22.5" customHeight="1">
      <c r="A62" s="33">
        <v>46232.779342939815</v>
      </c>
      <c r="B62" s="31" t="s">
        <v>2507</v>
      </c>
      <c r="C62" s="31" t="s">
        <v>1802</v>
      </c>
      <c r="D62" s="31">
        <v>7.000243397E9</v>
      </c>
      <c r="E62" s="34" t="s">
        <v>1820</v>
      </c>
      <c r="F62" s="35">
        <v>36144.0</v>
      </c>
      <c r="G62" s="31" t="s">
        <v>1803</v>
      </c>
      <c r="H62" s="31" t="s">
        <v>231</v>
      </c>
      <c r="I62" s="31" t="s">
        <v>64</v>
      </c>
      <c r="J62" s="31" t="s">
        <v>65</v>
      </c>
      <c r="K62" s="31">
        <v>2025.0</v>
      </c>
      <c r="L62" s="31" t="s">
        <v>79</v>
      </c>
      <c r="M62" s="31" t="s">
        <v>552</v>
      </c>
      <c r="N62" s="31" t="s">
        <v>1238</v>
      </c>
      <c r="O62" s="31" t="s">
        <v>73</v>
      </c>
      <c r="P62" s="31" t="s">
        <v>74</v>
      </c>
      <c r="Q62" s="31" t="s">
        <v>75</v>
      </c>
      <c r="R62" s="37" t="s">
        <v>2512</v>
      </c>
      <c r="S62" s="37" t="s">
        <v>1806</v>
      </c>
      <c r="T62" s="31" t="s">
        <v>86</v>
      </c>
      <c r="U62" s="31" t="s">
        <v>2514</v>
      </c>
      <c r="V62" s="31" t="s">
        <v>2515</v>
      </c>
      <c r="W62" s="31" t="s">
        <v>2516</v>
      </c>
      <c r="X62" s="31" t="s">
        <v>2368</v>
      </c>
      <c r="Y62" s="31" t="s">
        <v>149</v>
      </c>
      <c r="Z62" s="38"/>
      <c r="AA62" s="27"/>
      <c r="AB62" s="27"/>
      <c r="AC62" s="27"/>
      <c r="AD62" s="27"/>
      <c r="AE62" s="27"/>
      <c r="AF62" s="27"/>
    </row>
    <row r="63" ht="22.5" customHeight="1">
      <c r="A63" s="33">
        <v>46232.79726127315</v>
      </c>
      <c r="B63" s="31" t="s">
        <v>2518</v>
      </c>
      <c r="C63" s="31" t="s">
        <v>549</v>
      </c>
      <c r="D63" s="31">
        <v>7.000154546E9</v>
      </c>
      <c r="E63" s="34" t="s">
        <v>570</v>
      </c>
      <c r="F63" s="35">
        <v>36685.0</v>
      </c>
      <c r="G63" s="31" t="s">
        <v>47</v>
      </c>
      <c r="H63" s="31" t="s">
        <v>231</v>
      </c>
      <c r="I63" s="31" t="s">
        <v>28</v>
      </c>
      <c r="J63" s="31" t="s">
        <v>394</v>
      </c>
      <c r="K63" s="31">
        <v>2024.0</v>
      </c>
      <c r="L63" s="31" t="s">
        <v>311</v>
      </c>
      <c r="M63" s="31" t="s">
        <v>552</v>
      </c>
      <c r="N63" s="31" t="s">
        <v>2521</v>
      </c>
      <c r="O63" s="31" t="s">
        <v>73</v>
      </c>
      <c r="P63" s="31" t="s">
        <v>22</v>
      </c>
      <c r="Q63" s="31" t="s">
        <v>75</v>
      </c>
      <c r="R63" s="37" t="s">
        <v>2523</v>
      </c>
      <c r="S63" s="37" t="s">
        <v>555</v>
      </c>
      <c r="T63" s="31" t="s">
        <v>86</v>
      </c>
      <c r="U63" s="31" t="s">
        <v>2526</v>
      </c>
      <c r="V63" s="31" t="s">
        <v>2527</v>
      </c>
      <c r="W63" s="31" t="s">
        <v>2527</v>
      </c>
      <c r="X63" s="31" t="s">
        <v>1219</v>
      </c>
      <c r="Y63" s="31" t="s">
        <v>2528</v>
      </c>
      <c r="Z63" s="38"/>
      <c r="AA63" s="27"/>
      <c r="AB63" s="27"/>
      <c r="AC63" s="27"/>
      <c r="AD63" s="27"/>
      <c r="AE63" s="27"/>
      <c r="AF63" s="27"/>
    </row>
    <row r="64" ht="22.5" customHeight="1">
      <c r="A64" s="33">
        <v>46232.812568946756</v>
      </c>
      <c r="B64" s="31" t="s">
        <v>2532</v>
      </c>
      <c r="C64" s="31" t="s">
        <v>257</v>
      </c>
      <c r="D64" s="31">
        <v>7.000190544E9</v>
      </c>
      <c r="E64" s="34" t="s">
        <v>274</v>
      </c>
      <c r="F64" s="35">
        <v>36900.0</v>
      </c>
      <c r="G64" s="31" t="s">
        <v>260</v>
      </c>
      <c r="H64" s="31" t="s">
        <v>488</v>
      </c>
      <c r="I64" s="31" t="s">
        <v>263</v>
      </c>
      <c r="J64" s="31" t="s">
        <v>1014</v>
      </c>
      <c r="K64" s="31">
        <v>2025.0</v>
      </c>
      <c r="L64" s="31" t="s">
        <v>261</v>
      </c>
      <c r="M64" s="31" t="s">
        <v>149</v>
      </c>
      <c r="N64" s="31" t="s">
        <v>2537</v>
      </c>
      <c r="O64" s="31" t="s">
        <v>73</v>
      </c>
      <c r="P64" s="31" t="s">
        <v>223</v>
      </c>
      <c r="Q64" s="31" t="s">
        <v>21</v>
      </c>
      <c r="R64" s="37" t="s">
        <v>2538</v>
      </c>
      <c r="S64" s="37" t="s">
        <v>265</v>
      </c>
      <c r="T64" s="31" t="s">
        <v>2248</v>
      </c>
      <c r="AA64" s="32"/>
      <c r="AB64" s="32"/>
      <c r="AC64" s="32"/>
      <c r="AD64" s="32"/>
      <c r="AE64" s="32"/>
      <c r="AF64" s="32"/>
    </row>
    <row r="65" ht="22.5" customHeight="1">
      <c r="A65" s="33">
        <v>46232.823357615736</v>
      </c>
      <c r="B65" s="31" t="s">
        <v>2546</v>
      </c>
      <c r="C65" s="31" t="s">
        <v>1701</v>
      </c>
      <c r="D65" s="31">
        <v>2.01698584238E11</v>
      </c>
      <c r="E65" s="34" t="s">
        <v>1721</v>
      </c>
      <c r="F65" s="35">
        <v>33628.0</v>
      </c>
      <c r="G65" s="31" t="s">
        <v>1620</v>
      </c>
      <c r="H65" s="31" t="s">
        <v>231</v>
      </c>
      <c r="I65" s="31" t="s">
        <v>1587</v>
      </c>
      <c r="J65" s="31" t="s">
        <v>65</v>
      </c>
      <c r="K65" s="31">
        <v>2025.0</v>
      </c>
      <c r="L65" s="31" t="s">
        <v>1703</v>
      </c>
      <c r="M65" s="31" t="s">
        <v>1685</v>
      </c>
      <c r="N65" s="31" t="s">
        <v>2550</v>
      </c>
      <c r="O65" s="31" t="s">
        <v>73</v>
      </c>
      <c r="P65" s="31" t="s">
        <v>1578</v>
      </c>
      <c r="Q65" s="31" t="s">
        <v>75</v>
      </c>
      <c r="R65" s="31" t="s">
        <v>149</v>
      </c>
      <c r="S65" s="37" t="s">
        <v>1706</v>
      </c>
      <c r="T65" s="31" t="s">
        <v>2248</v>
      </c>
      <c r="AA65" s="32"/>
      <c r="AB65" s="32"/>
      <c r="AC65" s="32"/>
      <c r="AD65" s="32"/>
      <c r="AE65" s="32"/>
      <c r="AF65" s="32"/>
    </row>
    <row r="66" ht="22.5" customHeight="1">
      <c r="A66" s="33">
        <v>46232.82399815972</v>
      </c>
      <c r="B66" s="31" t="s">
        <v>2552</v>
      </c>
      <c r="C66" s="31" t="s">
        <v>1494</v>
      </c>
      <c r="D66" s="31">
        <v>7.000001058E9</v>
      </c>
      <c r="E66" s="34" t="s">
        <v>1513</v>
      </c>
      <c r="F66" s="35">
        <v>36668.0</v>
      </c>
      <c r="G66" s="31" t="s">
        <v>1495</v>
      </c>
      <c r="H66" s="31" t="s">
        <v>2420</v>
      </c>
      <c r="I66" s="31" t="s">
        <v>283</v>
      </c>
      <c r="J66" s="31" t="s">
        <v>394</v>
      </c>
      <c r="K66" s="31">
        <v>2024.0</v>
      </c>
      <c r="L66" s="31" t="s">
        <v>49</v>
      </c>
      <c r="M66" s="31">
        <v>4.0</v>
      </c>
      <c r="N66" s="31" t="s">
        <v>2554</v>
      </c>
      <c r="O66" s="31" t="s">
        <v>73</v>
      </c>
      <c r="P66" s="31" t="s">
        <v>280</v>
      </c>
      <c r="Q66" s="31" t="s">
        <v>75</v>
      </c>
      <c r="R66" s="31" t="s">
        <v>149</v>
      </c>
      <c r="S66" s="37" t="s">
        <v>1498</v>
      </c>
      <c r="T66" s="31" t="s">
        <v>2248</v>
      </c>
      <c r="AA66" s="32"/>
      <c r="AB66" s="32"/>
      <c r="AC66" s="32"/>
      <c r="AD66" s="32"/>
      <c r="AE66" s="32"/>
      <c r="AF66" s="32"/>
    </row>
    <row r="67" ht="22.5" customHeight="1">
      <c r="A67" s="33">
        <v>46232.948406180556</v>
      </c>
      <c r="B67" s="31" t="s">
        <v>2559</v>
      </c>
      <c r="C67" s="31" t="s">
        <v>1470</v>
      </c>
      <c r="D67" s="31">
        <v>7.00012563E9</v>
      </c>
      <c r="E67" s="34" t="s">
        <v>1486</v>
      </c>
      <c r="F67" s="35">
        <v>36525.0</v>
      </c>
      <c r="G67" s="31" t="s">
        <v>310</v>
      </c>
      <c r="H67" s="31" t="s">
        <v>351</v>
      </c>
      <c r="I67" s="31" t="s">
        <v>283</v>
      </c>
      <c r="J67" s="31" t="s">
        <v>394</v>
      </c>
      <c r="K67" s="31">
        <v>2024.0</v>
      </c>
      <c r="L67" s="31" t="s">
        <v>1473</v>
      </c>
      <c r="M67" s="31" t="s">
        <v>51</v>
      </c>
      <c r="N67" s="31" t="s">
        <v>117</v>
      </c>
      <c r="O67" s="31" t="s">
        <v>73</v>
      </c>
      <c r="P67" s="31" t="s">
        <v>280</v>
      </c>
      <c r="Q67" s="31" t="s">
        <v>75</v>
      </c>
      <c r="R67" s="37" t="s">
        <v>2562</v>
      </c>
      <c r="S67" s="37" t="s">
        <v>1476</v>
      </c>
      <c r="T67" s="31" t="s">
        <v>2168</v>
      </c>
      <c r="V67" s="31" t="s">
        <v>2566</v>
      </c>
      <c r="W67" s="31" t="s">
        <v>310</v>
      </c>
      <c r="X67" s="31" t="s">
        <v>231</v>
      </c>
      <c r="Y67" s="31" t="s">
        <v>2568</v>
      </c>
      <c r="Z67" s="38"/>
      <c r="AA67" s="27"/>
      <c r="AB67" s="27"/>
      <c r="AC67" s="27"/>
      <c r="AD67" s="27"/>
      <c r="AE67" s="27"/>
      <c r="AF67" s="27"/>
    </row>
    <row r="68" ht="22.5" customHeight="1">
      <c r="A68" s="33">
        <v>46232.869522430556</v>
      </c>
      <c r="B68" s="31" t="s">
        <v>2570</v>
      </c>
      <c r="C68" s="31" t="s">
        <v>1729</v>
      </c>
      <c r="D68" s="31">
        <v>7.000114559E9</v>
      </c>
      <c r="E68" s="34" t="s">
        <v>1747</v>
      </c>
      <c r="F68" s="35">
        <v>36304.0</v>
      </c>
      <c r="G68" s="31" t="s">
        <v>1730</v>
      </c>
      <c r="H68" s="31" t="s">
        <v>595</v>
      </c>
      <c r="I68" s="31" t="s">
        <v>64</v>
      </c>
      <c r="J68" s="31" t="s">
        <v>114</v>
      </c>
      <c r="K68" s="31">
        <v>2023.0</v>
      </c>
      <c r="L68" s="31" t="s">
        <v>1423</v>
      </c>
      <c r="M68" s="31" t="s">
        <v>51</v>
      </c>
      <c r="N68" s="31" t="s">
        <v>2572</v>
      </c>
      <c r="O68" s="31" t="s">
        <v>73</v>
      </c>
      <c r="P68" s="31" t="s">
        <v>74</v>
      </c>
      <c r="Q68" s="31" t="s">
        <v>75</v>
      </c>
      <c r="R68" s="37" t="s">
        <v>2574</v>
      </c>
      <c r="S68" s="37" t="s">
        <v>1731</v>
      </c>
      <c r="T68" s="31" t="s">
        <v>86</v>
      </c>
      <c r="U68" s="31" t="s">
        <v>2576</v>
      </c>
      <c r="V68" s="31" t="s">
        <v>149</v>
      </c>
      <c r="W68" s="31" t="s">
        <v>149</v>
      </c>
      <c r="X68" s="31" t="s">
        <v>149</v>
      </c>
      <c r="Y68" s="31" t="s">
        <v>149</v>
      </c>
      <c r="Z68" s="38"/>
      <c r="AA68" s="27"/>
      <c r="AB68" s="27"/>
      <c r="AC68" s="27"/>
      <c r="AD68" s="27"/>
      <c r="AE68" s="27"/>
      <c r="AF68" s="27"/>
    </row>
    <row r="69" ht="22.5" customHeight="1">
      <c r="A69" s="33">
        <v>46232.888823877314</v>
      </c>
      <c r="B69" s="31" t="s">
        <v>2579</v>
      </c>
      <c r="C69" s="31" t="s">
        <v>848</v>
      </c>
      <c r="D69" s="31">
        <v>7.000128335E9</v>
      </c>
      <c r="E69" s="31" t="s">
        <v>868</v>
      </c>
      <c r="F69" s="35">
        <v>35795.0</v>
      </c>
      <c r="G69" s="31" t="s">
        <v>851</v>
      </c>
      <c r="H69" s="31" t="s">
        <v>446</v>
      </c>
      <c r="I69" s="31" t="s">
        <v>128</v>
      </c>
      <c r="J69" s="31" t="s">
        <v>394</v>
      </c>
      <c r="K69" s="31">
        <v>2024.0</v>
      </c>
      <c r="L69" s="31" t="s">
        <v>744</v>
      </c>
      <c r="M69" s="31" t="s">
        <v>712</v>
      </c>
      <c r="N69" s="31" t="s">
        <v>1238</v>
      </c>
      <c r="O69" s="31" t="s">
        <v>73</v>
      </c>
      <c r="P69" s="31" t="s">
        <v>119</v>
      </c>
      <c r="Q69" s="31" t="s">
        <v>75</v>
      </c>
      <c r="R69" s="37" t="s">
        <v>2581</v>
      </c>
      <c r="S69" s="37" t="s">
        <v>855</v>
      </c>
      <c r="T69" s="31" t="s">
        <v>86</v>
      </c>
      <c r="U69" s="31" t="s">
        <v>2582</v>
      </c>
      <c r="V69" s="31" t="s">
        <v>149</v>
      </c>
      <c r="W69" s="31" t="s">
        <v>149</v>
      </c>
      <c r="X69" s="31" t="s">
        <v>149</v>
      </c>
      <c r="Y69" s="31" t="s">
        <v>149</v>
      </c>
      <c r="Z69" s="38"/>
      <c r="AA69" s="27"/>
      <c r="AB69" s="27"/>
      <c r="AC69" s="27"/>
      <c r="AD69" s="27"/>
      <c r="AE69" s="27"/>
      <c r="AF69" s="27"/>
    </row>
    <row r="70" ht="22.5" customHeight="1">
      <c r="A70" s="33">
        <v>46232.94248082176</v>
      </c>
      <c r="B70" s="31" t="s">
        <v>2584</v>
      </c>
      <c r="C70" s="31" t="s">
        <v>1049</v>
      </c>
      <c r="D70" s="31">
        <v>7.000131551E9</v>
      </c>
      <c r="E70" s="34" t="s">
        <v>1064</v>
      </c>
      <c r="F70" s="35">
        <v>36436.0</v>
      </c>
      <c r="G70" s="31" t="s">
        <v>1052</v>
      </c>
      <c r="H70" s="31" t="s">
        <v>109</v>
      </c>
      <c r="I70" s="31" t="s">
        <v>128</v>
      </c>
      <c r="J70" s="31" t="s">
        <v>394</v>
      </c>
      <c r="K70" s="31">
        <v>2024.0</v>
      </c>
      <c r="L70" s="31" t="s">
        <v>628</v>
      </c>
      <c r="M70" s="31" t="s">
        <v>581</v>
      </c>
      <c r="N70" s="31" t="s">
        <v>2588</v>
      </c>
      <c r="O70" s="31" t="s">
        <v>73</v>
      </c>
      <c r="P70" s="31" t="s">
        <v>119</v>
      </c>
      <c r="Q70" s="31" t="s">
        <v>75</v>
      </c>
      <c r="R70" s="37" t="s">
        <v>2590</v>
      </c>
      <c r="S70" s="37" t="s">
        <v>1053</v>
      </c>
      <c r="T70" s="31" t="s">
        <v>86</v>
      </c>
      <c r="U70" s="31" t="s">
        <v>2592</v>
      </c>
      <c r="V70" s="31">
        <v>0.0</v>
      </c>
      <c r="W70" s="31">
        <v>0.0</v>
      </c>
      <c r="X70" s="31">
        <v>0.0</v>
      </c>
      <c r="Y70" s="31">
        <v>0.0</v>
      </c>
      <c r="Z70" s="38"/>
      <c r="AA70" s="27"/>
      <c r="AB70" s="27"/>
      <c r="AC70" s="27"/>
      <c r="AD70" s="27"/>
      <c r="AE70" s="27"/>
      <c r="AF70" s="27"/>
    </row>
    <row r="71" ht="22.5" customHeight="1">
      <c r="A71" s="33">
        <v>46232.91890185185</v>
      </c>
      <c r="B71" s="31" t="s">
        <v>2594</v>
      </c>
      <c r="C71" s="31" t="s">
        <v>1650</v>
      </c>
      <c r="D71" s="31">
        <v>2.0169838862E11</v>
      </c>
      <c r="E71" s="34" t="s">
        <v>1675</v>
      </c>
      <c r="F71" s="35">
        <v>32570.0</v>
      </c>
      <c r="G71" s="31" t="s">
        <v>1652</v>
      </c>
      <c r="H71" s="31" t="s">
        <v>2420</v>
      </c>
      <c r="I71" s="31" t="s">
        <v>1587</v>
      </c>
      <c r="J71" s="31" t="s">
        <v>2259</v>
      </c>
      <c r="K71" s="31">
        <v>2023.0</v>
      </c>
      <c r="L71" s="31" t="s">
        <v>1654</v>
      </c>
      <c r="M71" s="31">
        <v>90.13</v>
      </c>
      <c r="N71" s="31" t="s">
        <v>2596</v>
      </c>
      <c r="O71" s="31" t="s">
        <v>73</v>
      </c>
      <c r="P71" s="31" t="s">
        <v>1578</v>
      </c>
      <c r="Q71" s="31" t="s">
        <v>75</v>
      </c>
      <c r="R71" s="37" t="s">
        <v>2598</v>
      </c>
      <c r="S71" s="37" t="s">
        <v>1656</v>
      </c>
      <c r="T71" s="31" t="s">
        <v>2248</v>
      </c>
      <c r="AA71" s="32"/>
      <c r="AB71" s="32"/>
      <c r="AC71" s="32"/>
      <c r="AD71" s="32"/>
      <c r="AE71" s="32"/>
      <c r="AF71" s="32"/>
    </row>
    <row r="72" ht="22.5" customHeight="1">
      <c r="A72" s="33">
        <v>46232.9390231713</v>
      </c>
      <c r="B72" s="31" t="s">
        <v>2601</v>
      </c>
      <c r="C72" s="31" t="s">
        <v>1826</v>
      </c>
      <c r="D72" s="31">
        <v>7.000213119E9</v>
      </c>
      <c r="E72" s="34" t="s">
        <v>1849</v>
      </c>
      <c r="F72" s="35">
        <v>37275.0</v>
      </c>
      <c r="G72" s="31" t="s">
        <v>1828</v>
      </c>
      <c r="H72" s="31" t="s">
        <v>2602</v>
      </c>
      <c r="I72" s="31" t="s">
        <v>64</v>
      </c>
      <c r="J72" s="31" t="s">
        <v>240</v>
      </c>
      <c r="K72" s="31">
        <v>2025.0</v>
      </c>
      <c r="L72" s="31">
        <v>3.76</v>
      </c>
      <c r="M72" s="31">
        <v>3.91</v>
      </c>
      <c r="N72" s="31" t="s">
        <v>117</v>
      </c>
      <c r="O72" s="31" t="s">
        <v>73</v>
      </c>
      <c r="P72" s="31" t="s">
        <v>74</v>
      </c>
      <c r="Q72" s="31" t="s">
        <v>75</v>
      </c>
      <c r="R72" s="37" t="s">
        <v>2603</v>
      </c>
      <c r="S72" s="37" t="s">
        <v>1832</v>
      </c>
      <c r="T72" s="31" t="s">
        <v>86</v>
      </c>
      <c r="U72" s="31" t="s">
        <v>2604</v>
      </c>
      <c r="V72" s="31">
        <v>1.9051124E9</v>
      </c>
      <c r="W72" s="31" t="s">
        <v>2605</v>
      </c>
      <c r="X72" s="31" t="s">
        <v>635</v>
      </c>
      <c r="Y72" s="31" t="s">
        <v>2606</v>
      </c>
      <c r="Z72" s="38"/>
      <c r="AA72" s="27"/>
      <c r="AB72" s="27"/>
      <c r="AC72" s="27"/>
      <c r="AD72" s="27"/>
      <c r="AE72" s="27"/>
      <c r="AF72" s="27"/>
    </row>
    <row r="73" ht="22.5" customHeight="1">
      <c r="A73" s="33">
        <v>46232.957299131944</v>
      </c>
      <c r="B73" s="31" t="s">
        <v>1132</v>
      </c>
      <c r="C73" s="31" t="s">
        <v>2017</v>
      </c>
      <c r="D73" s="31">
        <v>2.023000958E11</v>
      </c>
      <c r="E73" s="34" t="s">
        <v>2030</v>
      </c>
      <c r="F73" s="35">
        <v>34740.0</v>
      </c>
      <c r="G73" s="31" t="s">
        <v>2018</v>
      </c>
      <c r="H73" s="31" t="s">
        <v>2607</v>
      </c>
      <c r="I73" s="31" t="s">
        <v>283</v>
      </c>
      <c r="J73" s="31" t="s">
        <v>1014</v>
      </c>
      <c r="K73" s="31">
        <v>2024.0</v>
      </c>
      <c r="L73" s="31" t="s">
        <v>2020</v>
      </c>
      <c r="M73" s="31" t="s">
        <v>149</v>
      </c>
      <c r="N73" s="31" t="s">
        <v>2608</v>
      </c>
      <c r="O73" s="31" t="s">
        <v>73</v>
      </c>
      <c r="P73" s="31" t="s">
        <v>857</v>
      </c>
      <c r="Q73" s="31" t="s">
        <v>75</v>
      </c>
      <c r="R73" s="31" t="s">
        <v>149</v>
      </c>
      <c r="S73" s="37" t="s">
        <v>2023</v>
      </c>
      <c r="T73" s="31" t="s">
        <v>2248</v>
      </c>
      <c r="AA73" s="32"/>
      <c r="AB73" s="32"/>
      <c r="AC73" s="32"/>
      <c r="AD73" s="32"/>
      <c r="AE73" s="32"/>
      <c r="AF73" s="32"/>
    </row>
    <row r="74" ht="22.5" customHeight="1">
      <c r="A74" s="33">
        <v>46232.95736260417</v>
      </c>
      <c r="B74" s="31" t="s">
        <v>2609</v>
      </c>
      <c r="C74" s="31" t="s">
        <v>920</v>
      </c>
      <c r="D74" s="31">
        <v>7.000266904E9</v>
      </c>
      <c r="E74" s="34" t="s">
        <v>933</v>
      </c>
      <c r="F74" s="35">
        <v>37043.0</v>
      </c>
      <c r="G74" s="31" t="s">
        <v>921</v>
      </c>
      <c r="H74" s="31" t="s">
        <v>2610</v>
      </c>
      <c r="I74" s="31" t="s">
        <v>128</v>
      </c>
      <c r="J74" s="31" t="s">
        <v>65</v>
      </c>
      <c r="K74" s="31">
        <v>2025.0</v>
      </c>
      <c r="L74" s="31" t="s">
        <v>552</v>
      </c>
      <c r="M74" s="31" t="s">
        <v>745</v>
      </c>
      <c r="N74" s="31" t="s">
        <v>2611</v>
      </c>
      <c r="O74" s="31" t="s">
        <v>73</v>
      </c>
      <c r="P74" s="31" t="s">
        <v>119</v>
      </c>
      <c r="Q74" s="31" t="s">
        <v>75</v>
      </c>
      <c r="R74" s="37" t="s">
        <v>2612</v>
      </c>
      <c r="S74" s="37" t="s">
        <v>924</v>
      </c>
      <c r="T74" s="31" t="s">
        <v>2248</v>
      </c>
      <c r="AA74" s="32"/>
      <c r="AB74" s="32"/>
      <c r="AC74" s="32"/>
      <c r="AD74" s="32"/>
      <c r="AE74" s="32"/>
      <c r="AF74" s="32"/>
    </row>
    <row r="75" ht="22.5" customHeight="1">
      <c r="A75" s="33">
        <v>46232.95830179398</v>
      </c>
      <c r="B75" s="31" t="s">
        <v>2613</v>
      </c>
      <c r="C75" s="31" t="s">
        <v>255</v>
      </c>
      <c r="D75" s="31">
        <v>7.000028992E9</v>
      </c>
      <c r="E75" s="34" t="s">
        <v>982</v>
      </c>
      <c r="F75" s="35">
        <v>35886.0</v>
      </c>
      <c r="G75" s="31" t="s">
        <v>632</v>
      </c>
      <c r="H75" s="31" t="s">
        <v>595</v>
      </c>
      <c r="I75" s="31" t="s">
        <v>128</v>
      </c>
      <c r="J75" s="31" t="s">
        <v>2259</v>
      </c>
      <c r="K75" s="31">
        <v>2023.0</v>
      </c>
      <c r="L75" s="31" t="s">
        <v>596</v>
      </c>
      <c r="M75" s="31" t="s">
        <v>745</v>
      </c>
      <c r="N75" s="31" t="s">
        <v>2614</v>
      </c>
      <c r="O75" s="31" t="s">
        <v>73</v>
      </c>
      <c r="P75" s="31" t="s">
        <v>119</v>
      </c>
      <c r="Q75" s="31" t="s">
        <v>75</v>
      </c>
      <c r="R75" s="37" t="s">
        <v>2615</v>
      </c>
      <c r="S75" s="37" t="s">
        <v>975</v>
      </c>
      <c r="T75" s="31" t="s">
        <v>86</v>
      </c>
      <c r="U75" s="31" t="s">
        <v>2616</v>
      </c>
      <c r="V75" s="31">
        <v>4.001416025E9</v>
      </c>
      <c r="W75" s="31" t="s">
        <v>632</v>
      </c>
      <c r="X75" s="31" t="s">
        <v>635</v>
      </c>
      <c r="Y75" s="31" t="s">
        <v>2616</v>
      </c>
      <c r="Z75" s="38"/>
      <c r="AA75" s="27"/>
      <c r="AB75" s="27"/>
      <c r="AC75" s="27"/>
      <c r="AD75" s="27"/>
      <c r="AE75" s="27"/>
      <c r="AF75" s="27"/>
    </row>
    <row r="76" ht="22.5" customHeight="1">
      <c r="A76" s="33">
        <v>46233.89457553241</v>
      </c>
      <c r="B76" s="31" t="s">
        <v>2617</v>
      </c>
      <c r="C76" s="31" t="s">
        <v>483</v>
      </c>
      <c r="D76" s="31">
        <v>7.000326329E9</v>
      </c>
      <c r="E76" s="34" t="s">
        <v>506</v>
      </c>
      <c r="F76" s="35">
        <v>36607.0</v>
      </c>
      <c r="G76" s="31" t="s">
        <v>486</v>
      </c>
      <c r="H76" s="31" t="s">
        <v>2618</v>
      </c>
      <c r="I76" s="31" t="s">
        <v>64</v>
      </c>
      <c r="J76" s="31" t="s">
        <v>65</v>
      </c>
      <c r="K76" s="31">
        <v>2025.0</v>
      </c>
      <c r="L76" s="31" t="s">
        <v>487</v>
      </c>
      <c r="M76" s="31" t="s">
        <v>51</v>
      </c>
      <c r="N76" s="31" t="s">
        <v>2619</v>
      </c>
      <c r="O76" s="31" t="s">
        <v>73</v>
      </c>
      <c r="P76" s="31" t="s">
        <v>74</v>
      </c>
      <c r="Q76" s="31" t="s">
        <v>21</v>
      </c>
      <c r="R76" s="31" t="s">
        <v>149</v>
      </c>
      <c r="S76" s="37" t="s">
        <v>490</v>
      </c>
      <c r="T76" s="31" t="s">
        <v>537</v>
      </c>
      <c r="Y76" s="31" t="s">
        <v>2620</v>
      </c>
      <c r="Z76" s="38"/>
      <c r="AA76" s="27"/>
      <c r="AB76" s="27"/>
      <c r="AC76" s="27"/>
      <c r="AD76" s="27"/>
      <c r="AE76" s="27"/>
      <c r="AF76" s="27"/>
    </row>
    <row r="77" ht="22.5" customHeight="1">
      <c r="A77" s="33">
        <v>46232.985863865746</v>
      </c>
      <c r="B77" s="31" t="s">
        <v>2622</v>
      </c>
      <c r="C77" s="31" t="s">
        <v>1520</v>
      </c>
      <c r="D77" s="31" t="s">
        <v>2623</v>
      </c>
      <c r="E77" s="34" t="s">
        <v>1525</v>
      </c>
      <c r="F77" s="35">
        <v>30409.0</v>
      </c>
      <c r="G77" s="31" t="s">
        <v>1521</v>
      </c>
      <c r="H77" s="31" t="s">
        <v>2373</v>
      </c>
      <c r="I77" s="31" t="s">
        <v>200</v>
      </c>
      <c r="J77" s="31" t="s">
        <v>2259</v>
      </c>
      <c r="K77" s="31">
        <v>2023.0</v>
      </c>
      <c r="L77" s="31">
        <v>2.75</v>
      </c>
      <c r="M77" s="31">
        <v>3.0</v>
      </c>
      <c r="N77" s="31" t="s">
        <v>2624</v>
      </c>
      <c r="O77" s="31" t="s">
        <v>2436</v>
      </c>
      <c r="P77" s="31" t="s">
        <v>280</v>
      </c>
      <c r="Q77" s="31" t="s">
        <v>75</v>
      </c>
      <c r="R77" s="31" t="s">
        <v>149</v>
      </c>
      <c r="S77" s="31" t="s">
        <v>149</v>
      </c>
      <c r="T77" s="31" t="s">
        <v>2248</v>
      </c>
      <c r="AA77" s="32"/>
      <c r="AB77" s="32"/>
      <c r="AC77" s="32"/>
      <c r="AD77" s="32"/>
      <c r="AE77" s="32"/>
      <c r="AF77" s="32"/>
    </row>
    <row r="78" ht="22.5" customHeight="1">
      <c r="A78" s="33">
        <v>46232.98802682871</v>
      </c>
      <c r="B78" s="31" t="s">
        <v>2625</v>
      </c>
      <c r="C78" s="31" t="s">
        <v>740</v>
      </c>
      <c r="D78" s="31">
        <v>7.000177065E9</v>
      </c>
      <c r="E78" s="34" t="s">
        <v>762</v>
      </c>
      <c r="F78" s="35">
        <v>36267.0</v>
      </c>
      <c r="G78" s="31" t="s">
        <v>742</v>
      </c>
      <c r="H78" s="31" t="s">
        <v>1887</v>
      </c>
      <c r="I78" s="31" t="s">
        <v>128</v>
      </c>
      <c r="J78" s="31" t="s">
        <v>394</v>
      </c>
      <c r="K78" s="31">
        <v>2024.0</v>
      </c>
      <c r="L78" s="31" t="s">
        <v>744</v>
      </c>
      <c r="M78" s="31" t="s">
        <v>745</v>
      </c>
      <c r="N78" s="31" t="s">
        <v>2626</v>
      </c>
      <c r="O78" s="31" t="s">
        <v>73</v>
      </c>
      <c r="P78" s="31" t="s">
        <v>119</v>
      </c>
      <c r="Q78" s="31" t="s">
        <v>75</v>
      </c>
      <c r="R78" s="37" t="s">
        <v>2627</v>
      </c>
      <c r="S78" s="37" t="s">
        <v>747</v>
      </c>
      <c r="T78" s="31" t="s">
        <v>2248</v>
      </c>
      <c r="AA78" s="32"/>
      <c r="AB78" s="32"/>
      <c r="AC78" s="32"/>
      <c r="AD78" s="32"/>
      <c r="AE78" s="32"/>
      <c r="AF78" s="32"/>
    </row>
    <row r="79" ht="22.5" customHeight="1">
      <c r="A79" s="33">
        <v>46233.37905173611</v>
      </c>
      <c r="B79" s="31" t="s">
        <v>2628</v>
      </c>
      <c r="C79" s="31" t="s">
        <v>126</v>
      </c>
      <c r="D79" s="31">
        <v>7.000132328E9</v>
      </c>
      <c r="E79" s="34" t="s">
        <v>135</v>
      </c>
      <c r="F79" s="35">
        <v>36431.0</v>
      </c>
      <c r="G79" s="31" t="s">
        <v>106</v>
      </c>
      <c r="H79" s="31" t="s">
        <v>2629</v>
      </c>
      <c r="I79" s="31" t="s">
        <v>128</v>
      </c>
      <c r="J79" s="31" t="s">
        <v>394</v>
      </c>
      <c r="K79" s="31">
        <v>2024.0</v>
      </c>
      <c r="L79" s="31" t="s">
        <v>127</v>
      </c>
      <c r="M79" s="31" t="s">
        <v>51</v>
      </c>
      <c r="N79" s="31" t="s">
        <v>2630</v>
      </c>
      <c r="O79" s="31" t="s">
        <v>73</v>
      </c>
      <c r="P79" s="31" t="s">
        <v>119</v>
      </c>
      <c r="Q79" s="31" t="s">
        <v>21</v>
      </c>
      <c r="R79" s="31" t="s">
        <v>149</v>
      </c>
      <c r="S79" s="37" t="s">
        <v>129</v>
      </c>
      <c r="T79" s="31" t="s">
        <v>2248</v>
      </c>
      <c r="AA79" s="32"/>
      <c r="AB79" s="32"/>
      <c r="AC79" s="32"/>
      <c r="AD79" s="32"/>
      <c r="AE79" s="32"/>
      <c r="AF79" s="32"/>
    </row>
    <row r="80" ht="22.5" customHeight="1">
      <c r="A80" s="33">
        <v>46233.38030556713</v>
      </c>
      <c r="B80" s="31" t="s">
        <v>2631</v>
      </c>
      <c r="C80" s="31" t="s">
        <v>281</v>
      </c>
      <c r="D80" s="31">
        <v>7.000283882E9</v>
      </c>
      <c r="E80" s="34" t="s">
        <v>298</v>
      </c>
      <c r="F80" s="35">
        <v>36734.0</v>
      </c>
      <c r="G80" s="31" t="s">
        <v>283</v>
      </c>
      <c r="H80" s="31" t="s">
        <v>488</v>
      </c>
      <c r="I80" s="31" t="s">
        <v>283</v>
      </c>
      <c r="J80" s="31" t="s">
        <v>65</v>
      </c>
      <c r="K80" s="31">
        <v>2025.0</v>
      </c>
      <c r="L80" s="31" t="s">
        <v>285</v>
      </c>
      <c r="M80" s="31" t="s">
        <v>51</v>
      </c>
      <c r="N80" s="31" t="s">
        <v>2632</v>
      </c>
      <c r="O80" s="31" t="s">
        <v>73</v>
      </c>
      <c r="P80" s="31" t="s">
        <v>280</v>
      </c>
      <c r="Q80" s="31" t="s">
        <v>21</v>
      </c>
      <c r="R80" s="31" t="s">
        <v>2633</v>
      </c>
      <c r="S80" s="37" t="s">
        <v>286</v>
      </c>
      <c r="T80" s="31" t="s">
        <v>537</v>
      </c>
      <c r="Y80" s="31" t="s">
        <v>2634</v>
      </c>
      <c r="Z80" s="38"/>
      <c r="AA80" s="27"/>
      <c r="AB80" s="27"/>
      <c r="AC80" s="27"/>
      <c r="AD80" s="27"/>
      <c r="AE80" s="27"/>
      <c r="AF80" s="27"/>
    </row>
    <row r="81" ht="22.5" customHeight="1">
      <c r="A81" s="33">
        <v>46233.390442511576</v>
      </c>
      <c r="B81" s="31" t="s">
        <v>2635</v>
      </c>
      <c r="C81" s="31" t="s">
        <v>309</v>
      </c>
      <c r="D81" s="31">
        <v>7.000138201E9</v>
      </c>
      <c r="E81" s="34" t="s">
        <v>327</v>
      </c>
      <c r="F81" s="35">
        <v>37043.0</v>
      </c>
      <c r="G81" s="31" t="s">
        <v>310</v>
      </c>
      <c r="H81" s="31" t="s">
        <v>488</v>
      </c>
      <c r="I81" s="31" t="s">
        <v>283</v>
      </c>
      <c r="J81" s="31" t="s">
        <v>65</v>
      </c>
      <c r="K81" s="31">
        <v>2025.0</v>
      </c>
      <c r="L81" s="31" t="s">
        <v>311</v>
      </c>
      <c r="M81" s="31" t="s">
        <v>51</v>
      </c>
      <c r="N81" s="31" t="s">
        <v>939</v>
      </c>
      <c r="O81" s="31" t="s">
        <v>73</v>
      </c>
      <c r="P81" s="31" t="s">
        <v>280</v>
      </c>
      <c r="Q81" s="31" t="s">
        <v>21</v>
      </c>
      <c r="R81" s="31" t="s">
        <v>149</v>
      </c>
      <c r="S81" s="37" t="s">
        <v>314</v>
      </c>
      <c r="T81" s="31" t="s">
        <v>537</v>
      </c>
      <c r="Y81" s="31" t="s">
        <v>2636</v>
      </c>
      <c r="Z81" s="38"/>
      <c r="AA81" s="27"/>
      <c r="AB81" s="27"/>
      <c r="AC81" s="27"/>
      <c r="AD81" s="27"/>
      <c r="AE81" s="27"/>
      <c r="AF81" s="27"/>
    </row>
    <row r="82" ht="22.5" customHeight="1">
      <c r="A82" s="33">
        <v>46233.3968025463</v>
      </c>
      <c r="B82" s="31" t="s">
        <v>2637</v>
      </c>
      <c r="C82" s="31" t="s">
        <v>150</v>
      </c>
      <c r="D82" s="31" t="s">
        <v>2638</v>
      </c>
      <c r="E82" s="34" t="s">
        <v>167</v>
      </c>
      <c r="F82" s="35">
        <v>33736.0</v>
      </c>
      <c r="G82" s="31" t="s">
        <v>152</v>
      </c>
      <c r="H82" s="31" t="s">
        <v>1887</v>
      </c>
      <c r="I82" s="31" t="s">
        <v>155</v>
      </c>
      <c r="J82" s="31" t="s">
        <v>2259</v>
      </c>
      <c r="K82" s="31">
        <v>2023.0</v>
      </c>
      <c r="L82" s="31" t="s">
        <v>154</v>
      </c>
      <c r="M82" s="31" t="s">
        <v>157</v>
      </c>
      <c r="N82" s="31" t="s">
        <v>2639</v>
      </c>
      <c r="O82" s="31" t="s">
        <v>73</v>
      </c>
      <c r="P82" s="31" t="s">
        <v>119</v>
      </c>
      <c r="Q82" s="31" t="s">
        <v>21</v>
      </c>
      <c r="R82" s="37" t="s">
        <v>2640</v>
      </c>
      <c r="S82" s="37" t="s">
        <v>158</v>
      </c>
      <c r="T82" s="31" t="s">
        <v>2248</v>
      </c>
      <c r="AA82" s="32"/>
      <c r="AB82" s="32"/>
      <c r="AC82" s="32"/>
      <c r="AD82" s="32"/>
      <c r="AE82" s="32"/>
      <c r="AF82" s="32"/>
    </row>
    <row r="83" ht="22.5" customHeight="1">
      <c r="A83" s="33">
        <v>46233.58311467593</v>
      </c>
      <c r="B83" s="31" t="s">
        <v>2641</v>
      </c>
      <c r="C83" s="31" t="s">
        <v>93</v>
      </c>
      <c r="D83" s="31" t="s">
        <v>2642</v>
      </c>
      <c r="E83" s="34" t="s">
        <v>99</v>
      </c>
      <c r="F83" s="35">
        <v>32365.0</v>
      </c>
      <c r="G83" s="31" t="s">
        <v>94</v>
      </c>
      <c r="H83" s="31" t="s">
        <v>2643</v>
      </c>
      <c r="I83" s="31" t="s">
        <v>96</v>
      </c>
      <c r="J83" s="31" t="s">
        <v>65</v>
      </c>
      <c r="K83" s="31">
        <v>2025.0</v>
      </c>
      <c r="L83" s="31" t="s">
        <v>95</v>
      </c>
      <c r="M83" s="31" t="s">
        <v>97</v>
      </c>
      <c r="N83" s="31" t="s">
        <v>2644</v>
      </c>
      <c r="O83" s="31" t="s">
        <v>73</v>
      </c>
      <c r="P83" s="31" t="s">
        <v>92</v>
      </c>
      <c r="Q83" s="31" t="s">
        <v>21</v>
      </c>
      <c r="R83" s="31" t="s">
        <v>2645</v>
      </c>
      <c r="S83" s="37" t="s">
        <v>98</v>
      </c>
      <c r="T83" s="31" t="s">
        <v>537</v>
      </c>
      <c r="Y83" s="31" t="s">
        <v>2646</v>
      </c>
      <c r="Z83" s="38"/>
      <c r="AA83" s="27"/>
      <c r="AB83" s="27"/>
      <c r="AC83" s="27"/>
      <c r="AD83" s="27"/>
      <c r="AE83" s="27"/>
      <c r="AF83" s="27"/>
    </row>
    <row r="84" ht="22.5" customHeight="1">
      <c r="A84" s="33">
        <v>46233.72030273148</v>
      </c>
      <c r="B84" s="31" t="s">
        <v>2647</v>
      </c>
      <c r="C84" s="31" t="s">
        <v>175</v>
      </c>
      <c r="D84" s="31">
        <v>2.02300182908E11</v>
      </c>
      <c r="E84" s="34" t="s">
        <v>193</v>
      </c>
      <c r="F84" s="35">
        <v>37370.0</v>
      </c>
      <c r="G84" s="31" t="s">
        <v>177</v>
      </c>
      <c r="H84" s="31" t="s">
        <v>488</v>
      </c>
      <c r="I84" s="31" t="s">
        <v>179</v>
      </c>
      <c r="J84" s="31" t="s">
        <v>65</v>
      </c>
      <c r="K84" s="31">
        <v>2025.0</v>
      </c>
      <c r="L84" s="31" t="s">
        <v>178</v>
      </c>
      <c r="M84" s="31" t="s">
        <v>29</v>
      </c>
      <c r="N84" s="31" t="s">
        <v>2230</v>
      </c>
      <c r="O84" s="31" t="s">
        <v>73</v>
      </c>
      <c r="P84" s="31" t="s">
        <v>119</v>
      </c>
      <c r="Q84" s="31" t="s">
        <v>21</v>
      </c>
      <c r="R84" s="31" t="s">
        <v>149</v>
      </c>
      <c r="S84" s="37" t="s">
        <v>182</v>
      </c>
      <c r="T84" s="31" t="s">
        <v>537</v>
      </c>
      <c r="Y84" s="31" t="s">
        <v>2648</v>
      </c>
      <c r="Z84" s="38"/>
      <c r="AA84" s="27"/>
      <c r="AB84" s="27"/>
      <c r="AC84" s="27"/>
      <c r="AD84" s="27"/>
      <c r="AE84" s="27"/>
      <c r="AF84" s="27"/>
    </row>
    <row r="85" ht="22.5" customHeight="1">
      <c r="A85" s="33">
        <v>46233.77879306713</v>
      </c>
      <c r="B85" s="31" t="s">
        <v>2649</v>
      </c>
      <c r="C85" s="31" t="s">
        <v>410</v>
      </c>
      <c r="D85" s="31">
        <v>7.000306847E9</v>
      </c>
      <c r="E85" s="34" t="s">
        <v>425</v>
      </c>
      <c r="F85" s="35">
        <v>37939.0</v>
      </c>
      <c r="G85" s="31" t="s">
        <v>412</v>
      </c>
      <c r="H85" s="31" t="s">
        <v>2618</v>
      </c>
      <c r="I85" s="31" t="s">
        <v>64</v>
      </c>
      <c r="J85" s="31" t="s">
        <v>65</v>
      </c>
      <c r="K85" s="31">
        <v>2025.0</v>
      </c>
      <c r="L85" s="31" t="s">
        <v>414</v>
      </c>
      <c r="M85" s="31" t="s">
        <v>51</v>
      </c>
      <c r="N85" s="31" t="s">
        <v>2650</v>
      </c>
      <c r="O85" s="31" t="s">
        <v>73</v>
      </c>
      <c r="P85" s="31" t="s">
        <v>74</v>
      </c>
      <c r="Q85" s="31" t="s">
        <v>21</v>
      </c>
      <c r="R85" s="31" t="s">
        <v>2633</v>
      </c>
      <c r="S85" s="37" t="s">
        <v>415</v>
      </c>
      <c r="T85" s="31" t="s">
        <v>537</v>
      </c>
      <c r="Y85" s="31" t="s">
        <v>2651</v>
      </c>
      <c r="Z85" s="38"/>
      <c r="AA85" s="27"/>
      <c r="AB85" s="27"/>
      <c r="AC85" s="27"/>
      <c r="AD85" s="27"/>
      <c r="AE85" s="27"/>
      <c r="AF85" s="27"/>
    </row>
    <row r="86" ht="22.5" customHeight="1">
      <c r="A86" s="33">
        <v>46233.83591922454</v>
      </c>
      <c r="B86" s="31" t="s">
        <v>2652</v>
      </c>
      <c r="C86" s="31" t="s">
        <v>120</v>
      </c>
      <c r="D86" s="31">
        <v>7.000288683E9</v>
      </c>
      <c r="E86" s="34" t="s">
        <v>125</v>
      </c>
      <c r="F86" s="35">
        <v>37084.0</v>
      </c>
      <c r="G86" s="31" t="s">
        <v>121</v>
      </c>
      <c r="H86" s="31" t="s">
        <v>2653</v>
      </c>
      <c r="I86" s="31" t="s">
        <v>110</v>
      </c>
      <c r="J86" s="31" t="s">
        <v>65</v>
      </c>
      <c r="K86" s="31">
        <v>2025.0</v>
      </c>
      <c r="L86" s="31" t="s">
        <v>122</v>
      </c>
      <c r="M86" s="31" t="s">
        <v>51</v>
      </c>
      <c r="N86" s="31" t="s">
        <v>2654</v>
      </c>
      <c r="O86" s="31" t="s">
        <v>73</v>
      </c>
      <c r="P86" s="31" t="s">
        <v>104</v>
      </c>
      <c r="Q86" s="31" t="s">
        <v>21</v>
      </c>
      <c r="R86" s="37" t="s">
        <v>2655</v>
      </c>
      <c r="S86" s="37" t="s">
        <v>123</v>
      </c>
      <c r="T86" s="31" t="s">
        <v>2248</v>
      </c>
      <c r="AA86" s="32"/>
      <c r="AB86" s="32"/>
      <c r="AC86" s="32"/>
      <c r="AD86" s="32"/>
      <c r="AE86" s="32"/>
      <c r="AF86" s="32"/>
    </row>
    <row r="87" ht="22.5" customHeight="1">
      <c r="A87" s="33">
        <v>46233.850626886575</v>
      </c>
      <c r="B87" s="31" t="s">
        <v>2656</v>
      </c>
      <c r="C87" s="31" t="s">
        <v>105</v>
      </c>
      <c r="D87" s="31">
        <v>7.000194154E9</v>
      </c>
      <c r="E87" s="34" t="s">
        <v>118</v>
      </c>
      <c r="F87" s="35">
        <v>36969.0</v>
      </c>
      <c r="G87" s="31" t="s">
        <v>107</v>
      </c>
      <c r="H87" s="31" t="s">
        <v>2657</v>
      </c>
      <c r="I87" s="31" t="s">
        <v>110</v>
      </c>
      <c r="J87" s="31" t="s">
        <v>65</v>
      </c>
      <c r="K87" s="31">
        <v>2025.0</v>
      </c>
      <c r="L87" s="31" t="s">
        <v>108</v>
      </c>
      <c r="M87" s="31" t="s">
        <v>111</v>
      </c>
      <c r="N87" s="31" t="s">
        <v>2658</v>
      </c>
      <c r="O87" s="31" t="s">
        <v>73</v>
      </c>
      <c r="P87" s="31" t="s">
        <v>104</v>
      </c>
      <c r="Q87" s="31" t="s">
        <v>21</v>
      </c>
      <c r="R87" s="37" t="s">
        <v>2659</v>
      </c>
      <c r="S87" s="37" t="s">
        <v>112</v>
      </c>
      <c r="T87" s="31" t="s">
        <v>2168</v>
      </c>
      <c r="V87" s="31" t="s">
        <v>2660</v>
      </c>
      <c r="W87" s="31" t="s">
        <v>107</v>
      </c>
      <c r="X87" s="31" t="s">
        <v>2661</v>
      </c>
      <c r="Y87" s="31">
        <v>2.450700083E9</v>
      </c>
      <c r="Z87" s="38"/>
      <c r="AA87" s="27"/>
      <c r="AB87" s="27"/>
      <c r="AC87" s="27"/>
      <c r="AD87" s="27"/>
      <c r="AE87" s="27"/>
      <c r="AF87" s="27"/>
    </row>
    <row r="88" ht="22.5" customHeight="1">
      <c r="A88" s="33">
        <v>46233.95278946759</v>
      </c>
      <c r="B88" s="31" t="s">
        <v>2662</v>
      </c>
      <c r="C88" s="31" t="s">
        <v>139</v>
      </c>
      <c r="D88" s="31">
        <v>7.000129096E9</v>
      </c>
      <c r="E88" s="34" t="s">
        <v>146</v>
      </c>
      <c r="F88" s="35">
        <v>37049.0</v>
      </c>
      <c r="G88" s="31" t="s">
        <v>140</v>
      </c>
      <c r="H88" s="31" t="s">
        <v>2332</v>
      </c>
      <c r="I88" s="31" t="s">
        <v>128</v>
      </c>
      <c r="J88" s="31" t="s">
        <v>394</v>
      </c>
      <c r="K88" s="31">
        <v>2024.0</v>
      </c>
      <c r="L88" s="31">
        <v>3.88</v>
      </c>
      <c r="M88" s="31" t="s">
        <v>141</v>
      </c>
      <c r="N88" s="31" t="s">
        <v>2663</v>
      </c>
      <c r="O88" s="31" t="s">
        <v>73</v>
      </c>
      <c r="P88" s="31" t="s">
        <v>119</v>
      </c>
      <c r="Q88" s="31" t="s">
        <v>21</v>
      </c>
      <c r="R88" s="37" t="s">
        <v>2664</v>
      </c>
      <c r="S88" s="37" t="s">
        <v>143</v>
      </c>
      <c r="T88" s="31" t="s">
        <v>2248</v>
      </c>
      <c r="AA88" s="32"/>
      <c r="AB88" s="32"/>
      <c r="AC88" s="32"/>
      <c r="AD88" s="32"/>
      <c r="AE88" s="32"/>
      <c r="AF88" s="32"/>
    </row>
    <row r="89" ht="22.5" customHeight="1">
      <c r="A89" s="33">
        <v>46233.961683773145</v>
      </c>
      <c r="B89" s="31" t="s">
        <v>2665</v>
      </c>
      <c r="C89" s="31" t="s">
        <v>449</v>
      </c>
      <c r="D89" s="31">
        <v>7.000201472E9</v>
      </c>
      <c r="E89" s="34" t="s">
        <v>471</v>
      </c>
      <c r="F89" s="35">
        <v>36700.0</v>
      </c>
      <c r="G89" s="31" t="s">
        <v>450</v>
      </c>
      <c r="H89" s="31" t="s">
        <v>2666</v>
      </c>
      <c r="I89" s="31" t="s">
        <v>64</v>
      </c>
      <c r="J89" s="31" t="s">
        <v>1014</v>
      </c>
      <c r="K89" s="31">
        <v>2024.0</v>
      </c>
      <c r="L89" s="31" t="s">
        <v>122</v>
      </c>
      <c r="M89" s="31" t="s">
        <v>453</v>
      </c>
      <c r="N89" s="31" t="s">
        <v>2667</v>
      </c>
      <c r="O89" s="31" t="s">
        <v>73</v>
      </c>
      <c r="P89" s="31" t="s">
        <v>74</v>
      </c>
      <c r="Q89" s="31" t="s">
        <v>21</v>
      </c>
      <c r="R89" s="31" t="s">
        <v>149</v>
      </c>
      <c r="S89" s="37" t="s">
        <v>456</v>
      </c>
      <c r="T89" s="31" t="s">
        <v>86</v>
      </c>
      <c r="U89" s="31" t="s">
        <v>2668</v>
      </c>
      <c r="V89" s="31" t="s">
        <v>149</v>
      </c>
      <c r="W89" s="31" t="s">
        <v>149</v>
      </c>
      <c r="X89" s="31" t="s">
        <v>149</v>
      </c>
      <c r="Y89" s="31" t="s">
        <v>149</v>
      </c>
      <c r="Z89" s="38"/>
      <c r="AA89" s="27"/>
      <c r="AB89" s="27"/>
      <c r="AC89" s="27"/>
      <c r="AD89" s="27"/>
      <c r="AE89" s="27"/>
      <c r="AF89" s="27"/>
    </row>
    <row r="90" ht="22.5" customHeight="1">
      <c r="A90" s="33">
        <v>46233.97872090278</v>
      </c>
      <c r="B90" s="31" t="s">
        <v>2669</v>
      </c>
      <c r="C90" s="31" t="s">
        <v>78</v>
      </c>
      <c r="D90" s="31">
        <v>7.000196113E9</v>
      </c>
      <c r="E90" s="34" t="s">
        <v>81</v>
      </c>
      <c r="F90" s="35">
        <v>35061.0</v>
      </c>
      <c r="G90" s="31" t="s">
        <v>69</v>
      </c>
      <c r="H90" s="31" t="s">
        <v>2670</v>
      </c>
      <c r="I90" s="31" t="s">
        <v>28</v>
      </c>
      <c r="J90" s="31" t="s">
        <v>1014</v>
      </c>
      <c r="K90" s="31">
        <v>2024.0</v>
      </c>
      <c r="L90" s="31" t="s">
        <v>79</v>
      </c>
      <c r="M90" s="31" t="s">
        <v>51</v>
      </c>
      <c r="N90" s="31" t="s">
        <v>2671</v>
      </c>
      <c r="O90" s="31" t="s">
        <v>73</v>
      </c>
      <c r="P90" s="31" t="s">
        <v>22</v>
      </c>
      <c r="Q90" s="31" t="s">
        <v>21</v>
      </c>
      <c r="R90" s="37" t="s">
        <v>80</v>
      </c>
      <c r="S90" s="37" t="s">
        <v>80</v>
      </c>
      <c r="T90" s="31" t="s">
        <v>537</v>
      </c>
      <c r="Y90" s="31" t="s">
        <v>2672</v>
      </c>
      <c r="Z90" s="38"/>
      <c r="AA90" s="27"/>
      <c r="AB90" s="27"/>
      <c r="AC90" s="27"/>
      <c r="AD90" s="27"/>
      <c r="AE90" s="27"/>
      <c r="AF90" s="27"/>
    </row>
    <row r="91" ht="22.5" customHeight="1">
      <c r="A91" s="33">
        <v>46234.67135128472</v>
      </c>
      <c r="B91" s="31" t="s">
        <v>2673</v>
      </c>
      <c r="C91" s="31" t="s">
        <v>2097</v>
      </c>
      <c r="D91" s="31">
        <v>7.000081678E9</v>
      </c>
      <c r="E91" s="34" t="s">
        <v>2113</v>
      </c>
      <c r="F91" s="35">
        <v>36160.0</v>
      </c>
      <c r="G91" s="31" t="s">
        <v>2104</v>
      </c>
      <c r="H91" s="31" t="s">
        <v>2674</v>
      </c>
      <c r="I91" s="31" t="s">
        <v>113</v>
      </c>
      <c r="J91" s="31" t="s">
        <v>114</v>
      </c>
      <c r="K91" s="31">
        <v>2023.0</v>
      </c>
      <c r="L91" s="31" t="s">
        <v>311</v>
      </c>
      <c r="M91" s="31" t="s">
        <v>1588</v>
      </c>
      <c r="N91" s="31" t="s">
        <v>1602</v>
      </c>
      <c r="O91" s="31" t="s">
        <v>73</v>
      </c>
      <c r="P91" s="31" t="s">
        <v>857</v>
      </c>
      <c r="Q91" s="31" t="s">
        <v>21</v>
      </c>
      <c r="R91" s="31" t="s">
        <v>2675</v>
      </c>
      <c r="S91" s="67" t="s">
        <v>2109</v>
      </c>
      <c r="T91" s="31" t="s">
        <v>2248</v>
      </c>
      <c r="AA91" s="32"/>
      <c r="AB91" s="32"/>
      <c r="AC91" s="32"/>
      <c r="AD91" s="32"/>
      <c r="AE91" s="32"/>
      <c r="AF91" s="32"/>
    </row>
    <row r="92" ht="22.5" customHeight="1">
      <c r="A92" s="33">
        <v>46234.93636665509</v>
      </c>
      <c r="B92" s="31" t="s">
        <v>2676</v>
      </c>
      <c r="C92" s="31" t="s">
        <v>2037</v>
      </c>
      <c r="D92" s="31" t="s">
        <v>2677</v>
      </c>
      <c r="E92" s="34" t="s">
        <v>2118</v>
      </c>
      <c r="F92" s="35">
        <v>34986.0</v>
      </c>
      <c r="G92" s="31" t="s">
        <v>1620</v>
      </c>
      <c r="H92" s="31" t="s">
        <v>109</v>
      </c>
      <c r="I92" s="31" t="s">
        <v>1587</v>
      </c>
      <c r="J92" s="31" t="s">
        <v>2248</v>
      </c>
      <c r="K92" s="31">
        <v>2023.0</v>
      </c>
      <c r="L92" s="31" t="s">
        <v>2115</v>
      </c>
      <c r="M92" s="31" t="s">
        <v>149</v>
      </c>
      <c r="N92" s="31" t="s">
        <v>75</v>
      </c>
      <c r="O92" s="31" t="s">
        <v>73</v>
      </c>
      <c r="P92" s="31" t="s">
        <v>2114</v>
      </c>
      <c r="R92" s="37" t="s">
        <v>2678</v>
      </c>
      <c r="S92" s="67" t="s">
        <v>2116</v>
      </c>
      <c r="T92" s="31" t="s">
        <v>2248</v>
      </c>
      <c r="AA92" s="32"/>
      <c r="AB92" s="32"/>
      <c r="AC92" s="32"/>
      <c r="AD92" s="32"/>
      <c r="AE92" s="32"/>
      <c r="AF92" s="32"/>
    </row>
    <row r="93" ht="22.5" customHeight="1">
      <c r="A93" s="33">
        <v>46235.31450392361</v>
      </c>
      <c r="B93" s="31" t="s">
        <v>2679</v>
      </c>
      <c r="C93" s="31" t="s">
        <v>2120</v>
      </c>
      <c r="D93" s="31">
        <v>7.000003007E9</v>
      </c>
      <c r="E93" s="34" t="s">
        <v>2126</v>
      </c>
      <c r="F93" s="35">
        <v>36000.0</v>
      </c>
      <c r="G93" s="31" t="s">
        <v>2121</v>
      </c>
      <c r="H93" s="31" t="s">
        <v>2680</v>
      </c>
      <c r="I93" s="31" t="s">
        <v>128</v>
      </c>
      <c r="J93" s="31" t="s">
        <v>114</v>
      </c>
      <c r="K93" s="31">
        <v>2023.0</v>
      </c>
      <c r="L93" s="31" t="s">
        <v>1423</v>
      </c>
      <c r="M93" s="31" t="s">
        <v>2122</v>
      </c>
      <c r="N93" s="31" t="s">
        <v>2681</v>
      </c>
      <c r="O93" s="31" t="s">
        <v>73</v>
      </c>
      <c r="P93" s="31" t="s">
        <v>2119</v>
      </c>
      <c r="R93" s="37" t="s">
        <v>2682</v>
      </c>
      <c r="S93" s="37" t="s">
        <v>2123</v>
      </c>
      <c r="T93" s="31" t="s">
        <v>86</v>
      </c>
      <c r="U93" s="31" t="s">
        <v>2683</v>
      </c>
      <c r="V93" s="31" t="s">
        <v>149</v>
      </c>
      <c r="W93" s="31" t="s">
        <v>149</v>
      </c>
      <c r="X93" s="31" t="s">
        <v>149</v>
      </c>
      <c r="Y93" s="31" t="s">
        <v>149</v>
      </c>
      <c r="Z93" s="38"/>
      <c r="AA93" s="27"/>
      <c r="AB93" s="27"/>
      <c r="AC93" s="27"/>
      <c r="AD93" s="27"/>
      <c r="AE93" s="27"/>
      <c r="AF93" s="27"/>
    </row>
    <row r="94" ht="22.5" customHeight="1">
      <c r="A94" s="33">
        <v>46235.504796504625</v>
      </c>
      <c r="B94" s="31" t="s">
        <v>2684</v>
      </c>
      <c r="C94" s="31" t="s">
        <v>2129</v>
      </c>
      <c r="D94" s="31">
        <v>7.000110408E9</v>
      </c>
      <c r="E94" s="34" t="s">
        <v>1565</v>
      </c>
      <c r="F94" s="35">
        <v>34873.0</v>
      </c>
      <c r="G94" s="31" t="s">
        <v>283</v>
      </c>
      <c r="H94" s="31" t="s">
        <v>351</v>
      </c>
      <c r="I94" s="31" t="s">
        <v>283</v>
      </c>
      <c r="J94" s="31" t="s">
        <v>1014</v>
      </c>
      <c r="K94" s="31">
        <v>2024.0</v>
      </c>
      <c r="L94" s="34" t="s">
        <v>1535</v>
      </c>
      <c r="M94" s="31" t="s">
        <v>1546</v>
      </c>
      <c r="N94" s="31" t="s">
        <v>2685</v>
      </c>
      <c r="O94" s="31" t="s">
        <v>73</v>
      </c>
      <c r="P94" s="31" t="s">
        <v>2128</v>
      </c>
      <c r="R94" s="37" t="s">
        <v>1549</v>
      </c>
      <c r="S94" s="37" t="s">
        <v>1549</v>
      </c>
      <c r="T94" s="31" t="s">
        <v>86</v>
      </c>
      <c r="U94" s="31" t="s">
        <v>2285</v>
      </c>
      <c r="V94" s="31" t="s">
        <v>2286</v>
      </c>
      <c r="W94" s="31" t="s">
        <v>283</v>
      </c>
      <c r="X94" s="31" t="s">
        <v>351</v>
      </c>
      <c r="Y94" s="31" t="s">
        <v>2285</v>
      </c>
      <c r="Z94" s="38"/>
      <c r="AA94" s="27"/>
      <c r="AB94" s="27"/>
      <c r="AC94" s="27"/>
      <c r="AD94" s="27"/>
      <c r="AE94" s="27"/>
      <c r="AF94" s="27"/>
    </row>
    <row r="95" ht="22.5" customHeight="1">
      <c r="A95" s="33">
        <v>46236.666839224534</v>
      </c>
      <c r="B95" s="31" t="s">
        <v>2686</v>
      </c>
      <c r="C95" s="31" t="s">
        <v>2133</v>
      </c>
      <c r="D95" s="31">
        <v>7.000227297E9</v>
      </c>
      <c r="E95" s="34" t="s">
        <v>2139</v>
      </c>
      <c r="F95" s="35">
        <v>36964.0</v>
      </c>
      <c r="G95" s="31" t="s">
        <v>152</v>
      </c>
      <c r="H95" s="31" t="s">
        <v>2165</v>
      </c>
      <c r="I95" s="31" t="s">
        <v>200</v>
      </c>
      <c r="J95" s="31" t="s">
        <v>240</v>
      </c>
      <c r="K95" s="31">
        <v>2024.0</v>
      </c>
      <c r="L95" s="31" t="s">
        <v>1234</v>
      </c>
      <c r="M95" s="31" t="s">
        <v>581</v>
      </c>
      <c r="N95" s="31" t="s">
        <v>2687</v>
      </c>
      <c r="O95" s="31" t="s">
        <v>73</v>
      </c>
      <c r="P95" s="31" t="s">
        <v>2128</v>
      </c>
      <c r="R95" s="31" t="s">
        <v>149</v>
      </c>
      <c r="S95" s="37" t="s">
        <v>2136</v>
      </c>
      <c r="T95" s="31" t="s">
        <v>2248</v>
      </c>
      <c r="AA95" s="32"/>
      <c r="AB95" s="32"/>
      <c r="AC95" s="32"/>
      <c r="AD95" s="32"/>
      <c r="AE95" s="32"/>
      <c r="AF95" s="32"/>
    </row>
    <row r="96" ht="22.5" customHeight="1">
      <c r="A96" s="33">
        <v>46236.69062363426</v>
      </c>
      <c r="B96" s="31" t="s">
        <v>2688</v>
      </c>
      <c r="C96" s="31" t="s">
        <v>2140</v>
      </c>
      <c r="D96" s="31">
        <v>7.000166756E9</v>
      </c>
      <c r="E96" s="34" t="s">
        <v>2145</v>
      </c>
      <c r="F96" s="35">
        <v>34480.0</v>
      </c>
      <c r="G96" s="31" t="s">
        <v>2141</v>
      </c>
      <c r="H96" s="31" t="s">
        <v>1006</v>
      </c>
      <c r="I96" s="31" t="s">
        <v>390</v>
      </c>
      <c r="J96" s="31" t="s">
        <v>1014</v>
      </c>
      <c r="K96" s="31">
        <v>2024.0</v>
      </c>
      <c r="L96" s="34" t="s">
        <v>2142</v>
      </c>
      <c r="M96" s="31" t="s">
        <v>1588</v>
      </c>
      <c r="N96" s="31" t="s">
        <v>1238</v>
      </c>
      <c r="O96" s="31" t="s">
        <v>73</v>
      </c>
      <c r="P96" s="31" t="s">
        <v>2119</v>
      </c>
      <c r="R96" s="31" t="s">
        <v>149</v>
      </c>
      <c r="S96" s="37" t="s">
        <v>2143</v>
      </c>
      <c r="T96" s="31" t="s">
        <v>86</v>
      </c>
      <c r="U96" s="31" t="s">
        <v>2689</v>
      </c>
      <c r="V96" s="31" t="s">
        <v>2690</v>
      </c>
      <c r="W96" s="31" t="s">
        <v>2141</v>
      </c>
      <c r="X96" s="31" t="s">
        <v>351</v>
      </c>
      <c r="Y96" s="31" t="s">
        <v>2689</v>
      </c>
      <c r="Z96" s="38"/>
      <c r="AA96" s="27"/>
      <c r="AB96" s="27"/>
      <c r="AC96" s="27"/>
      <c r="AD96" s="27"/>
      <c r="AE96" s="27"/>
      <c r="AF96" s="27"/>
    </row>
    <row r="97" ht="22.5" customHeight="1">
      <c r="A97" s="33">
        <v>46236.82947635416</v>
      </c>
      <c r="B97" s="31" t="s">
        <v>2691</v>
      </c>
      <c r="C97" s="31" t="s">
        <v>2148</v>
      </c>
      <c r="D97" s="31">
        <v>7.00025568E9</v>
      </c>
      <c r="E97" s="34" t="s">
        <v>2150</v>
      </c>
      <c r="F97" s="35">
        <v>36856.0</v>
      </c>
      <c r="G97" s="31" t="s">
        <v>2005</v>
      </c>
      <c r="H97" s="31" t="s">
        <v>2692</v>
      </c>
      <c r="I97" s="31" t="s">
        <v>842</v>
      </c>
      <c r="J97" s="31" t="s">
        <v>65</v>
      </c>
      <c r="K97" s="31">
        <v>2025.0</v>
      </c>
      <c r="L97" s="31" t="s">
        <v>1970</v>
      </c>
      <c r="M97" s="31" t="s">
        <v>712</v>
      </c>
      <c r="N97" s="31" t="s">
        <v>2693</v>
      </c>
      <c r="O97" s="31" t="s">
        <v>73</v>
      </c>
      <c r="P97" s="31" t="s">
        <v>2128</v>
      </c>
      <c r="R97" s="37" t="s">
        <v>2694</v>
      </c>
      <c r="S97" s="37" t="s">
        <v>2149</v>
      </c>
      <c r="T97" s="31" t="s">
        <v>2168</v>
      </c>
      <c r="V97" s="31">
        <v>2.1916141E7</v>
      </c>
      <c r="W97" s="31" t="s">
        <v>2005</v>
      </c>
      <c r="X97" s="31" t="s">
        <v>2695</v>
      </c>
      <c r="Y97" s="31">
        <v>1.21172410091E11</v>
      </c>
      <c r="Z97" s="38"/>
      <c r="AA97" s="27"/>
      <c r="AB97" s="27"/>
      <c r="AC97" s="27"/>
      <c r="AD97" s="27"/>
      <c r="AE97" s="27"/>
      <c r="AF97" s="27"/>
    </row>
    <row r="98" ht="22.5" customHeight="1">
      <c r="A98" s="33">
        <v>46236.855040486116</v>
      </c>
      <c r="B98" s="31" t="s">
        <v>2696</v>
      </c>
      <c r="C98" s="31" t="s">
        <v>2151</v>
      </c>
      <c r="D98" s="31" t="s">
        <v>231</v>
      </c>
      <c r="E98" s="34" t="s">
        <v>2156</v>
      </c>
      <c r="F98" s="35">
        <v>36441.0</v>
      </c>
      <c r="G98" s="31" t="s">
        <v>2068</v>
      </c>
      <c r="H98" s="31" t="s">
        <v>109</v>
      </c>
      <c r="I98" s="31" t="s">
        <v>842</v>
      </c>
      <c r="J98" s="31" t="s">
        <v>65</v>
      </c>
      <c r="K98" s="31">
        <v>2025.0</v>
      </c>
      <c r="L98" s="31" t="s">
        <v>2152</v>
      </c>
      <c r="M98" s="31" t="s">
        <v>581</v>
      </c>
      <c r="N98" s="31" t="s">
        <v>2697</v>
      </c>
      <c r="O98" s="31" t="s">
        <v>73</v>
      </c>
      <c r="P98" s="31" t="s">
        <v>2128</v>
      </c>
      <c r="R98" s="37" t="s">
        <v>2698</v>
      </c>
      <c r="S98" s="37" t="s">
        <v>2154</v>
      </c>
      <c r="T98" s="31" t="s">
        <v>2248</v>
      </c>
      <c r="AA98" s="32"/>
      <c r="AB98" s="32"/>
      <c r="AC98" s="32"/>
      <c r="AD98" s="32"/>
      <c r="AE98" s="32"/>
      <c r="AF98" s="32"/>
    </row>
    <row r="99" ht="22.5" customHeight="1">
      <c r="A99" s="33">
        <v>46236.86769559028</v>
      </c>
      <c r="B99" s="31" t="s">
        <v>2701</v>
      </c>
      <c r="C99" s="31" t="s">
        <v>2158</v>
      </c>
      <c r="D99" s="31">
        <v>2.02100016013E11</v>
      </c>
      <c r="E99" s="34" t="s">
        <v>2163</v>
      </c>
      <c r="F99" s="35">
        <v>35562.0</v>
      </c>
      <c r="G99" s="31" t="s">
        <v>2159</v>
      </c>
      <c r="H99" s="31" t="s">
        <v>1887</v>
      </c>
      <c r="I99" s="31" t="s">
        <v>96</v>
      </c>
      <c r="J99" s="31" t="s">
        <v>2248</v>
      </c>
      <c r="K99" s="31">
        <v>2025.0</v>
      </c>
      <c r="L99" s="31" t="s">
        <v>2160</v>
      </c>
      <c r="M99" s="31" t="s">
        <v>2161</v>
      </c>
      <c r="N99" s="31" t="s">
        <v>2708</v>
      </c>
      <c r="O99" s="31" t="s">
        <v>73</v>
      </c>
      <c r="P99" s="31" t="s">
        <v>2119</v>
      </c>
      <c r="R99" s="37" t="s">
        <v>2710</v>
      </c>
      <c r="S99" s="31" t="s">
        <v>2335</v>
      </c>
      <c r="T99" s="31" t="s">
        <v>2248</v>
      </c>
      <c r="AA99" s="32"/>
      <c r="AB99" s="32"/>
      <c r="AC99" s="32"/>
      <c r="AD99" s="32"/>
      <c r="AE99" s="32"/>
      <c r="AF99" s="32"/>
    </row>
    <row r="100" ht="22.5" customHeight="1">
      <c r="A100" s="33">
        <v>46237.32158684028</v>
      </c>
      <c r="B100" s="31" t="s">
        <v>2715</v>
      </c>
      <c r="C100" s="31" t="s">
        <v>2202</v>
      </c>
      <c r="D100" s="31">
        <v>7.000229496E9</v>
      </c>
      <c r="E100" s="34" t="s">
        <v>2206</v>
      </c>
      <c r="F100" s="35">
        <v>36023.0</v>
      </c>
      <c r="G100" s="31" t="s">
        <v>2204</v>
      </c>
      <c r="H100" s="31" t="s">
        <v>2717</v>
      </c>
      <c r="I100" s="31" t="s">
        <v>96</v>
      </c>
      <c r="J100" s="31" t="s">
        <v>65</v>
      </c>
      <c r="K100" s="31">
        <v>2025.0</v>
      </c>
      <c r="L100" s="31" t="s">
        <v>2115</v>
      </c>
      <c r="M100" s="31" t="s">
        <v>51</v>
      </c>
      <c r="N100" s="31" t="s">
        <v>2718</v>
      </c>
      <c r="O100" s="31" t="s">
        <v>73</v>
      </c>
      <c r="P100" s="31" t="s">
        <v>2241</v>
      </c>
      <c r="R100" s="31" t="s">
        <v>149</v>
      </c>
      <c r="S100" s="37" t="s">
        <v>2205</v>
      </c>
      <c r="T100" s="31" t="s">
        <v>2248</v>
      </c>
      <c r="AA100" s="32"/>
      <c r="AB100" s="32"/>
      <c r="AC100" s="32"/>
      <c r="AD100" s="32"/>
      <c r="AE100" s="32"/>
      <c r="AF100" s="32"/>
    </row>
    <row r="101" ht="22.5" customHeight="1">
      <c r="A101" s="33">
        <v>46237.453292997685</v>
      </c>
      <c r="B101" s="31" t="s">
        <v>2721</v>
      </c>
      <c r="C101" s="31" t="s">
        <v>2207</v>
      </c>
      <c r="D101" s="31">
        <v>7.00024622E9</v>
      </c>
      <c r="E101" s="34" t="s">
        <v>2211</v>
      </c>
      <c r="F101" s="35">
        <v>36982.0</v>
      </c>
      <c r="G101" s="31" t="s">
        <v>2208</v>
      </c>
      <c r="H101" s="31" t="s">
        <v>2725</v>
      </c>
      <c r="I101" s="31" t="s">
        <v>842</v>
      </c>
      <c r="J101" s="31" t="s">
        <v>65</v>
      </c>
      <c r="K101" s="31">
        <v>2025.0</v>
      </c>
      <c r="L101" s="31">
        <v>3.33</v>
      </c>
      <c r="M101" s="31">
        <v>3.96</v>
      </c>
      <c r="N101" s="31" t="s">
        <v>2730</v>
      </c>
      <c r="O101" s="31" t="s">
        <v>73</v>
      </c>
      <c r="P101" s="31" t="s">
        <v>2128</v>
      </c>
      <c r="R101" s="31" t="s">
        <v>149</v>
      </c>
      <c r="S101" s="37" t="s">
        <v>2209</v>
      </c>
      <c r="T101" s="31" t="s">
        <v>2248</v>
      </c>
      <c r="AA101" s="32"/>
      <c r="AB101" s="32"/>
      <c r="AC101" s="32"/>
      <c r="AD101" s="32"/>
      <c r="AE101" s="32"/>
      <c r="AF101" s="32"/>
    </row>
    <row r="102" ht="22.5" customHeight="1">
      <c r="A102" s="33">
        <v>46237.48001119213</v>
      </c>
      <c r="B102" s="31" t="s">
        <v>2739</v>
      </c>
      <c r="C102" s="31" t="s">
        <v>2212</v>
      </c>
      <c r="D102" s="31">
        <v>7.000301278E9</v>
      </c>
      <c r="E102" s="34" t="s">
        <v>2215</v>
      </c>
      <c r="F102" s="35">
        <v>35303.0</v>
      </c>
      <c r="G102" s="31" t="s">
        <v>96</v>
      </c>
      <c r="H102" s="31" t="s">
        <v>109</v>
      </c>
      <c r="I102" s="31" t="s">
        <v>96</v>
      </c>
      <c r="J102" s="31" t="s">
        <v>65</v>
      </c>
      <c r="K102" s="31">
        <v>2025.0</v>
      </c>
      <c r="L102" s="31" t="s">
        <v>2115</v>
      </c>
      <c r="M102" s="31" t="s">
        <v>581</v>
      </c>
      <c r="N102" s="31" t="s">
        <v>2742</v>
      </c>
      <c r="O102" s="31" t="s">
        <v>73</v>
      </c>
      <c r="P102" s="31" t="s">
        <v>2119</v>
      </c>
      <c r="R102" s="37" t="s">
        <v>2743</v>
      </c>
      <c r="S102" s="37" t="s">
        <v>2213</v>
      </c>
      <c r="T102" s="31" t="s">
        <v>2248</v>
      </c>
      <c r="AA102" s="32"/>
      <c r="AB102" s="32"/>
      <c r="AC102" s="32"/>
      <c r="AD102" s="32"/>
      <c r="AE102" s="32"/>
      <c r="AF102" s="32"/>
    </row>
    <row r="103" ht="22.5" customHeight="1">
      <c r="A103" s="33">
        <v>46237.60026357639</v>
      </c>
      <c r="B103" s="31" t="s">
        <v>2744</v>
      </c>
      <c r="C103" s="31" t="s">
        <v>2197</v>
      </c>
      <c r="D103" s="31">
        <v>7.000151681E9</v>
      </c>
      <c r="E103" s="34" t="s">
        <v>2201</v>
      </c>
      <c r="F103" s="35">
        <v>36813.0</v>
      </c>
      <c r="G103" s="31" t="s">
        <v>2198</v>
      </c>
      <c r="H103" s="31" t="s">
        <v>2745</v>
      </c>
      <c r="I103" s="31" t="s">
        <v>200</v>
      </c>
      <c r="J103" s="31" t="s">
        <v>394</v>
      </c>
      <c r="K103" s="31">
        <v>2023.0</v>
      </c>
      <c r="L103" s="31" t="s">
        <v>2199</v>
      </c>
      <c r="M103" s="31" t="s">
        <v>149</v>
      </c>
      <c r="N103" s="31" t="s">
        <v>2746</v>
      </c>
      <c r="O103" s="31" t="s">
        <v>73</v>
      </c>
      <c r="P103" s="31" t="s">
        <v>2600</v>
      </c>
      <c r="R103" s="37" t="s">
        <v>2749</v>
      </c>
      <c r="S103" s="37" t="s">
        <v>2200</v>
      </c>
      <c r="T103" s="31" t="s">
        <v>2248</v>
      </c>
      <c r="AA103" s="32"/>
      <c r="AB103" s="32"/>
      <c r="AC103" s="32"/>
      <c r="AD103" s="32"/>
      <c r="AE103" s="32"/>
      <c r="AF103" s="32"/>
    </row>
    <row r="104" ht="22.5" customHeight="1">
      <c r="A104" s="33">
        <v>46237.66884407407</v>
      </c>
      <c r="B104" s="31" t="s">
        <v>2756</v>
      </c>
      <c r="C104" s="31" t="s">
        <v>2216</v>
      </c>
      <c r="D104" s="31">
        <v>7.00031931E9</v>
      </c>
      <c r="E104" s="34" t="s">
        <v>2220</v>
      </c>
      <c r="F104" s="35">
        <v>37171.0</v>
      </c>
      <c r="G104" s="31" t="s">
        <v>2217</v>
      </c>
      <c r="H104" s="31" t="s">
        <v>2760</v>
      </c>
      <c r="I104" s="31" t="s">
        <v>96</v>
      </c>
      <c r="J104" s="31" t="s">
        <v>65</v>
      </c>
      <c r="K104" s="31">
        <v>2025.0</v>
      </c>
      <c r="L104" s="31" t="s">
        <v>552</v>
      </c>
      <c r="M104" s="31" t="s">
        <v>232</v>
      </c>
      <c r="N104" s="31" t="s">
        <v>2762</v>
      </c>
      <c r="O104" s="31" t="s">
        <v>73</v>
      </c>
      <c r="P104" s="31" t="s">
        <v>2241</v>
      </c>
      <c r="R104" s="31" t="s">
        <v>149</v>
      </c>
      <c r="S104" s="37" t="s">
        <v>2218</v>
      </c>
      <c r="T104" s="31" t="s">
        <v>2168</v>
      </c>
      <c r="V104" s="31" t="s">
        <v>2763</v>
      </c>
      <c r="W104" s="31" t="s">
        <v>2217</v>
      </c>
      <c r="X104" s="31" t="s">
        <v>2695</v>
      </c>
      <c r="Y104" s="31">
        <v>1.21172410111E11</v>
      </c>
      <c r="Z104" s="38"/>
      <c r="AA104" s="27"/>
      <c r="AB104" s="27"/>
      <c r="AC104" s="27"/>
      <c r="AD104" s="27"/>
      <c r="AE104" s="27"/>
      <c r="AF104" s="27"/>
    </row>
    <row r="105" ht="22.5" customHeight="1">
      <c r="A105" s="33">
        <v>46237.745568865736</v>
      </c>
      <c r="B105" s="31" t="s">
        <v>2766</v>
      </c>
      <c r="C105" s="31" t="s">
        <v>2188</v>
      </c>
      <c r="D105" s="31">
        <v>2.02200237187E11</v>
      </c>
      <c r="E105" s="34" t="s">
        <v>2193</v>
      </c>
      <c r="F105" s="35">
        <v>36798.0</v>
      </c>
      <c r="G105" s="31" t="s">
        <v>2189</v>
      </c>
      <c r="H105" s="31" t="s">
        <v>2769</v>
      </c>
      <c r="I105" s="31" t="s">
        <v>200</v>
      </c>
      <c r="J105" s="31" t="s">
        <v>2248</v>
      </c>
      <c r="K105" s="31">
        <v>2026.0</v>
      </c>
      <c r="L105" s="31" t="s">
        <v>414</v>
      </c>
      <c r="M105" s="31" t="s">
        <v>453</v>
      </c>
      <c r="N105" s="31" t="s">
        <v>2772</v>
      </c>
      <c r="O105" s="31" t="s">
        <v>73</v>
      </c>
      <c r="P105" s="31" t="s">
        <v>2304</v>
      </c>
      <c r="R105" s="31" t="s">
        <v>149</v>
      </c>
      <c r="S105" s="37" t="s">
        <v>2190</v>
      </c>
      <c r="T105" s="31" t="s">
        <v>2248</v>
      </c>
      <c r="AA105" s="32"/>
      <c r="AB105" s="32"/>
      <c r="AC105" s="32"/>
      <c r="AD105" s="32"/>
      <c r="AE105" s="32"/>
      <c r="AF105" s="32"/>
    </row>
    <row r="106" ht="22.5" customHeight="1">
      <c r="A106" s="33">
        <v>46238.34422318287</v>
      </c>
      <c r="B106" s="31" t="s">
        <v>2778</v>
      </c>
      <c r="C106" s="31" t="s">
        <v>2322</v>
      </c>
      <c r="D106" s="31">
        <v>7.000316091E9</v>
      </c>
      <c r="E106" s="34" t="s">
        <v>2780</v>
      </c>
      <c r="F106" s="35">
        <v>36726.0</v>
      </c>
      <c r="G106" s="31" t="s">
        <v>2324</v>
      </c>
      <c r="H106" s="31" t="s">
        <v>109</v>
      </c>
      <c r="I106" s="31" t="s">
        <v>390</v>
      </c>
      <c r="J106" s="31" t="s">
        <v>65</v>
      </c>
      <c r="K106" s="31">
        <v>2025.0</v>
      </c>
      <c r="L106" s="31">
        <v>3.42</v>
      </c>
      <c r="M106" s="31">
        <v>3.8</v>
      </c>
      <c r="N106" s="31" t="s">
        <v>2782</v>
      </c>
      <c r="O106" s="31" t="s">
        <v>73</v>
      </c>
      <c r="P106" s="31" t="s">
        <v>2321</v>
      </c>
      <c r="R106" s="31" t="s">
        <v>149</v>
      </c>
      <c r="S106" s="37" t="s">
        <v>2325</v>
      </c>
      <c r="T106" s="31" t="s">
        <v>2248</v>
      </c>
      <c r="AA106" s="32"/>
      <c r="AB106" s="32"/>
      <c r="AC106" s="32"/>
      <c r="AD106" s="32"/>
      <c r="AE106" s="32"/>
      <c r="AF106" s="32"/>
    </row>
    <row r="107" ht="22.5" customHeight="1">
      <c r="A107" s="33">
        <v>46241.009511620374</v>
      </c>
      <c r="B107" s="31" t="s">
        <v>2784</v>
      </c>
      <c r="C107" s="31" t="s">
        <v>2307</v>
      </c>
      <c r="D107" s="31">
        <v>7.000286747E9</v>
      </c>
      <c r="E107" s="34" t="s">
        <v>2786</v>
      </c>
      <c r="F107" s="35">
        <v>37089.0</v>
      </c>
      <c r="G107" s="31" t="s">
        <v>69</v>
      </c>
      <c r="H107" s="31" t="s">
        <v>2420</v>
      </c>
      <c r="I107" s="31" t="s">
        <v>28</v>
      </c>
      <c r="J107" s="31" t="s">
        <v>65</v>
      </c>
      <c r="K107" s="31">
        <v>2025.0</v>
      </c>
      <c r="L107" s="31" t="s">
        <v>628</v>
      </c>
      <c r="M107" s="31" t="s">
        <v>1448</v>
      </c>
      <c r="N107" s="31" t="s">
        <v>2788</v>
      </c>
      <c r="O107" s="31" t="s">
        <v>73</v>
      </c>
      <c r="P107" s="31" t="s">
        <v>59</v>
      </c>
      <c r="R107" s="31" t="s">
        <v>149</v>
      </c>
      <c r="S107" s="37" t="s">
        <v>2308</v>
      </c>
      <c r="T107" s="31" t="s">
        <v>86</v>
      </c>
      <c r="U107" s="31" t="s">
        <v>2791</v>
      </c>
      <c r="V107" s="31" t="s">
        <v>2792</v>
      </c>
      <c r="W107" s="31" t="s">
        <v>69</v>
      </c>
      <c r="X107" s="31" t="s">
        <v>1006</v>
      </c>
      <c r="Y107" s="31" t="s">
        <v>2791</v>
      </c>
      <c r="Z107" s="38"/>
      <c r="AA107" s="27"/>
      <c r="AB107" s="27"/>
      <c r="AC107" s="27"/>
      <c r="AD107" s="27"/>
      <c r="AE107" s="27"/>
      <c r="AF107" s="27"/>
    </row>
    <row r="108" ht="22.5" customHeight="1">
      <c r="A108" s="33">
        <v>46241.574876412036</v>
      </c>
      <c r="B108" s="31" t="s">
        <v>2793</v>
      </c>
      <c r="C108" s="31" t="s">
        <v>313</v>
      </c>
      <c r="D108" s="31">
        <v>7.000153949E9</v>
      </c>
      <c r="E108" s="34" t="s">
        <v>2794</v>
      </c>
      <c r="F108" s="35">
        <v>37180.0</v>
      </c>
      <c r="G108" s="31" t="s">
        <v>2287</v>
      </c>
      <c r="H108" s="31" t="s">
        <v>109</v>
      </c>
      <c r="I108" s="31" t="s">
        <v>2248</v>
      </c>
      <c r="J108" s="31" t="s">
        <v>394</v>
      </c>
      <c r="K108" s="31">
        <v>2024.0</v>
      </c>
      <c r="L108" s="31" t="s">
        <v>2288</v>
      </c>
      <c r="M108" s="31" t="s">
        <v>745</v>
      </c>
      <c r="N108" s="31" t="s">
        <v>2795</v>
      </c>
      <c r="O108" s="31" t="s">
        <v>73</v>
      </c>
      <c r="P108" s="31" t="s">
        <v>59</v>
      </c>
      <c r="R108" s="31" t="s">
        <v>2633</v>
      </c>
      <c r="S108" s="37" t="s">
        <v>2320</v>
      </c>
      <c r="T108" s="31" t="s">
        <v>2248</v>
      </c>
      <c r="AA108" s="32"/>
      <c r="AB108" s="32"/>
      <c r="AC108" s="32"/>
      <c r="AD108" s="32"/>
      <c r="AE108" s="32"/>
      <c r="AF108" s="32"/>
    </row>
    <row r="109" ht="22.5" customHeight="1">
      <c r="A109" s="33">
        <v>46243.47938315972</v>
      </c>
      <c r="B109" s="31" t="s">
        <v>2797</v>
      </c>
      <c r="C109" s="31" t="s">
        <v>2315</v>
      </c>
      <c r="D109" s="31" t="s">
        <v>2633</v>
      </c>
      <c r="E109" s="34" t="s">
        <v>2798</v>
      </c>
      <c r="F109" s="35">
        <v>34918.0</v>
      </c>
      <c r="G109" s="31" t="s">
        <v>1777</v>
      </c>
      <c r="H109" s="31" t="s">
        <v>2799</v>
      </c>
      <c r="I109" s="31" t="s">
        <v>2248</v>
      </c>
      <c r="J109" s="31" t="s">
        <v>2248</v>
      </c>
      <c r="K109" s="31" t="s">
        <v>2248</v>
      </c>
      <c r="L109" s="31" t="s">
        <v>2316</v>
      </c>
      <c r="M109" s="31" t="s">
        <v>2633</v>
      </c>
      <c r="N109" s="31" t="s">
        <v>2800</v>
      </c>
      <c r="O109" s="31" t="s">
        <v>73</v>
      </c>
      <c r="P109" s="31" t="s">
        <v>59</v>
      </c>
      <c r="R109" s="31" t="s">
        <v>149</v>
      </c>
      <c r="S109" s="31" t="s">
        <v>149</v>
      </c>
      <c r="T109" s="31" t="s">
        <v>2248</v>
      </c>
      <c r="AA109" s="32"/>
      <c r="AB109" s="32"/>
      <c r="AC109" s="32"/>
      <c r="AD109" s="32"/>
      <c r="AE109" s="32"/>
      <c r="AF109" s="32"/>
    </row>
    <row r="110" ht="22.5" customHeight="1">
      <c r="A110" s="33">
        <v>46246.695734988425</v>
      </c>
      <c r="B110" s="31" t="s">
        <v>2802</v>
      </c>
      <c r="C110" s="31" t="s">
        <v>2310</v>
      </c>
      <c r="D110" s="31">
        <v>4.0401017102001E13</v>
      </c>
      <c r="E110" s="34" t="s">
        <v>2803</v>
      </c>
      <c r="F110" s="35">
        <v>37552.0</v>
      </c>
      <c r="G110" s="31" t="s">
        <v>2311</v>
      </c>
      <c r="H110" s="31" t="s">
        <v>2804</v>
      </c>
      <c r="I110" s="31" t="s">
        <v>2248</v>
      </c>
      <c r="J110" s="31" t="s">
        <v>2248</v>
      </c>
      <c r="K110" s="31" t="s">
        <v>2248</v>
      </c>
      <c r="L110" s="31" t="s">
        <v>68</v>
      </c>
      <c r="M110" s="31" t="s">
        <v>149</v>
      </c>
      <c r="N110" s="31" t="s">
        <v>2805</v>
      </c>
      <c r="O110" s="31" t="s">
        <v>73</v>
      </c>
      <c r="P110" s="31" t="s">
        <v>59</v>
      </c>
      <c r="R110" s="31" t="s">
        <v>149</v>
      </c>
      <c r="S110" s="37" t="s">
        <v>2312</v>
      </c>
      <c r="T110" s="31" t="s">
        <v>2248</v>
      </c>
      <c r="AA110" s="32"/>
      <c r="AB110" s="32"/>
      <c r="AC110" s="32"/>
      <c r="AD110" s="32"/>
      <c r="AE110" s="32"/>
      <c r="AF110" s="32"/>
    </row>
    <row r="111" ht="22.5" customHeight="1">
      <c r="A111" s="33">
        <v>46262.594927997685</v>
      </c>
      <c r="B111" s="31" t="s">
        <v>138</v>
      </c>
      <c r="C111" s="31" t="s">
        <v>142</v>
      </c>
      <c r="D111" s="31">
        <v>7.000058324E9</v>
      </c>
      <c r="E111" s="34" t="s">
        <v>1088</v>
      </c>
      <c r="F111" s="35">
        <v>34712.0</v>
      </c>
      <c r="G111" s="31" t="s">
        <v>1073</v>
      </c>
      <c r="H111" s="31" t="s">
        <v>1773</v>
      </c>
      <c r="I111" s="31" t="s">
        <v>230</v>
      </c>
      <c r="J111" s="31" t="s">
        <v>65</v>
      </c>
      <c r="K111" s="31">
        <v>2025.0</v>
      </c>
      <c r="L111" s="31" t="s">
        <v>552</v>
      </c>
      <c r="M111" s="31" t="s">
        <v>712</v>
      </c>
      <c r="N111" s="31" t="s">
        <v>2806</v>
      </c>
      <c r="O111" s="31" t="s">
        <v>73</v>
      </c>
      <c r="P111" s="31" t="s">
        <v>56</v>
      </c>
      <c r="R111" s="37" t="s">
        <v>2807</v>
      </c>
      <c r="S111" s="37" t="s">
        <v>2252</v>
      </c>
      <c r="T111" s="31" t="s">
        <v>86</v>
      </c>
      <c r="U111" s="31" t="s">
        <v>1840</v>
      </c>
      <c r="V111" s="31">
        <v>1.601020011E9</v>
      </c>
      <c r="W111" s="31" t="s">
        <v>1073</v>
      </c>
      <c r="X111" s="31" t="s">
        <v>351</v>
      </c>
      <c r="Y111" s="31" t="s">
        <v>1840</v>
      </c>
      <c r="Z111" s="37" t="s">
        <v>2809</v>
      </c>
      <c r="AA111" s="27"/>
      <c r="AB111" s="27"/>
      <c r="AC111" s="27"/>
      <c r="AD111" s="27"/>
      <c r="AE111" s="27"/>
      <c r="AF111" s="27"/>
    </row>
    <row r="112" ht="22.5" customHeight="1">
      <c r="A112" s="33">
        <v>46262.70767682871</v>
      </c>
      <c r="B112" s="31" t="s">
        <v>144</v>
      </c>
      <c r="C112" s="31" t="s">
        <v>145</v>
      </c>
      <c r="D112" s="31">
        <v>2.02400153852E11</v>
      </c>
      <c r="E112" s="34" t="s">
        <v>2810</v>
      </c>
      <c r="F112" s="35">
        <v>36658.0</v>
      </c>
      <c r="G112" s="31" t="s">
        <v>2295</v>
      </c>
      <c r="H112" s="31" t="s">
        <v>488</v>
      </c>
      <c r="I112" s="31" t="s">
        <v>155</v>
      </c>
      <c r="J112" s="31" t="s">
        <v>2248</v>
      </c>
      <c r="K112" s="31">
        <v>2025.0</v>
      </c>
      <c r="L112" s="31" t="s">
        <v>957</v>
      </c>
      <c r="M112" s="31" t="s">
        <v>97</v>
      </c>
      <c r="N112" s="31" t="s">
        <v>2811</v>
      </c>
      <c r="O112" s="31" t="s">
        <v>73</v>
      </c>
      <c r="P112" s="31" t="s">
        <v>57</v>
      </c>
      <c r="R112" s="37" t="s">
        <v>2812</v>
      </c>
      <c r="S112" s="37" t="s">
        <v>2296</v>
      </c>
      <c r="T112" s="31" t="s">
        <v>2248</v>
      </c>
      <c r="Z112" s="37" t="s">
        <v>2813</v>
      </c>
      <c r="AA112" s="27"/>
      <c r="AB112" s="27"/>
      <c r="AC112" s="27"/>
      <c r="AD112" s="27"/>
      <c r="AE112" s="27"/>
      <c r="AF112" s="27"/>
    </row>
    <row r="113" ht="22.5" customHeight="1">
      <c r="A113" s="33">
        <v>46262.78162171296</v>
      </c>
      <c r="B113" s="31" t="s">
        <v>147</v>
      </c>
      <c r="C113" s="31" t="s">
        <v>148</v>
      </c>
      <c r="D113" s="31">
        <v>2.02400236945E11</v>
      </c>
      <c r="E113" s="34" t="s">
        <v>2815</v>
      </c>
      <c r="F113" s="35">
        <v>32544.0</v>
      </c>
      <c r="G113" s="31" t="s">
        <v>2544</v>
      </c>
      <c r="H113" s="31" t="s">
        <v>2403</v>
      </c>
      <c r="I113" s="31" t="s">
        <v>128</v>
      </c>
      <c r="J113" s="31" t="s">
        <v>2248</v>
      </c>
      <c r="K113" s="31">
        <v>2025.0</v>
      </c>
      <c r="L113" s="31">
        <v>3.12</v>
      </c>
      <c r="M113" s="31">
        <v>3.25</v>
      </c>
      <c r="N113" s="31" t="s">
        <v>2818</v>
      </c>
      <c r="O113" s="31" t="s">
        <v>73</v>
      </c>
      <c r="P113" s="31" t="s">
        <v>63</v>
      </c>
      <c r="R113" s="31" t="s">
        <v>149</v>
      </c>
      <c r="S113" s="37" t="s">
        <v>2545</v>
      </c>
      <c r="T113" s="31" t="s">
        <v>2248</v>
      </c>
      <c r="Z113" s="37" t="s">
        <v>2819</v>
      </c>
      <c r="AA113" s="27"/>
      <c r="AB113" s="27"/>
      <c r="AC113" s="27"/>
      <c r="AD113" s="27"/>
      <c r="AE113" s="27"/>
      <c r="AF113" s="27"/>
    </row>
    <row r="114" ht="22.5" customHeight="1">
      <c r="A114" s="33">
        <v>46262.87488633102</v>
      </c>
      <c r="B114" s="31" t="s">
        <v>151</v>
      </c>
      <c r="C114" s="31" t="s">
        <v>156</v>
      </c>
      <c r="D114" s="31">
        <v>7.00013764E9</v>
      </c>
      <c r="E114" s="34" t="s">
        <v>2821</v>
      </c>
      <c r="F114" s="35">
        <v>34250.0</v>
      </c>
      <c r="G114" s="31" t="s">
        <v>2542</v>
      </c>
      <c r="H114" s="31" t="s">
        <v>2823</v>
      </c>
      <c r="I114" s="31" t="s">
        <v>200</v>
      </c>
      <c r="J114" s="31" t="s">
        <v>240</v>
      </c>
      <c r="K114" s="31">
        <v>2024.0</v>
      </c>
      <c r="L114" s="31" t="s">
        <v>414</v>
      </c>
      <c r="M114" s="31" t="s">
        <v>51</v>
      </c>
      <c r="N114" s="31" t="s">
        <v>2824</v>
      </c>
      <c r="O114" s="31" t="s">
        <v>73</v>
      </c>
      <c r="P114" s="31" t="s">
        <v>63</v>
      </c>
      <c r="R114" s="37" t="s">
        <v>2825</v>
      </c>
      <c r="S114" s="37" t="s">
        <v>2543</v>
      </c>
      <c r="T114" s="31" t="s">
        <v>2248</v>
      </c>
      <c r="Z114" s="37" t="s">
        <v>2827</v>
      </c>
      <c r="AA114" s="27"/>
      <c r="AB114" s="27"/>
      <c r="AC114" s="27"/>
      <c r="AD114" s="27"/>
      <c r="AE114" s="27"/>
      <c r="AF114" s="27"/>
    </row>
    <row r="115" ht="22.5" customHeight="1">
      <c r="A115" s="33">
        <v>46262.88657990741</v>
      </c>
      <c r="B115" s="31" t="s">
        <v>159</v>
      </c>
      <c r="C115" s="31" t="s">
        <v>160</v>
      </c>
      <c r="D115" s="31">
        <v>7.000265349E9</v>
      </c>
      <c r="E115" s="34" t="s">
        <v>2828</v>
      </c>
      <c r="F115" s="35">
        <v>37629.0</v>
      </c>
      <c r="G115" s="31" t="s">
        <v>742</v>
      </c>
      <c r="H115" s="31" t="s">
        <v>109</v>
      </c>
      <c r="I115" s="31" t="s">
        <v>128</v>
      </c>
      <c r="J115" s="31" t="s">
        <v>65</v>
      </c>
      <c r="K115" s="31">
        <v>2025.0</v>
      </c>
      <c r="L115" s="31" t="s">
        <v>1970</v>
      </c>
      <c r="M115" s="31" t="s">
        <v>712</v>
      </c>
      <c r="N115" s="31" t="s">
        <v>2829</v>
      </c>
      <c r="O115" s="31" t="s">
        <v>73</v>
      </c>
      <c r="P115" s="31" t="s">
        <v>63</v>
      </c>
      <c r="R115" s="31" t="s">
        <v>149</v>
      </c>
      <c r="S115" s="37" t="s">
        <v>2553</v>
      </c>
      <c r="T115" s="31" t="s">
        <v>2248</v>
      </c>
      <c r="Z115" s="37" t="s">
        <v>2842</v>
      </c>
      <c r="AA115" s="27"/>
      <c r="AB115" s="27"/>
      <c r="AC115" s="27"/>
      <c r="AD115" s="27"/>
      <c r="AE115" s="27"/>
      <c r="AF115" s="27"/>
    </row>
    <row r="116" ht="22.5" customHeight="1">
      <c r="A116" s="33">
        <v>46262.89609657407</v>
      </c>
      <c r="B116" s="31" t="s">
        <v>161</v>
      </c>
      <c r="C116" s="31" t="s">
        <v>162</v>
      </c>
      <c r="D116" s="31">
        <v>2.02300247944E11</v>
      </c>
      <c r="E116" s="34" t="s">
        <v>2844</v>
      </c>
      <c r="F116" s="35">
        <v>35556.0</v>
      </c>
      <c r="G116" s="31" t="s">
        <v>2341</v>
      </c>
      <c r="H116" s="31" t="s">
        <v>2845</v>
      </c>
      <c r="I116" s="31" t="s">
        <v>2342</v>
      </c>
      <c r="J116" s="31" t="s">
        <v>2248</v>
      </c>
      <c r="K116" s="31">
        <v>2026.0</v>
      </c>
      <c r="L116" s="31" t="s">
        <v>1448</v>
      </c>
      <c r="M116" s="31">
        <v>4.0</v>
      </c>
      <c r="N116" s="31" t="s">
        <v>2184</v>
      </c>
      <c r="O116" s="31" t="s">
        <v>73</v>
      </c>
      <c r="P116" s="31" t="s">
        <v>61</v>
      </c>
      <c r="R116" s="37" t="s">
        <v>2847</v>
      </c>
      <c r="S116" s="37" t="s">
        <v>2369</v>
      </c>
      <c r="T116" s="31" t="s">
        <v>2248</v>
      </c>
      <c r="Z116" s="37" t="s">
        <v>2848</v>
      </c>
      <c r="AA116" s="27"/>
      <c r="AB116" s="27"/>
      <c r="AC116" s="27"/>
      <c r="AD116" s="27"/>
      <c r="AE116" s="27"/>
      <c r="AF116" s="27"/>
    </row>
    <row r="117" ht="22.5" customHeight="1">
      <c r="A117" s="33">
        <v>46262.90214016204</v>
      </c>
      <c r="B117" s="31" t="s">
        <v>163</v>
      </c>
      <c r="C117" s="31" t="s">
        <v>164</v>
      </c>
      <c r="D117" s="31">
        <v>7.000309665E9</v>
      </c>
      <c r="E117" s="34" t="s">
        <v>2851</v>
      </c>
      <c r="F117" s="35">
        <v>36703.0</v>
      </c>
      <c r="G117" s="31" t="s">
        <v>2530</v>
      </c>
      <c r="H117" s="31" t="s">
        <v>2403</v>
      </c>
      <c r="I117" s="31" t="s">
        <v>128</v>
      </c>
      <c r="J117" s="31" t="s">
        <v>65</v>
      </c>
      <c r="K117" s="31">
        <v>2025.0</v>
      </c>
      <c r="L117" s="31" t="s">
        <v>2288</v>
      </c>
      <c r="M117" s="31" t="s">
        <v>712</v>
      </c>
      <c r="N117" s="31" t="s">
        <v>2854</v>
      </c>
      <c r="O117" s="31" t="s">
        <v>73</v>
      </c>
      <c r="P117" s="31" t="s">
        <v>63</v>
      </c>
      <c r="R117" s="31" t="s">
        <v>149</v>
      </c>
      <c r="S117" s="37" t="s">
        <v>2531</v>
      </c>
      <c r="T117" s="31" t="s">
        <v>2248</v>
      </c>
      <c r="Z117" s="37" t="s">
        <v>2856</v>
      </c>
      <c r="AA117" s="27"/>
      <c r="AB117" s="27"/>
      <c r="AC117" s="27"/>
      <c r="AD117" s="27"/>
      <c r="AE117" s="27"/>
      <c r="AF117" s="27"/>
    </row>
    <row r="118" ht="22.5" customHeight="1">
      <c r="A118" s="33">
        <v>46262.90445310185</v>
      </c>
      <c r="B118" s="31" t="s">
        <v>165</v>
      </c>
      <c r="C118" s="31" t="s">
        <v>166</v>
      </c>
      <c r="D118" s="31">
        <v>7.000279399E9</v>
      </c>
      <c r="E118" s="34" t="s">
        <v>2859</v>
      </c>
      <c r="F118" s="35">
        <v>34971.0</v>
      </c>
      <c r="G118" s="31" t="s">
        <v>2565</v>
      </c>
      <c r="H118" s="31" t="s">
        <v>2860</v>
      </c>
      <c r="I118" s="31" t="s">
        <v>200</v>
      </c>
      <c r="J118" s="31" t="s">
        <v>65</v>
      </c>
      <c r="K118" s="31">
        <v>2025.0</v>
      </c>
      <c r="L118" s="31" t="s">
        <v>1473</v>
      </c>
      <c r="M118" s="31" t="s">
        <v>581</v>
      </c>
      <c r="N118" s="31" t="s">
        <v>2862</v>
      </c>
      <c r="O118" s="31" t="s">
        <v>73</v>
      </c>
      <c r="P118" s="31" t="s">
        <v>63</v>
      </c>
      <c r="R118" s="37" t="s">
        <v>2863</v>
      </c>
      <c r="S118" s="37" t="s">
        <v>2567</v>
      </c>
      <c r="T118" s="31" t="s">
        <v>2248</v>
      </c>
      <c r="Z118" s="37" t="s">
        <v>2864</v>
      </c>
      <c r="AA118" s="27"/>
      <c r="AB118" s="27"/>
      <c r="AC118" s="27"/>
      <c r="AD118" s="27"/>
      <c r="AE118" s="27"/>
      <c r="AF118" s="27"/>
    </row>
    <row r="119" ht="22.5" customHeight="1">
      <c r="A119" s="33">
        <v>46262.97277458334</v>
      </c>
      <c r="B119" s="31" t="s">
        <v>168</v>
      </c>
      <c r="C119" s="31" t="s">
        <v>169</v>
      </c>
      <c r="D119" s="31" t="s">
        <v>2403</v>
      </c>
      <c r="E119" s="34" t="s">
        <v>2866</v>
      </c>
      <c r="F119" s="35">
        <v>35168.0</v>
      </c>
      <c r="G119" s="31" t="s">
        <v>2280</v>
      </c>
      <c r="H119" s="31" t="s">
        <v>2868</v>
      </c>
      <c r="I119" s="31" t="s">
        <v>2248</v>
      </c>
      <c r="J119" s="31" t="s">
        <v>65</v>
      </c>
      <c r="K119" s="31">
        <v>2025.0</v>
      </c>
      <c r="L119" s="31" t="s">
        <v>311</v>
      </c>
      <c r="M119" s="31" t="s">
        <v>51</v>
      </c>
      <c r="N119" s="31" t="s">
        <v>2818</v>
      </c>
      <c r="O119" s="31" t="s">
        <v>73</v>
      </c>
      <c r="P119" s="31" t="s">
        <v>56</v>
      </c>
      <c r="R119" s="37" t="s">
        <v>2869</v>
      </c>
      <c r="S119" s="37" t="s">
        <v>2281</v>
      </c>
      <c r="T119" s="31" t="s">
        <v>2248</v>
      </c>
      <c r="Z119" s="37" t="s">
        <v>2870</v>
      </c>
      <c r="AA119" s="27"/>
      <c r="AB119" s="27"/>
      <c r="AC119" s="27"/>
      <c r="AD119" s="27"/>
      <c r="AE119" s="27"/>
      <c r="AF119" s="27"/>
    </row>
    <row r="120" ht="22.5" customHeight="1">
      <c r="A120" s="33">
        <v>46262.975038564815</v>
      </c>
      <c r="B120" s="31" t="s">
        <v>170</v>
      </c>
      <c r="C120" s="31" t="s">
        <v>171</v>
      </c>
      <c r="D120" s="31">
        <v>7.000267286E9</v>
      </c>
      <c r="E120" s="34" t="s">
        <v>2872</v>
      </c>
      <c r="F120" s="35">
        <v>37023.0</v>
      </c>
      <c r="G120" s="31" t="s">
        <v>2524</v>
      </c>
      <c r="H120" s="31" t="s">
        <v>2873</v>
      </c>
      <c r="I120" s="31" t="s">
        <v>128</v>
      </c>
      <c r="J120" s="31" t="s">
        <v>65</v>
      </c>
      <c r="K120" s="31">
        <v>2025.0</v>
      </c>
      <c r="L120" s="31" t="s">
        <v>26</v>
      </c>
      <c r="M120" s="31">
        <v>4.0</v>
      </c>
      <c r="N120" s="31" t="s">
        <v>2874</v>
      </c>
      <c r="O120" s="31" t="s">
        <v>73</v>
      </c>
      <c r="P120" s="31" t="s">
        <v>63</v>
      </c>
      <c r="R120" s="37" t="s">
        <v>2875</v>
      </c>
      <c r="S120" s="37" t="s">
        <v>2525</v>
      </c>
      <c r="T120" s="31" t="s">
        <v>2248</v>
      </c>
      <c r="Z120" s="37" t="s">
        <v>2876</v>
      </c>
      <c r="AA120" s="27"/>
      <c r="AB120" s="27"/>
      <c r="AC120" s="27"/>
      <c r="AD120" s="27"/>
      <c r="AE120" s="27"/>
      <c r="AF120" s="27"/>
    </row>
    <row r="121" ht="22.5" customHeight="1">
      <c r="A121" s="33">
        <v>46263.25490665509</v>
      </c>
      <c r="B121" s="31" t="s">
        <v>172</v>
      </c>
      <c r="C121" s="31" t="s">
        <v>173</v>
      </c>
      <c r="D121" s="31">
        <v>7.000081678E9</v>
      </c>
      <c r="E121" s="34" t="s">
        <v>2113</v>
      </c>
      <c r="F121" s="35">
        <v>36160.0</v>
      </c>
      <c r="G121" s="31" t="s">
        <v>2104</v>
      </c>
      <c r="H121" s="31" t="s">
        <v>2348</v>
      </c>
      <c r="I121" s="31" t="s">
        <v>113</v>
      </c>
      <c r="J121" s="31" t="s">
        <v>114</v>
      </c>
      <c r="K121" s="31">
        <v>2023.0</v>
      </c>
      <c r="L121" s="31" t="s">
        <v>311</v>
      </c>
      <c r="M121" s="31" t="s">
        <v>1588</v>
      </c>
      <c r="N121" s="31" t="s">
        <v>2877</v>
      </c>
      <c r="O121" s="31" t="s">
        <v>73</v>
      </c>
      <c r="P121" s="31" t="s">
        <v>63</v>
      </c>
      <c r="R121" s="31" t="s">
        <v>149</v>
      </c>
      <c r="S121" s="37" t="s">
        <v>2109</v>
      </c>
      <c r="T121" s="31" t="s">
        <v>2248</v>
      </c>
      <c r="Z121" s="37" t="s">
        <v>2878</v>
      </c>
      <c r="AA121" s="27"/>
      <c r="AB121" s="27"/>
      <c r="AC121" s="27"/>
      <c r="AD121" s="27"/>
      <c r="AE121" s="27"/>
      <c r="AF121" s="27"/>
    </row>
    <row r="122" ht="22.5" customHeight="1">
      <c r="A122" s="33">
        <v>46263.39465402778</v>
      </c>
      <c r="B122" s="31" t="s">
        <v>174</v>
      </c>
      <c r="C122" s="31" t="s">
        <v>176</v>
      </c>
      <c r="D122" s="31">
        <v>2.02300041053E11</v>
      </c>
      <c r="E122" s="34" t="s">
        <v>2879</v>
      </c>
      <c r="F122" s="35">
        <v>36806.0</v>
      </c>
      <c r="G122" s="31" t="s">
        <v>177</v>
      </c>
      <c r="H122" s="31" t="s">
        <v>2880</v>
      </c>
      <c r="I122" s="31" t="s">
        <v>128</v>
      </c>
      <c r="J122" s="31" t="s">
        <v>2248</v>
      </c>
      <c r="K122" s="31">
        <v>2025.0</v>
      </c>
      <c r="L122" s="31">
        <v>3.65</v>
      </c>
      <c r="M122" s="31">
        <v>3.25</v>
      </c>
      <c r="N122" s="31" t="s">
        <v>2881</v>
      </c>
      <c r="O122" s="31" t="s">
        <v>73</v>
      </c>
      <c r="P122" s="31" t="s">
        <v>63</v>
      </c>
      <c r="R122" s="31" t="s">
        <v>149</v>
      </c>
      <c r="S122" s="37" t="s">
        <v>2453</v>
      </c>
      <c r="T122" s="31" t="s">
        <v>2248</v>
      </c>
      <c r="Z122" s="37" t="s">
        <v>2882</v>
      </c>
      <c r="AA122" s="27"/>
      <c r="AB122" s="27"/>
      <c r="AC122" s="27"/>
      <c r="AD122" s="27"/>
      <c r="AE122" s="27"/>
      <c r="AF122" s="27"/>
    </row>
    <row r="123" ht="22.5" customHeight="1">
      <c r="A123" s="33">
        <v>46263.40610298611</v>
      </c>
      <c r="B123" s="31" t="s">
        <v>180</v>
      </c>
      <c r="C123" s="31" t="s">
        <v>181</v>
      </c>
      <c r="D123" s="31" t="s">
        <v>2883</v>
      </c>
      <c r="E123" s="34" t="s">
        <v>2884</v>
      </c>
      <c r="F123" s="35">
        <v>35677.0</v>
      </c>
      <c r="G123" s="31" t="s">
        <v>2349</v>
      </c>
      <c r="H123" s="31" t="s">
        <v>2885</v>
      </c>
      <c r="I123" s="31" t="s">
        <v>96</v>
      </c>
      <c r="J123" s="31" t="s">
        <v>2248</v>
      </c>
      <c r="K123" s="31" t="s">
        <v>2248</v>
      </c>
      <c r="L123" s="31" t="s">
        <v>2350</v>
      </c>
      <c r="M123" s="31" t="s">
        <v>2886</v>
      </c>
      <c r="N123" s="31" t="s">
        <v>2887</v>
      </c>
      <c r="O123" s="31" t="s">
        <v>73</v>
      </c>
      <c r="P123" s="31" t="s">
        <v>61</v>
      </c>
      <c r="R123" s="37" t="s">
        <v>2888</v>
      </c>
      <c r="S123" s="37" t="s">
        <v>2351</v>
      </c>
      <c r="T123" s="31" t="s">
        <v>2248</v>
      </c>
      <c r="Z123" s="37" t="s">
        <v>2889</v>
      </c>
      <c r="AA123" s="27"/>
      <c r="AB123" s="27"/>
      <c r="AC123" s="27"/>
      <c r="AD123" s="27"/>
      <c r="AE123" s="27"/>
      <c r="AF123" s="27"/>
    </row>
    <row r="124" ht="22.5" customHeight="1">
      <c r="A124" s="33">
        <v>46263.44426012732</v>
      </c>
      <c r="B124" s="31" t="s">
        <v>183</v>
      </c>
      <c r="C124" s="31" t="s">
        <v>184</v>
      </c>
      <c r="D124" s="31">
        <v>2.02100262388E11</v>
      </c>
      <c r="E124" s="34" t="s">
        <v>2890</v>
      </c>
      <c r="F124" s="35">
        <v>36455.0</v>
      </c>
      <c r="G124" s="31" t="s">
        <v>2267</v>
      </c>
      <c r="H124" s="31" t="s">
        <v>2891</v>
      </c>
      <c r="I124" s="31" t="s">
        <v>1191</v>
      </c>
      <c r="J124" s="31" t="s">
        <v>2248</v>
      </c>
      <c r="K124" s="31">
        <v>2025.0</v>
      </c>
      <c r="L124" s="31" t="s">
        <v>127</v>
      </c>
      <c r="M124" s="31" t="s">
        <v>453</v>
      </c>
      <c r="N124" s="31" t="s">
        <v>2892</v>
      </c>
      <c r="O124" s="31" t="s">
        <v>73</v>
      </c>
      <c r="P124" s="31" t="s">
        <v>56</v>
      </c>
      <c r="R124" s="37" t="s">
        <v>2893</v>
      </c>
      <c r="S124" s="37" t="s">
        <v>2268</v>
      </c>
      <c r="T124" s="31" t="s">
        <v>2248</v>
      </c>
      <c r="Z124" s="37" t="s">
        <v>2894</v>
      </c>
      <c r="AA124" s="27"/>
      <c r="AB124" s="27"/>
      <c r="AC124" s="27"/>
      <c r="AD124" s="27"/>
      <c r="AE124" s="27"/>
      <c r="AF124" s="27"/>
    </row>
    <row r="125" ht="22.5" customHeight="1">
      <c r="A125" s="33">
        <v>46263.56249267361</v>
      </c>
      <c r="B125" s="31" t="s">
        <v>185</v>
      </c>
      <c r="C125" s="31" t="s">
        <v>186</v>
      </c>
      <c r="D125" s="31">
        <v>7.000126178E9</v>
      </c>
      <c r="E125" s="34" t="s">
        <v>2895</v>
      </c>
      <c r="F125" s="35">
        <v>36302.0</v>
      </c>
      <c r="G125" s="31" t="s">
        <v>47</v>
      </c>
      <c r="H125" s="31" t="s">
        <v>2896</v>
      </c>
      <c r="I125" s="31" t="s">
        <v>28</v>
      </c>
      <c r="J125" s="31" t="s">
        <v>394</v>
      </c>
      <c r="K125" s="31">
        <v>2024.0</v>
      </c>
      <c r="L125" s="31">
        <v>3.75</v>
      </c>
      <c r="M125" s="31">
        <v>3.65</v>
      </c>
      <c r="N125" s="31" t="s">
        <v>2897</v>
      </c>
      <c r="O125" s="31" t="s">
        <v>73</v>
      </c>
      <c r="P125" s="31" t="s">
        <v>61</v>
      </c>
      <c r="R125" s="31" t="s">
        <v>2633</v>
      </c>
      <c r="S125" s="37" t="s">
        <v>2402</v>
      </c>
      <c r="T125" s="31" t="s">
        <v>2248</v>
      </c>
      <c r="Z125" s="37" t="s">
        <v>2898</v>
      </c>
      <c r="AA125" s="27"/>
      <c r="AB125" s="27"/>
      <c r="AC125" s="27"/>
      <c r="AD125" s="27"/>
      <c r="AE125" s="27"/>
      <c r="AF125" s="27"/>
    </row>
    <row r="126" ht="22.5" customHeight="1">
      <c r="A126" s="33">
        <v>46263.62285997685</v>
      </c>
      <c r="B126" s="31" t="s">
        <v>187</v>
      </c>
      <c r="C126" s="31" t="s">
        <v>188</v>
      </c>
      <c r="D126" s="31">
        <v>7.000173526E9</v>
      </c>
      <c r="E126" s="34" t="s">
        <v>2899</v>
      </c>
      <c r="F126" s="35">
        <v>36840.0</v>
      </c>
      <c r="G126" s="31" t="s">
        <v>2370</v>
      </c>
      <c r="H126" s="31" t="s">
        <v>2900</v>
      </c>
      <c r="I126" s="31" t="s">
        <v>200</v>
      </c>
      <c r="J126" s="31" t="s">
        <v>240</v>
      </c>
      <c r="K126" s="31">
        <v>2025.0</v>
      </c>
      <c r="L126" s="31" t="s">
        <v>628</v>
      </c>
      <c r="M126" s="34" t="s">
        <v>2901</v>
      </c>
      <c r="N126" s="31" t="s">
        <v>2902</v>
      </c>
      <c r="O126" s="31" t="s">
        <v>73</v>
      </c>
      <c r="P126" s="31" t="s">
        <v>61</v>
      </c>
      <c r="R126" s="31" t="s">
        <v>149</v>
      </c>
      <c r="S126" s="37" t="s">
        <v>2372</v>
      </c>
      <c r="T126" s="31" t="s">
        <v>2248</v>
      </c>
      <c r="Z126" s="37" t="s">
        <v>2903</v>
      </c>
      <c r="AA126" s="27"/>
      <c r="AB126" s="27"/>
      <c r="AC126" s="27"/>
      <c r="AD126" s="27"/>
      <c r="AE126" s="27"/>
      <c r="AF126" s="27"/>
    </row>
    <row r="127" ht="22.5" customHeight="1">
      <c r="A127" s="33">
        <v>46263.62319716435</v>
      </c>
      <c r="B127" s="31" t="s">
        <v>189</v>
      </c>
      <c r="C127" s="31" t="s">
        <v>190</v>
      </c>
      <c r="D127" s="31" t="s">
        <v>2904</v>
      </c>
      <c r="E127" s="34" t="s">
        <v>2905</v>
      </c>
      <c r="F127" s="35">
        <v>34555.0</v>
      </c>
      <c r="G127" s="31" t="s">
        <v>2341</v>
      </c>
      <c r="H127" s="31" t="s">
        <v>2906</v>
      </c>
      <c r="I127" s="31" t="s">
        <v>2342</v>
      </c>
      <c r="J127" s="31" t="s">
        <v>2248</v>
      </c>
      <c r="K127" s="31">
        <v>2025.0</v>
      </c>
      <c r="L127" s="31" t="s">
        <v>2160</v>
      </c>
      <c r="M127" s="31" t="s">
        <v>51</v>
      </c>
      <c r="N127" s="31" t="s">
        <v>2907</v>
      </c>
      <c r="O127" s="31" t="s">
        <v>73</v>
      </c>
      <c r="P127" s="31" t="s">
        <v>61</v>
      </c>
      <c r="R127" s="37" t="s">
        <v>2908</v>
      </c>
      <c r="S127" s="37" t="s">
        <v>2343</v>
      </c>
      <c r="T127" s="31" t="s">
        <v>2248</v>
      </c>
      <c r="Z127" s="37" t="s">
        <v>2909</v>
      </c>
      <c r="AA127" s="27"/>
      <c r="AB127" s="27"/>
      <c r="AC127" s="27"/>
      <c r="AD127" s="27"/>
      <c r="AE127" s="27"/>
      <c r="AF127" s="27"/>
    </row>
    <row r="128" ht="22.5" customHeight="1">
      <c r="A128" s="33">
        <v>46263.68973283565</v>
      </c>
      <c r="B128" s="31" t="s">
        <v>191</v>
      </c>
      <c r="C128" s="31" t="s">
        <v>192</v>
      </c>
      <c r="D128" s="31">
        <v>7.000092201E9</v>
      </c>
      <c r="E128" s="34" t="s">
        <v>2910</v>
      </c>
      <c r="F128" s="35">
        <v>36587.0</v>
      </c>
      <c r="G128" s="31" t="s">
        <v>140</v>
      </c>
      <c r="H128" s="31" t="s">
        <v>2911</v>
      </c>
      <c r="I128" s="31" t="s">
        <v>113</v>
      </c>
      <c r="J128" s="31" t="s">
        <v>114</v>
      </c>
      <c r="K128" s="31">
        <v>2023.0</v>
      </c>
      <c r="L128" s="31" t="s">
        <v>111</v>
      </c>
      <c r="M128" s="31" t="s">
        <v>51</v>
      </c>
      <c r="N128" s="31" t="s">
        <v>2912</v>
      </c>
      <c r="O128" s="31" t="s">
        <v>73</v>
      </c>
      <c r="P128" s="31" t="s">
        <v>63</v>
      </c>
      <c r="R128" s="37" t="s">
        <v>2913</v>
      </c>
      <c r="S128" s="37" t="s">
        <v>2573</v>
      </c>
      <c r="T128" s="31" t="s">
        <v>86</v>
      </c>
      <c r="U128" s="31" t="s">
        <v>2914</v>
      </c>
      <c r="V128" s="31">
        <v>1.8320045E7</v>
      </c>
      <c r="W128" s="31" t="s">
        <v>140</v>
      </c>
      <c r="X128" s="31" t="s">
        <v>2135</v>
      </c>
      <c r="Y128" s="31" t="s">
        <v>149</v>
      </c>
      <c r="Z128" s="37" t="s">
        <v>2915</v>
      </c>
      <c r="AA128" s="27"/>
      <c r="AB128" s="27"/>
      <c r="AC128" s="27"/>
      <c r="AD128" s="27"/>
      <c r="AE128" s="27"/>
      <c r="AF128" s="27"/>
    </row>
    <row r="129" ht="22.5" customHeight="1">
      <c r="A129" s="33">
        <v>46263.69219637732</v>
      </c>
      <c r="B129" s="31" t="s">
        <v>194</v>
      </c>
      <c r="C129" s="31" t="s">
        <v>195</v>
      </c>
      <c r="D129" s="31">
        <v>7.00015207E9</v>
      </c>
      <c r="E129" s="34" t="s">
        <v>2916</v>
      </c>
      <c r="F129" s="35">
        <v>36371.0</v>
      </c>
      <c r="G129" s="31" t="s">
        <v>177</v>
      </c>
      <c r="H129" s="31" t="s">
        <v>2917</v>
      </c>
      <c r="I129" s="31" t="s">
        <v>128</v>
      </c>
      <c r="J129" s="31" t="s">
        <v>394</v>
      </c>
      <c r="K129" s="31">
        <v>2024.0</v>
      </c>
      <c r="L129" s="31" t="s">
        <v>115</v>
      </c>
      <c r="M129" s="31" t="s">
        <v>2918</v>
      </c>
      <c r="N129" s="31" t="s">
        <v>2919</v>
      </c>
      <c r="O129" s="31" t="s">
        <v>73</v>
      </c>
      <c r="P129" s="31" t="s">
        <v>63</v>
      </c>
      <c r="R129" s="37" t="s">
        <v>2920</v>
      </c>
      <c r="S129" s="37" t="s">
        <v>2442</v>
      </c>
      <c r="T129" s="31" t="s">
        <v>2248</v>
      </c>
      <c r="Z129" s="37" t="s">
        <v>2921</v>
      </c>
      <c r="AA129" s="27"/>
      <c r="AB129" s="27"/>
      <c r="AC129" s="27"/>
      <c r="AD129" s="27"/>
      <c r="AE129" s="27"/>
      <c r="AF129" s="27"/>
    </row>
    <row r="130" ht="22.5" customHeight="1">
      <c r="A130" s="33">
        <v>46263.72369642361</v>
      </c>
      <c r="B130" s="31" t="s">
        <v>196</v>
      </c>
      <c r="C130" s="31" t="s">
        <v>197</v>
      </c>
      <c r="D130" s="31" t="s">
        <v>149</v>
      </c>
      <c r="E130" s="31">
        <v>8.5210525411E10</v>
      </c>
      <c r="F130" s="35">
        <v>35389.0</v>
      </c>
      <c r="G130" s="31" t="s">
        <v>106</v>
      </c>
      <c r="H130" s="31" t="s">
        <v>2922</v>
      </c>
      <c r="I130" s="31" t="s">
        <v>200</v>
      </c>
      <c r="J130" s="31" t="s">
        <v>240</v>
      </c>
      <c r="K130" s="31">
        <v>2025.0</v>
      </c>
      <c r="L130" s="34" t="s">
        <v>2560</v>
      </c>
      <c r="M130" s="31" t="s">
        <v>2923</v>
      </c>
      <c r="N130" s="31" t="s">
        <v>2924</v>
      </c>
      <c r="O130" s="31" t="s">
        <v>73</v>
      </c>
      <c r="P130" s="31" t="s">
        <v>63</v>
      </c>
      <c r="R130" s="37" t="s">
        <v>2925</v>
      </c>
      <c r="S130" s="37" t="s">
        <v>2561</v>
      </c>
      <c r="T130" s="31" t="s">
        <v>2248</v>
      </c>
      <c r="Z130" s="37" t="s">
        <v>2926</v>
      </c>
      <c r="AA130" s="27"/>
      <c r="AB130" s="27"/>
      <c r="AC130" s="27"/>
      <c r="AD130" s="27"/>
      <c r="AE130" s="27"/>
      <c r="AF130" s="27"/>
    </row>
    <row r="131" ht="22.5" customHeight="1">
      <c r="A131" s="33">
        <v>46263.78915841435</v>
      </c>
      <c r="B131" s="31" t="s">
        <v>203</v>
      </c>
      <c r="C131" s="31" t="s">
        <v>204</v>
      </c>
      <c r="D131" s="31">
        <v>7.000128344E9</v>
      </c>
      <c r="E131" s="34" t="s">
        <v>2927</v>
      </c>
      <c r="F131" s="35">
        <v>35868.0</v>
      </c>
      <c r="G131" s="31" t="s">
        <v>2415</v>
      </c>
      <c r="H131" s="31" t="s">
        <v>2928</v>
      </c>
      <c r="I131" s="31" t="s">
        <v>128</v>
      </c>
      <c r="J131" s="31" t="s">
        <v>394</v>
      </c>
      <c r="K131" s="31">
        <v>2024.0</v>
      </c>
      <c r="L131" s="31" t="s">
        <v>229</v>
      </c>
      <c r="M131" s="31" t="s">
        <v>29</v>
      </c>
      <c r="N131" s="31" t="s">
        <v>2929</v>
      </c>
      <c r="O131" s="31" t="s">
        <v>73</v>
      </c>
      <c r="P131" s="31" t="s">
        <v>63</v>
      </c>
      <c r="R131" s="37" t="s">
        <v>2930</v>
      </c>
      <c r="S131" s="37" t="s">
        <v>2416</v>
      </c>
      <c r="T131" s="31" t="s">
        <v>2248</v>
      </c>
      <c r="Z131" s="37" t="s">
        <v>2931</v>
      </c>
      <c r="AA131" s="27"/>
      <c r="AB131" s="27"/>
      <c r="AC131" s="27"/>
      <c r="AD131" s="27"/>
      <c r="AE131" s="27"/>
      <c r="AF131" s="27"/>
    </row>
    <row r="132" ht="22.5" customHeight="1">
      <c r="A132" s="33">
        <v>46263.81346810186</v>
      </c>
      <c r="B132" s="31" t="s">
        <v>206</v>
      </c>
      <c r="C132" s="31" t="s">
        <v>207</v>
      </c>
      <c r="D132" s="31" t="s">
        <v>2932</v>
      </c>
      <c r="E132" s="34" t="s">
        <v>2933</v>
      </c>
      <c r="F132" s="35">
        <v>37014.0</v>
      </c>
      <c r="G132" s="31" t="s">
        <v>2427</v>
      </c>
      <c r="H132" s="31" t="s">
        <v>2934</v>
      </c>
      <c r="I132" s="31" t="s">
        <v>128</v>
      </c>
      <c r="J132" s="31" t="s">
        <v>394</v>
      </c>
      <c r="K132" s="31">
        <v>2024.0</v>
      </c>
      <c r="L132" s="31" t="s">
        <v>1448</v>
      </c>
      <c r="M132" s="31" t="s">
        <v>1448</v>
      </c>
      <c r="N132" s="31" t="s">
        <v>2935</v>
      </c>
      <c r="O132" s="31" t="s">
        <v>73</v>
      </c>
      <c r="P132" s="31" t="s">
        <v>63</v>
      </c>
      <c r="R132" s="37" t="s">
        <v>2936</v>
      </c>
      <c r="S132" s="37" t="s">
        <v>2428</v>
      </c>
      <c r="T132" s="31" t="s">
        <v>2248</v>
      </c>
      <c r="Z132" s="37" t="s">
        <v>2937</v>
      </c>
      <c r="AA132" s="27"/>
      <c r="AB132" s="27"/>
      <c r="AC132" s="27"/>
      <c r="AD132" s="27"/>
      <c r="AE132" s="27"/>
      <c r="AF132" s="27"/>
    </row>
    <row r="133" ht="22.5" customHeight="1">
      <c r="A133" s="33">
        <v>46263.9495872338</v>
      </c>
      <c r="B133" s="31" t="s">
        <v>208</v>
      </c>
      <c r="C133" s="31" t="s">
        <v>209</v>
      </c>
      <c r="D133" s="31">
        <v>7.000142556E9</v>
      </c>
      <c r="E133" s="34" t="s">
        <v>795</v>
      </c>
      <c r="F133" s="35">
        <v>36540.0</v>
      </c>
      <c r="G133" s="31" t="s">
        <v>2459</v>
      </c>
      <c r="H133" s="31" t="s">
        <v>2938</v>
      </c>
      <c r="I133" s="31" t="s">
        <v>128</v>
      </c>
      <c r="J133" s="31" t="s">
        <v>394</v>
      </c>
      <c r="K133" s="31">
        <v>2024.0</v>
      </c>
      <c r="L133" s="31" t="s">
        <v>111</v>
      </c>
      <c r="M133" s="31" t="s">
        <v>51</v>
      </c>
      <c r="N133" s="31" t="s">
        <v>1501</v>
      </c>
      <c r="O133" s="31" t="s">
        <v>73</v>
      </c>
      <c r="P133" s="31" t="s">
        <v>63</v>
      </c>
      <c r="R133" s="37" t="s">
        <v>2503</v>
      </c>
      <c r="S133" s="37" t="s">
        <v>2487</v>
      </c>
      <c r="T133" s="31" t="s">
        <v>2248</v>
      </c>
      <c r="Z133" s="37" t="s">
        <v>2939</v>
      </c>
      <c r="AA133" s="27"/>
      <c r="AB133" s="27"/>
      <c r="AC133" s="27"/>
      <c r="AD133" s="27"/>
      <c r="AE133" s="27"/>
      <c r="AF133" s="27"/>
    </row>
    <row r="134" ht="22.5" customHeight="1">
      <c r="A134" s="33">
        <v>46263.96008109953</v>
      </c>
      <c r="B134" s="31" t="s">
        <v>210</v>
      </c>
      <c r="C134" s="31" t="s">
        <v>211</v>
      </c>
      <c r="D134" s="31">
        <v>2.02200006751E11</v>
      </c>
      <c r="E134" s="34" t="s">
        <v>2940</v>
      </c>
      <c r="F134" s="35">
        <v>32987.0</v>
      </c>
      <c r="G134" s="31" t="s">
        <v>1777</v>
      </c>
      <c r="H134" s="31" t="s">
        <v>2941</v>
      </c>
      <c r="I134" s="31" t="s">
        <v>200</v>
      </c>
      <c r="J134" s="31" t="s">
        <v>2248</v>
      </c>
      <c r="K134" s="31">
        <v>2025.0</v>
      </c>
      <c r="L134" s="31" t="s">
        <v>2391</v>
      </c>
      <c r="M134" s="31" t="s">
        <v>51</v>
      </c>
      <c r="N134" s="31" t="s">
        <v>2942</v>
      </c>
      <c r="O134" s="31" t="s">
        <v>73</v>
      </c>
      <c r="P134" s="31" t="s">
        <v>61</v>
      </c>
      <c r="R134" s="37" t="s">
        <v>2943</v>
      </c>
      <c r="S134" s="37" t="s">
        <v>2393</v>
      </c>
      <c r="T134" s="31" t="s">
        <v>2248</v>
      </c>
      <c r="Z134" s="37" t="s">
        <v>2944</v>
      </c>
      <c r="AA134" s="27"/>
      <c r="AB134" s="27"/>
      <c r="AC134" s="27"/>
      <c r="AD134" s="27"/>
      <c r="AE134" s="27"/>
      <c r="AF134" s="27"/>
    </row>
    <row r="135" ht="22.5" customHeight="1">
      <c r="A135" s="33">
        <v>46263.97685883102</v>
      </c>
      <c r="B135" s="31" t="s">
        <v>212</v>
      </c>
      <c r="C135" s="31" t="s">
        <v>213</v>
      </c>
      <c r="D135" s="31">
        <v>2.0200064243E11</v>
      </c>
      <c r="E135" s="34" t="s">
        <v>2945</v>
      </c>
      <c r="F135" s="35">
        <v>30154.0</v>
      </c>
      <c r="G135" s="31" t="s">
        <v>2270</v>
      </c>
      <c r="H135" s="31" t="s">
        <v>2946</v>
      </c>
      <c r="I135" s="31" t="s">
        <v>1191</v>
      </c>
      <c r="J135" s="31" t="s">
        <v>2248</v>
      </c>
      <c r="K135" s="31">
        <v>2025.0</v>
      </c>
      <c r="L135" s="31">
        <v>2.89</v>
      </c>
      <c r="M135" s="31">
        <v>3.25</v>
      </c>
      <c r="N135" s="31" t="s">
        <v>2947</v>
      </c>
      <c r="O135" s="31" t="s">
        <v>73</v>
      </c>
      <c r="P135" s="31" t="s">
        <v>56</v>
      </c>
      <c r="R135" s="37" t="s">
        <v>2948</v>
      </c>
      <c r="S135" s="37" t="s">
        <v>2271</v>
      </c>
      <c r="T135" s="31" t="s">
        <v>2248</v>
      </c>
      <c r="Z135" s="37" t="s">
        <v>2949</v>
      </c>
      <c r="AA135" s="27"/>
      <c r="AB135" s="27"/>
      <c r="AC135" s="27"/>
      <c r="AD135" s="27"/>
      <c r="AE135" s="27"/>
      <c r="AF135" s="27"/>
    </row>
    <row r="136" ht="22.5" customHeight="1">
      <c r="A136" s="33">
        <v>46264.076624733796</v>
      </c>
      <c r="B136" s="31" t="s">
        <v>215</v>
      </c>
      <c r="C136" s="31" t="s">
        <v>216</v>
      </c>
      <c r="D136" s="31">
        <v>7.000170334E9</v>
      </c>
      <c r="E136" s="34" t="s">
        <v>2950</v>
      </c>
      <c r="F136" s="35">
        <v>37111.0</v>
      </c>
      <c r="G136" s="31" t="s">
        <v>2535</v>
      </c>
      <c r="H136" s="31" t="s">
        <v>2951</v>
      </c>
      <c r="I136" s="31" t="s">
        <v>128</v>
      </c>
      <c r="J136" s="31" t="s">
        <v>65</v>
      </c>
      <c r="K136" s="31">
        <v>2025.0</v>
      </c>
      <c r="L136" s="31" t="s">
        <v>1546</v>
      </c>
      <c r="M136" s="31" t="s">
        <v>51</v>
      </c>
      <c r="N136" s="31" t="s">
        <v>2952</v>
      </c>
      <c r="O136" s="31" t="s">
        <v>2436</v>
      </c>
      <c r="P136" s="31" t="s">
        <v>63</v>
      </c>
      <c r="R136" s="37" t="s">
        <v>2953</v>
      </c>
      <c r="S136" s="37" t="s">
        <v>2536</v>
      </c>
      <c r="T136" s="31" t="s">
        <v>2248</v>
      </c>
      <c r="Z136" s="37" t="s">
        <v>2954</v>
      </c>
      <c r="AA136" s="27"/>
      <c r="AB136" s="27"/>
      <c r="AC136" s="27"/>
      <c r="AD136" s="27"/>
      <c r="AE136" s="27"/>
      <c r="AF136" s="27"/>
    </row>
    <row r="137" ht="22.5" customHeight="1">
      <c r="A137" s="33">
        <v>46264.085786550924</v>
      </c>
      <c r="B137" s="31" t="s">
        <v>218</v>
      </c>
      <c r="C137" s="31" t="s">
        <v>219</v>
      </c>
      <c r="D137" s="31">
        <v>7.000170334E9</v>
      </c>
      <c r="E137" s="34" t="s">
        <v>2950</v>
      </c>
      <c r="F137" s="35">
        <v>37111.0</v>
      </c>
      <c r="G137" s="31" t="s">
        <v>2535</v>
      </c>
      <c r="H137" s="31" t="s">
        <v>2951</v>
      </c>
      <c r="I137" s="31" t="s">
        <v>128</v>
      </c>
      <c r="J137" s="31" t="s">
        <v>65</v>
      </c>
      <c r="K137" s="31">
        <v>2025.0</v>
      </c>
      <c r="L137" s="31" t="s">
        <v>1546</v>
      </c>
      <c r="M137" s="31" t="s">
        <v>51</v>
      </c>
      <c r="N137" s="31" t="s">
        <v>2952</v>
      </c>
      <c r="O137" s="31" t="s">
        <v>73</v>
      </c>
      <c r="P137" s="31" t="s">
        <v>63</v>
      </c>
      <c r="R137" s="37" t="s">
        <v>2953</v>
      </c>
      <c r="S137" s="37" t="s">
        <v>2536</v>
      </c>
      <c r="T137" s="31" t="s">
        <v>2248</v>
      </c>
      <c r="Z137" s="37" t="s">
        <v>2955</v>
      </c>
      <c r="AA137" s="27"/>
      <c r="AB137" s="27"/>
      <c r="AC137" s="27"/>
      <c r="AD137" s="27"/>
      <c r="AE137" s="27"/>
      <c r="AF137" s="27"/>
    </row>
    <row r="138" ht="22.5" customHeight="1">
      <c r="A138" s="33">
        <v>46264.23447947917</v>
      </c>
      <c r="B138" s="31" t="s">
        <v>220</v>
      </c>
      <c r="C138" s="31" t="s">
        <v>221</v>
      </c>
      <c r="D138" s="31">
        <v>2.02400250251E11</v>
      </c>
      <c r="E138" s="34" t="s">
        <v>2956</v>
      </c>
      <c r="F138" s="35">
        <v>35955.0</v>
      </c>
      <c r="G138" s="31" t="s">
        <v>2381</v>
      </c>
      <c r="H138" s="31" t="s">
        <v>2957</v>
      </c>
      <c r="I138" s="31" t="s">
        <v>2248</v>
      </c>
      <c r="J138" s="31" t="s">
        <v>2248</v>
      </c>
      <c r="K138" s="31">
        <v>2025.0</v>
      </c>
      <c r="L138" s="31" t="s">
        <v>115</v>
      </c>
      <c r="M138" s="31" t="s">
        <v>1423</v>
      </c>
      <c r="N138" s="31" t="s">
        <v>2958</v>
      </c>
      <c r="O138" s="31" t="s">
        <v>73</v>
      </c>
      <c r="P138" s="31" t="s">
        <v>61</v>
      </c>
      <c r="R138" s="37" t="s">
        <v>2959</v>
      </c>
      <c r="S138" s="37" t="s">
        <v>2383</v>
      </c>
      <c r="T138" s="31" t="s">
        <v>2248</v>
      </c>
      <c r="Z138" s="37" t="s">
        <v>2960</v>
      </c>
      <c r="AA138" s="27"/>
      <c r="AB138" s="27"/>
      <c r="AC138" s="27"/>
      <c r="AD138" s="27"/>
      <c r="AE138" s="27"/>
      <c r="AF138" s="27"/>
    </row>
    <row r="139" ht="22.5" customHeight="1">
      <c r="A139" s="33">
        <v>46264.357037696755</v>
      </c>
      <c r="B139" s="31" t="s">
        <v>222</v>
      </c>
      <c r="C139" s="31" t="s">
        <v>224</v>
      </c>
      <c r="D139" s="31" t="s">
        <v>149</v>
      </c>
      <c r="E139" s="34" t="s">
        <v>2961</v>
      </c>
      <c r="F139" s="35">
        <v>34222.0</v>
      </c>
      <c r="G139" s="31" t="s">
        <v>2500</v>
      </c>
      <c r="H139" s="31" t="s">
        <v>2962</v>
      </c>
      <c r="I139" s="31" t="s">
        <v>2342</v>
      </c>
      <c r="J139" s="31" t="s">
        <v>2248</v>
      </c>
      <c r="K139" s="31" t="s">
        <v>2248</v>
      </c>
      <c r="L139" s="31" t="s">
        <v>2501</v>
      </c>
      <c r="M139" s="31" t="s">
        <v>2501</v>
      </c>
      <c r="N139" s="31" t="s">
        <v>2963</v>
      </c>
      <c r="O139" s="31" t="s">
        <v>73</v>
      </c>
      <c r="P139" s="31" t="s">
        <v>63</v>
      </c>
      <c r="R139" s="31" t="s">
        <v>149</v>
      </c>
      <c r="S139" s="31" t="s">
        <v>149</v>
      </c>
      <c r="T139" s="31" t="s">
        <v>2248</v>
      </c>
      <c r="Z139" s="37" t="s">
        <v>2964</v>
      </c>
      <c r="AA139" s="27"/>
      <c r="AB139" s="27"/>
      <c r="AC139" s="27"/>
      <c r="AD139" s="27"/>
      <c r="AE139" s="27"/>
      <c r="AF139" s="27"/>
    </row>
    <row r="140" ht="22.5" customHeight="1">
      <c r="A140" s="33">
        <v>46264.36352666667</v>
      </c>
      <c r="B140" s="31" t="s">
        <v>227</v>
      </c>
      <c r="C140" s="31" t="s">
        <v>228</v>
      </c>
      <c r="D140" s="31">
        <v>7.000171916E9</v>
      </c>
      <c r="E140" s="34" t="s">
        <v>2965</v>
      </c>
      <c r="F140" s="35">
        <v>37231.0</v>
      </c>
      <c r="G140" s="31" t="s">
        <v>200</v>
      </c>
      <c r="H140" s="31" t="s">
        <v>2966</v>
      </c>
      <c r="I140" s="31" t="s">
        <v>200</v>
      </c>
      <c r="J140" s="31" t="s">
        <v>1014</v>
      </c>
      <c r="K140" s="31">
        <v>2024.0</v>
      </c>
      <c r="L140" s="31" t="s">
        <v>1970</v>
      </c>
      <c r="M140" s="31" t="s">
        <v>232</v>
      </c>
      <c r="N140" s="31" t="s">
        <v>2967</v>
      </c>
      <c r="O140" s="31" t="s">
        <v>73</v>
      </c>
      <c r="P140" s="31" t="s">
        <v>63</v>
      </c>
      <c r="R140" s="37" t="s">
        <v>2968</v>
      </c>
      <c r="S140" s="37" t="s">
        <v>2506</v>
      </c>
      <c r="T140" s="31" t="s">
        <v>2248</v>
      </c>
      <c r="Z140" s="37" t="s">
        <v>2969</v>
      </c>
      <c r="AA140" s="27"/>
      <c r="AB140" s="27"/>
      <c r="AC140" s="27"/>
      <c r="AD140" s="27"/>
      <c r="AE140" s="27"/>
      <c r="AF140" s="27"/>
    </row>
    <row r="141" ht="22.5" customHeight="1">
      <c r="A141" s="33">
        <v>46264.36577104167</v>
      </c>
      <c r="B141" s="31" t="s">
        <v>234</v>
      </c>
      <c r="C141" s="31" t="s">
        <v>235</v>
      </c>
      <c r="D141" s="31">
        <v>2.02300137023E11</v>
      </c>
      <c r="E141" s="34" t="s">
        <v>2970</v>
      </c>
      <c r="F141" s="35">
        <v>36551.0</v>
      </c>
      <c r="G141" s="31" t="s">
        <v>2354</v>
      </c>
      <c r="H141" s="31" t="s">
        <v>2971</v>
      </c>
      <c r="I141" s="31" t="s">
        <v>2342</v>
      </c>
      <c r="J141" s="31" t="s">
        <v>2248</v>
      </c>
      <c r="K141" s="31">
        <v>2025.0</v>
      </c>
      <c r="L141" s="31">
        <v>3.71</v>
      </c>
      <c r="M141" s="31">
        <v>3.22</v>
      </c>
      <c r="N141" s="31" t="s">
        <v>2972</v>
      </c>
      <c r="O141" s="31" t="s">
        <v>73</v>
      </c>
      <c r="P141" s="31" t="s">
        <v>61</v>
      </c>
      <c r="R141" s="37" t="s">
        <v>2973</v>
      </c>
      <c r="S141" s="37" t="s">
        <v>2355</v>
      </c>
      <c r="T141" s="31" t="s">
        <v>2248</v>
      </c>
      <c r="Z141" s="37" t="s">
        <v>2974</v>
      </c>
      <c r="AA141" s="27"/>
      <c r="AB141" s="27"/>
      <c r="AC141" s="27"/>
      <c r="AD141" s="27"/>
      <c r="AE141" s="27"/>
      <c r="AF141" s="27"/>
    </row>
    <row r="142" ht="22.5" customHeight="1">
      <c r="A142" s="33">
        <v>46264.3964309838</v>
      </c>
      <c r="B142" s="31" t="s">
        <v>236</v>
      </c>
      <c r="C142" s="31" t="s">
        <v>237</v>
      </c>
      <c r="D142" s="31">
        <v>2.02400250251E11</v>
      </c>
      <c r="E142" s="34" t="s">
        <v>2956</v>
      </c>
      <c r="F142" s="35">
        <v>35955.0</v>
      </c>
      <c r="G142" s="31" t="s">
        <v>2381</v>
      </c>
      <c r="H142" s="31" t="s">
        <v>2957</v>
      </c>
      <c r="I142" s="31" t="s">
        <v>2248</v>
      </c>
      <c r="J142" s="31" t="s">
        <v>2248</v>
      </c>
      <c r="K142" s="31">
        <v>2025.0</v>
      </c>
      <c r="L142" s="31" t="s">
        <v>115</v>
      </c>
      <c r="M142" s="31" t="s">
        <v>1423</v>
      </c>
      <c r="N142" s="31" t="s">
        <v>2975</v>
      </c>
      <c r="O142" s="31" t="s">
        <v>73</v>
      </c>
      <c r="P142" s="31" t="s">
        <v>61</v>
      </c>
      <c r="R142" s="37" t="s">
        <v>2976</v>
      </c>
      <c r="S142" s="37" t="s">
        <v>2385</v>
      </c>
      <c r="T142" s="31" t="s">
        <v>2248</v>
      </c>
      <c r="Z142" s="37" t="s">
        <v>2977</v>
      </c>
      <c r="AA142" s="27"/>
      <c r="AB142" s="27"/>
      <c r="AC142" s="27"/>
      <c r="AD142" s="27"/>
      <c r="AE142" s="27"/>
      <c r="AF142" s="27"/>
    </row>
    <row r="143" ht="22.5" customHeight="1">
      <c r="A143" s="33">
        <v>46264.410206886576</v>
      </c>
      <c r="B143" s="31" t="s">
        <v>238</v>
      </c>
      <c r="C143" s="31" t="s">
        <v>239</v>
      </c>
      <c r="D143" s="31">
        <v>2.02200066349E11</v>
      </c>
      <c r="E143" s="34" t="s">
        <v>2978</v>
      </c>
      <c r="F143" s="35">
        <v>35284.0</v>
      </c>
      <c r="G143" s="31" t="s">
        <v>2291</v>
      </c>
      <c r="H143" s="31" t="s">
        <v>2979</v>
      </c>
      <c r="I143" s="31" t="s">
        <v>2292</v>
      </c>
      <c r="J143" s="31" t="s">
        <v>65</v>
      </c>
      <c r="K143" s="31">
        <v>2025.0</v>
      </c>
      <c r="L143" s="31" t="s">
        <v>1654</v>
      </c>
      <c r="M143" s="31" t="s">
        <v>1685</v>
      </c>
      <c r="N143" s="31" t="s">
        <v>2980</v>
      </c>
      <c r="O143" s="31" t="s">
        <v>73</v>
      </c>
      <c r="P143" s="31" t="s">
        <v>57</v>
      </c>
      <c r="R143" s="31" t="s">
        <v>149</v>
      </c>
      <c r="S143" s="37" t="s">
        <v>2293</v>
      </c>
      <c r="T143" s="31" t="s">
        <v>2248</v>
      </c>
      <c r="Z143" s="37" t="s">
        <v>2981</v>
      </c>
      <c r="AA143" s="27"/>
      <c r="AB143" s="27"/>
      <c r="AC143" s="27"/>
      <c r="AD143" s="27"/>
      <c r="AE143" s="27"/>
      <c r="AF143" s="27"/>
    </row>
    <row r="144" ht="22.5" customHeight="1">
      <c r="A144" s="33">
        <v>46264.420407893514</v>
      </c>
      <c r="B144" s="31" t="s">
        <v>241</v>
      </c>
      <c r="C144" s="31" t="s">
        <v>242</v>
      </c>
      <c r="D144" s="31">
        <v>7.000148794E9</v>
      </c>
      <c r="E144" s="34" t="s">
        <v>2982</v>
      </c>
      <c r="F144" s="35">
        <v>36386.0</v>
      </c>
      <c r="G144" s="31" t="s">
        <v>2297</v>
      </c>
      <c r="H144" s="31" t="s">
        <v>2983</v>
      </c>
      <c r="I144" s="31" t="s">
        <v>283</v>
      </c>
      <c r="J144" s="31" t="s">
        <v>1014</v>
      </c>
      <c r="K144" s="31">
        <v>2024.0</v>
      </c>
      <c r="L144" s="31" t="s">
        <v>249</v>
      </c>
      <c r="M144" s="31" t="s">
        <v>51</v>
      </c>
      <c r="N144" s="31" t="s">
        <v>2984</v>
      </c>
      <c r="O144" s="31" t="s">
        <v>73</v>
      </c>
      <c r="P144" s="31" t="s">
        <v>57</v>
      </c>
      <c r="R144" s="37" t="s">
        <v>2985</v>
      </c>
      <c r="S144" s="37" t="s">
        <v>2298</v>
      </c>
      <c r="T144" s="31" t="s">
        <v>2248</v>
      </c>
      <c r="Z144" s="37" t="s">
        <v>2986</v>
      </c>
      <c r="AA144" s="27"/>
      <c r="AB144" s="27"/>
      <c r="AC144" s="27"/>
      <c r="AD144" s="27"/>
      <c r="AE144" s="27"/>
      <c r="AF144" s="27"/>
    </row>
    <row r="145" ht="22.5" customHeight="1">
      <c r="A145" s="33">
        <v>46264.44701055555</v>
      </c>
      <c r="B145" s="31" t="s">
        <v>243</v>
      </c>
      <c r="C145" s="31" t="s">
        <v>244</v>
      </c>
      <c r="D145" s="31" t="s">
        <v>2987</v>
      </c>
      <c r="E145" s="34" t="s">
        <v>2988</v>
      </c>
      <c r="F145" s="35">
        <v>36729.0</v>
      </c>
      <c r="G145" s="31" t="s">
        <v>2427</v>
      </c>
      <c r="H145" s="31" t="s">
        <v>2989</v>
      </c>
      <c r="I145" s="31" t="s">
        <v>128</v>
      </c>
      <c r="J145" s="31" t="s">
        <v>394</v>
      </c>
      <c r="K145" s="31">
        <v>2024.0</v>
      </c>
      <c r="L145" s="31" t="s">
        <v>127</v>
      </c>
      <c r="M145" s="31" t="s">
        <v>51</v>
      </c>
      <c r="N145" s="31" t="s">
        <v>2990</v>
      </c>
      <c r="O145" s="31" t="s">
        <v>73</v>
      </c>
      <c r="P145" s="31" t="s">
        <v>63</v>
      </c>
      <c r="R145" s="37" t="s">
        <v>2991</v>
      </c>
      <c r="S145" s="37" t="s">
        <v>2575</v>
      </c>
      <c r="T145" s="31" t="s">
        <v>2248</v>
      </c>
      <c r="Z145" s="37" t="s">
        <v>2992</v>
      </c>
      <c r="AA145" s="27"/>
      <c r="AB145" s="27"/>
      <c r="AC145" s="27"/>
      <c r="AD145" s="27"/>
      <c r="AE145" s="27"/>
      <c r="AF145" s="27"/>
    </row>
    <row r="146" ht="22.5" customHeight="1">
      <c r="A146" s="33">
        <v>46264.516641319446</v>
      </c>
      <c r="B146" s="31" t="s">
        <v>245</v>
      </c>
      <c r="C146" s="31" t="s">
        <v>246</v>
      </c>
      <c r="D146" s="31">
        <v>2.02400087943E11</v>
      </c>
      <c r="E146" s="34" t="s">
        <v>2993</v>
      </c>
      <c r="F146" s="35">
        <v>35783.0</v>
      </c>
      <c r="G146" s="31" t="s">
        <v>2341</v>
      </c>
      <c r="H146" s="31" t="s">
        <v>2994</v>
      </c>
      <c r="I146" s="31" t="s">
        <v>2342</v>
      </c>
      <c r="J146" s="31" t="s">
        <v>2248</v>
      </c>
      <c r="K146" s="31">
        <v>2026.0</v>
      </c>
      <c r="L146" s="31" t="s">
        <v>487</v>
      </c>
      <c r="M146" s="31" t="s">
        <v>51</v>
      </c>
      <c r="N146" s="31" t="s">
        <v>2995</v>
      </c>
      <c r="O146" s="31" t="s">
        <v>73</v>
      </c>
      <c r="P146" s="31" t="s">
        <v>63</v>
      </c>
      <c r="R146" s="31" t="s">
        <v>2633</v>
      </c>
      <c r="S146" s="37" t="s">
        <v>2529</v>
      </c>
      <c r="T146" s="31" t="s">
        <v>2248</v>
      </c>
      <c r="Z146" s="37" t="s">
        <v>2996</v>
      </c>
      <c r="AA146" s="27"/>
      <c r="AB146" s="27"/>
      <c r="AC146" s="27"/>
      <c r="AD146" s="27"/>
      <c r="AE146" s="27"/>
      <c r="AF146" s="27"/>
    </row>
    <row r="147" ht="22.5" customHeight="1">
      <c r="A147" s="33">
        <v>46264.53111611111</v>
      </c>
      <c r="B147" s="31" t="s">
        <v>247</v>
      </c>
      <c r="C147" s="31" t="s">
        <v>248</v>
      </c>
      <c r="D147" s="31">
        <v>7.000151721E9</v>
      </c>
      <c r="E147" s="34" t="s">
        <v>2997</v>
      </c>
      <c r="F147" s="35">
        <v>36825.0</v>
      </c>
      <c r="G147" s="31" t="s">
        <v>310</v>
      </c>
      <c r="H147" s="31" t="s">
        <v>2165</v>
      </c>
      <c r="I147" s="31" t="s">
        <v>283</v>
      </c>
      <c r="J147" s="31" t="s">
        <v>394</v>
      </c>
      <c r="K147" s="31">
        <v>2024.0</v>
      </c>
      <c r="L147" s="31" t="s">
        <v>1234</v>
      </c>
      <c r="M147" s="31" t="s">
        <v>51</v>
      </c>
      <c r="N147" s="31" t="s">
        <v>2998</v>
      </c>
      <c r="O147" s="31" t="s">
        <v>73</v>
      </c>
      <c r="P147" s="31" t="s">
        <v>63</v>
      </c>
      <c r="R147" s="37" t="s">
        <v>2511</v>
      </c>
      <c r="S147" s="37" t="s">
        <v>2511</v>
      </c>
      <c r="T147" s="31" t="s">
        <v>2248</v>
      </c>
      <c r="Z147" s="37" t="s">
        <v>2999</v>
      </c>
      <c r="AA147" s="27"/>
      <c r="AB147" s="27"/>
      <c r="AC147" s="27"/>
      <c r="AD147" s="27"/>
      <c r="AE147" s="27"/>
      <c r="AF147" s="27"/>
    </row>
    <row r="148" ht="22.5" customHeight="1">
      <c r="A148" s="33">
        <v>46264.56158353009</v>
      </c>
      <c r="B148" s="31" t="s">
        <v>251</v>
      </c>
      <c r="C148" s="31" t="s">
        <v>252</v>
      </c>
      <c r="D148" s="31">
        <v>2.02300055745E11</v>
      </c>
      <c r="E148" s="34" t="s">
        <v>3000</v>
      </c>
      <c r="F148" s="35">
        <v>36894.0</v>
      </c>
      <c r="G148" s="31" t="s">
        <v>2555</v>
      </c>
      <c r="H148" s="31" t="s">
        <v>3001</v>
      </c>
      <c r="I148" s="31" t="s">
        <v>128</v>
      </c>
      <c r="J148" s="31" t="s">
        <v>2248</v>
      </c>
      <c r="K148" s="31">
        <v>2025.0</v>
      </c>
      <c r="L148" s="31">
        <v>3.74</v>
      </c>
      <c r="M148" s="31" t="s">
        <v>3002</v>
      </c>
      <c r="N148" s="31" t="s">
        <v>3003</v>
      </c>
      <c r="O148" s="31" t="s">
        <v>73</v>
      </c>
      <c r="P148" s="31" t="s">
        <v>63</v>
      </c>
      <c r="R148" s="37" t="s">
        <v>3004</v>
      </c>
      <c r="S148" s="37" t="s">
        <v>2556</v>
      </c>
      <c r="T148" s="31" t="s">
        <v>2248</v>
      </c>
      <c r="Z148" s="37" t="s">
        <v>3005</v>
      </c>
      <c r="AA148" s="27"/>
      <c r="AB148" s="27"/>
      <c r="AC148" s="27"/>
      <c r="AD148" s="27"/>
      <c r="AE148" s="27"/>
      <c r="AF148" s="27"/>
    </row>
    <row r="149" ht="22.5" customHeight="1">
      <c r="A149" s="33">
        <v>46264.588558055555</v>
      </c>
      <c r="B149" s="31" t="s">
        <v>253</v>
      </c>
      <c r="C149" s="31" t="s">
        <v>255</v>
      </c>
      <c r="D149" s="31">
        <v>7.000028992E9</v>
      </c>
      <c r="E149" s="34" t="s">
        <v>982</v>
      </c>
      <c r="F149" s="35">
        <v>35886.0</v>
      </c>
      <c r="G149" s="31" t="s">
        <v>632</v>
      </c>
      <c r="H149" s="31" t="s">
        <v>595</v>
      </c>
      <c r="I149" s="31" t="s">
        <v>128</v>
      </c>
      <c r="J149" s="31" t="s">
        <v>2259</v>
      </c>
      <c r="K149" s="31">
        <v>2023.0</v>
      </c>
      <c r="L149" s="31" t="s">
        <v>596</v>
      </c>
      <c r="M149" s="31" t="s">
        <v>745</v>
      </c>
      <c r="N149" s="31" t="s">
        <v>2614</v>
      </c>
      <c r="O149" s="31" t="s">
        <v>73</v>
      </c>
      <c r="P149" s="31" t="s">
        <v>63</v>
      </c>
      <c r="R149" s="37" t="s">
        <v>2615</v>
      </c>
      <c r="S149" s="37" t="s">
        <v>975</v>
      </c>
      <c r="T149" s="31" t="s">
        <v>86</v>
      </c>
      <c r="U149" s="31" t="s">
        <v>2616</v>
      </c>
      <c r="V149" s="31">
        <v>4.001416025E9</v>
      </c>
      <c r="W149" s="31" t="s">
        <v>632</v>
      </c>
      <c r="X149" s="31" t="s">
        <v>635</v>
      </c>
      <c r="Y149" s="31" t="s">
        <v>2616</v>
      </c>
      <c r="Z149" s="37" t="s">
        <v>3006</v>
      </c>
      <c r="AA149" s="27"/>
      <c r="AB149" s="27"/>
      <c r="AC149" s="27"/>
      <c r="AD149" s="27"/>
      <c r="AE149" s="27"/>
      <c r="AF149" s="27"/>
    </row>
    <row r="150" ht="22.5" customHeight="1">
      <c r="A150" s="33">
        <v>46264.617778541666</v>
      </c>
      <c r="B150" s="31" t="s">
        <v>256</v>
      </c>
      <c r="C150" s="31" t="s">
        <v>258</v>
      </c>
      <c r="D150" s="31">
        <v>7.000168767E9</v>
      </c>
      <c r="E150" s="34" t="s">
        <v>3007</v>
      </c>
      <c r="F150" s="35">
        <v>36448.0</v>
      </c>
      <c r="G150" s="31" t="s">
        <v>2254</v>
      </c>
      <c r="H150" s="31" t="s">
        <v>3008</v>
      </c>
      <c r="I150" s="31" t="s">
        <v>2248</v>
      </c>
      <c r="J150" s="31" t="s">
        <v>394</v>
      </c>
      <c r="K150" s="31">
        <v>2024.0</v>
      </c>
      <c r="L150" s="31" t="s">
        <v>1423</v>
      </c>
      <c r="M150" s="31" t="s">
        <v>1423</v>
      </c>
      <c r="N150" s="31" t="s">
        <v>3009</v>
      </c>
      <c r="O150" s="31" t="s">
        <v>73</v>
      </c>
      <c r="P150" s="31" t="s">
        <v>56</v>
      </c>
      <c r="R150" s="31" t="s">
        <v>149</v>
      </c>
      <c r="S150" s="37" t="s">
        <v>2255</v>
      </c>
      <c r="T150" s="31" t="s">
        <v>2248</v>
      </c>
      <c r="Z150" s="37" t="s">
        <v>3010</v>
      </c>
      <c r="AA150" s="27"/>
      <c r="AB150" s="27"/>
      <c r="AC150" s="27"/>
      <c r="AD150" s="27"/>
      <c r="AE150" s="27"/>
      <c r="AF150" s="27"/>
    </row>
    <row r="151" ht="22.5" customHeight="1">
      <c r="A151" s="33">
        <v>46264.619196875</v>
      </c>
      <c r="B151" s="31" t="s">
        <v>262</v>
      </c>
      <c r="C151" s="31" t="s">
        <v>264</v>
      </c>
      <c r="D151" s="31" t="s">
        <v>3011</v>
      </c>
      <c r="E151" s="34" t="s">
        <v>3012</v>
      </c>
      <c r="F151" s="35">
        <v>36872.0</v>
      </c>
      <c r="G151" s="31" t="s">
        <v>2459</v>
      </c>
      <c r="H151" s="31" t="s">
        <v>2938</v>
      </c>
      <c r="I151" s="31" t="s">
        <v>128</v>
      </c>
      <c r="J151" s="31" t="s">
        <v>394</v>
      </c>
      <c r="K151" s="31">
        <v>2024.0</v>
      </c>
      <c r="L151" s="31" t="s">
        <v>1234</v>
      </c>
      <c r="M151" s="31" t="s">
        <v>51</v>
      </c>
      <c r="N151" s="31" t="s">
        <v>3013</v>
      </c>
      <c r="O151" s="31" t="s">
        <v>73</v>
      </c>
      <c r="P151" s="31" t="s">
        <v>63</v>
      </c>
      <c r="R151" s="37" t="s">
        <v>3014</v>
      </c>
      <c r="S151" s="37" t="s">
        <v>2460</v>
      </c>
      <c r="T151" s="31" t="s">
        <v>2248</v>
      </c>
      <c r="Z151" s="37" t="s">
        <v>3015</v>
      </c>
      <c r="AA151" s="27"/>
      <c r="AB151" s="27"/>
      <c r="AC151" s="27"/>
      <c r="AD151" s="27"/>
      <c r="AE151" s="27"/>
      <c r="AF151" s="27"/>
    </row>
    <row r="152" ht="22.5" customHeight="1">
      <c r="A152" s="33">
        <v>46264.62164611111</v>
      </c>
      <c r="B152" s="31" t="s">
        <v>266</v>
      </c>
      <c r="C152" s="31" t="s">
        <v>267</v>
      </c>
      <c r="D152" s="31" t="s">
        <v>3016</v>
      </c>
      <c r="E152" s="34" t="s">
        <v>3017</v>
      </c>
      <c r="F152" s="35">
        <v>28875.0</v>
      </c>
      <c r="G152" s="31" t="s">
        <v>2563</v>
      </c>
      <c r="H152" s="31" t="s">
        <v>3018</v>
      </c>
      <c r="I152" s="31" t="s">
        <v>1213</v>
      </c>
      <c r="J152" s="31" t="s">
        <v>2248</v>
      </c>
      <c r="K152" s="31">
        <v>2024.0</v>
      </c>
      <c r="L152" s="31">
        <v>2.95</v>
      </c>
      <c r="M152" s="31">
        <v>3.15</v>
      </c>
      <c r="N152" s="31" t="s">
        <v>3019</v>
      </c>
      <c r="O152" s="31" t="s">
        <v>2436</v>
      </c>
      <c r="P152" s="31" t="s">
        <v>63</v>
      </c>
      <c r="R152" s="37" t="s">
        <v>3020</v>
      </c>
      <c r="S152" s="37" t="s">
        <v>2564</v>
      </c>
      <c r="T152" s="31" t="s">
        <v>2248</v>
      </c>
      <c r="Z152" s="37" t="s">
        <v>3021</v>
      </c>
      <c r="AA152" s="27"/>
      <c r="AB152" s="27"/>
      <c r="AC152" s="27"/>
      <c r="AD152" s="27"/>
      <c r="AE152" s="27"/>
      <c r="AF152" s="27"/>
    </row>
    <row r="153" ht="22.5" customHeight="1">
      <c r="A153" s="33">
        <v>46264.62988555555</v>
      </c>
      <c r="B153" s="31" t="s">
        <v>268</v>
      </c>
      <c r="C153" s="31" t="s">
        <v>269</v>
      </c>
      <c r="D153" s="31">
        <v>7.000148395E9</v>
      </c>
      <c r="E153" s="34" t="s">
        <v>3022</v>
      </c>
      <c r="F153" s="35">
        <v>36739.0</v>
      </c>
      <c r="G153" s="31" t="s">
        <v>155</v>
      </c>
      <c r="H153" s="31" t="s">
        <v>2165</v>
      </c>
      <c r="I153" s="31" t="s">
        <v>128</v>
      </c>
      <c r="J153" s="31" t="s">
        <v>394</v>
      </c>
      <c r="K153" s="31">
        <v>2024.0</v>
      </c>
      <c r="L153" s="31" t="s">
        <v>1778</v>
      </c>
      <c r="M153" s="31" t="s">
        <v>116</v>
      </c>
      <c r="N153" s="31" t="s">
        <v>3023</v>
      </c>
      <c r="O153" s="31" t="s">
        <v>73</v>
      </c>
      <c r="P153" s="31" t="s">
        <v>63</v>
      </c>
      <c r="R153" s="37" t="s">
        <v>3024</v>
      </c>
      <c r="S153" s="37" t="s">
        <v>2517</v>
      </c>
      <c r="T153" s="31" t="s">
        <v>2168</v>
      </c>
      <c r="V153" s="31">
        <v>1.81810201033E11</v>
      </c>
      <c r="W153" s="31" t="s">
        <v>155</v>
      </c>
      <c r="X153" s="31" t="s">
        <v>2403</v>
      </c>
      <c r="Y153" s="31">
        <v>2.33129711676E11</v>
      </c>
      <c r="Z153" s="37" t="s">
        <v>3025</v>
      </c>
      <c r="AA153" s="27"/>
      <c r="AB153" s="27"/>
      <c r="AC153" s="27"/>
      <c r="AD153" s="27"/>
      <c r="AE153" s="27"/>
      <c r="AF153" s="27"/>
    </row>
    <row r="154" ht="22.5" customHeight="1">
      <c r="A154" s="33">
        <v>46264.66277918981</v>
      </c>
      <c r="B154" s="31" t="s">
        <v>270</v>
      </c>
      <c r="C154" s="31" t="s">
        <v>271</v>
      </c>
      <c r="D154" s="31">
        <v>2.02300013719E11</v>
      </c>
      <c r="E154" s="34" t="s">
        <v>3026</v>
      </c>
      <c r="F154" s="35">
        <v>35777.0</v>
      </c>
      <c r="G154" s="31" t="s">
        <v>2341</v>
      </c>
      <c r="H154" s="31" t="s">
        <v>231</v>
      </c>
      <c r="I154" s="31" t="s">
        <v>2342</v>
      </c>
      <c r="J154" s="31" t="s">
        <v>2248</v>
      </c>
      <c r="K154" s="31">
        <v>2025.0</v>
      </c>
      <c r="L154" s="34" t="s">
        <v>2409</v>
      </c>
      <c r="M154" s="31">
        <v>129.0</v>
      </c>
      <c r="N154" s="31" t="s">
        <v>75</v>
      </c>
      <c r="O154" s="31" t="s">
        <v>73</v>
      </c>
      <c r="P154" s="31" t="s">
        <v>61</v>
      </c>
      <c r="R154" s="31" t="s">
        <v>149</v>
      </c>
      <c r="S154" s="37" t="s">
        <v>2410</v>
      </c>
      <c r="T154" s="31" t="s">
        <v>2248</v>
      </c>
      <c r="Z154" s="37" t="s">
        <v>3027</v>
      </c>
      <c r="AA154" s="27"/>
      <c r="AB154" s="27"/>
      <c r="AC154" s="27"/>
      <c r="AD154" s="27"/>
      <c r="AE154" s="27"/>
      <c r="AF154" s="27"/>
    </row>
    <row r="155" ht="22.5" customHeight="1">
      <c r="A155" s="33">
        <v>46264.67728392361</v>
      </c>
      <c r="B155" s="31" t="s">
        <v>272</v>
      </c>
      <c r="C155" s="31" t="s">
        <v>273</v>
      </c>
      <c r="D155" s="31">
        <v>2.02300149989E11</v>
      </c>
      <c r="E155" s="34" t="s">
        <v>3028</v>
      </c>
      <c r="F155" s="35">
        <v>36300.0</v>
      </c>
      <c r="G155" s="31" t="s">
        <v>2297</v>
      </c>
      <c r="H155" s="31" t="s">
        <v>3029</v>
      </c>
      <c r="I155" s="31" t="s">
        <v>283</v>
      </c>
      <c r="J155" s="31" t="s">
        <v>2248</v>
      </c>
      <c r="K155" s="31">
        <v>2025.0</v>
      </c>
      <c r="L155" s="31" t="s">
        <v>127</v>
      </c>
      <c r="M155" s="31" t="s">
        <v>3030</v>
      </c>
      <c r="N155" s="31" t="s">
        <v>3031</v>
      </c>
      <c r="O155" s="31" t="s">
        <v>73</v>
      </c>
      <c r="P155" s="31" t="s">
        <v>63</v>
      </c>
      <c r="R155" s="37" t="s">
        <v>3032</v>
      </c>
      <c r="S155" s="37" t="s">
        <v>2595</v>
      </c>
      <c r="T155" s="31" t="s">
        <v>2248</v>
      </c>
      <c r="Z155" s="37" t="s">
        <v>3033</v>
      </c>
      <c r="AA155" s="27"/>
      <c r="AB155" s="27"/>
      <c r="AC155" s="27"/>
      <c r="AD155" s="27"/>
      <c r="AE155" s="27"/>
      <c r="AF155" s="27"/>
    </row>
    <row r="156" ht="22.5" customHeight="1">
      <c r="A156" s="33">
        <v>46264.77893598379</v>
      </c>
      <c r="B156" s="31" t="s">
        <v>276</v>
      </c>
      <c r="C156" s="31" t="s">
        <v>277</v>
      </c>
      <c r="D156" s="31">
        <v>7.000061039E9</v>
      </c>
      <c r="E156" s="34" t="s">
        <v>3034</v>
      </c>
      <c r="F156" s="35">
        <v>34600.0</v>
      </c>
      <c r="G156" s="31" t="s">
        <v>1777</v>
      </c>
      <c r="H156" s="31" t="s">
        <v>3035</v>
      </c>
      <c r="I156" s="31" t="s">
        <v>2248</v>
      </c>
      <c r="J156" s="31" t="s">
        <v>394</v>
      </c>
      <c r="K156" s="31">
        <v>2024.0</v>
      </c>
      <c r="L156" s="31" t="s">
        <v>1473</v>
      </c>
      <c r="M156" s="31" t="s">
        <v>3036</v>
      </c>
      <c r="N156" s="31" t="s">
        <v>3037</v>
      </c>
      <c r="O156" s="31" t="s">
        <v>73</v>
      </c>
      <c r="P156" s="31" t="s">
        <v>56</v>
      </c>
      <c r="R156" s="31" t="s">
        <v>149</v>
      </c>
      <c r="S156" s="37" t="s">
        <v>2274</v>
      </c>
      <c r="T156" s="31" t="s">
        <v>2248</v>
      </c>
      <c r="Z156" s="37" t="s">
        <v>3038</v>
      </c>
      <c r="AA156" s="27"/>
      <c r="AB156" s="27"/>
      <c r="AC156" s="27"/>
      <c r="AD156" s="27"/>
      <c r="AE156" s="27"/>
      <c r="AF156" s="27"/>
    </row>
    <row r="157" ht="22.5" customHeight="1">
      <c r="A157" s="33">
        <v>46264.80291576389</v>
      </c>
      <c r="B157" s="31" t="s">
        <v>278</v>
      </c>
      <c r="C157" s="31" t="s">
        <v>279</v>
      </c>
      <c r="D157" s="31">
        <v>7.000018499E9</v>
      </c>
      <c r="E157" s="34" t="s">
        <v>3039</v>
      </c>
      <c r="F157" s="35">
        <v>36147.0</v>
      </c>
      <c r="G157" s="31" t="s">
        <v>2478</v>
      </c>
      <c r="H157" s="31" t="s">
        <v>3040</v>
      </c>
      <c r="I157" s="31" t="s">
        <v>113</v>
      </c>
      <c r="J157" s="31" t="s">
        <v>2259</v>
      </c>
      <c r="K157" s="31">
        <v>2023.0</v>
      </c>
      <c r="L157" s="31" t="s">
        <v>70</v>
      </c>
      <c r="M157" s="31" t="s">
        <v>434</v>
      </c>
      <c r="N157" s="31" t="s">
        <v>3041</v>
      </c>
      <c r="O157" s="31" t="s">
        <v>73</v>
      </c>
      <c r="P157" s="31" t="s">
        <v>63</v>
      </c>
      <c r="R157" s="37" t="s">
        <v>3042</v>
      </c>
      <c r="S157" s="37" t="s">
        <v>2479</v>
      </c>
      <c r="T157" s="31" t="s">
        <v>2248</v>
      </c>
      <c r="Z157" s="37" t="s">
        <v>3043</v>
      </c>
      <c r="AA157" s="27"/>
      <c r="AB157" s="27"/>
      <c r="AC157" s="27"/>
      <c r="AD157" s="27"/>
      <c r="AE157" s="27"/>
      <c r="AF157" s="27"/>
    </row>
    <row r="158" ht="22.5" customHeight="1">
      <c r="A158" s="33">
        <v>46264.82444604167</v>
      </c>
      <c r="B158" s="31" t="s">
        <v>282</v>
      </c>
      <c r="C158" s="31" t="s">
        <v>284</v>
      </c>
      <c r="D158" s="31">
        <v>7.000134922E9</v>
      </c>
      <c r="E158" s="34" t="s">
        <v>3044</v>
      </c>
      <c r="F158" s="35">
        <v>36885.0</v>
      </c>
      <c r="G158" s="31" t="s">
        <v>310</v>
      </c>
      <c r="H158" s="31" t="s">
        <v>3045</v>
      </c>
      <c r="I158" s="31" t="s">
        <v>283</v>
      </c>
      <c r="J158" s="31" t="s">
        <v>394</v>
      </c>
      <c r="K158" s="31">
        <v>2024.0</v>
      </c>
      <c r="L158" s="31" t="s">
        <v>1234</v>
      </c>
      <c r="M158" s="31" t="s">
        <v>720</v>
      </c>
      <c r="N158" s="31" t="s">
        <v>3046</v>
      </c>
      <c r="O158" s="31" t="s">
        <v>73</v>
      </c>
      <c r="P158" s="31" t="s">
        <v>63</v>
      </c>
      <c r="R158" s="31" t="s">
        <v>2633</v>
      </c>
      <c r="S158" s="37" t="s">
        <v>2593</v>
      </c>
      <c r="T158" s="31" t="s">
        <v>2248</v>
      </c>
      <c r="Z158" s="37" t="s">
        <v>3047</v>
      </c>
      <c r="AA158" s="27"/>
      <c r="AB158" s="27"/>
      <c r="AC158" s="27"/>
      <c r="AD158" s="27"/>
      <c r="AE158" s="27"/>
      <c r="AF158" s="27"/>
    </row>
    <row r="159" ht="22.5" customHeight="1">
      <c r="A159" s="33">
        <v>46264.85634773148</v>
      </c>
      <c r="B159" s="31" t="s">
        <v>287</v>
      </c>
      <c r="C159" s="31" t="s">
        <v>288</v>
      </c>
      <c r="D159" s="31">
        <v>7.000025059E9</v>
      </c>
      <c r="E159" s="34" t="s">
        <v>3048</v>
      </c>
      <c r="F159" s="35">
        <v>35996.0</v>
      </c>
      <c r="G159" s="31" t="s">
        <v>179</v>
      </c>
      <c r="H159" s="31" t="s">
        <v>3049</v>
      </c>
      <c r="I159" s="31" t="s">
        <v>179</v>
      </c>
      <c r="J159" s="31" t="s">
        <v>65</v>
      </c>
      <c r="K159" s="31">
        <v>2025.0</v>
      </c>
      <c r="L159" s="31" t="s">
        <v>1234</v>
      </c>
      <c r="M159" s="31" t="s">
        <v>51</v>
      </c>
      <c r="N159" s="31" t="s">
        <v>3050</v>
      </c>
      <c r="O159" s="31" t="s">
        <v>73</v>
      </c>
      <c r="P159" s="31" t="s">
        <v>63</v>
      </c>
      <c r="R159" s="37" t="s">
        <v>3051</v>
      </c>
      <c r="S159" s="37" t="s">
        <v>2571</v>
      </c>
      <c r="T159" s="31" t="s">
        <v>2248</v>
      </c>
      <c r="Z159" s="37" t="s">
        <v>3052</v>
      </c>
      <c r="AA159" s="27"/>
      <c r="AB159" s="27"/>
      <c r="AC159" s="27"/>
      <c r="AD159" s="27"/>
      <c r="AE159" s="27"/>
      <c r="AF159" s="27"/>
    </row>
    <row r="160" ht="22.5" customHeight="1">
      <c r="A160" s="33">
        <v>46264.92172746528</v>
      </c>
      <c r="B160" s="31" t="s">
        <v>289</v>
      </c>
      <c r="C160" s="31" t="s">
        <v>290</v>
      </c>
      <c r="D160" s="31">
        <v>2.01507943477E11</v>
      </c>
      <c r="E160" s="34" t="s">
        <v>3053</v>
      </c>
      <c r="F160" s="35">
        <v>30180.0</v>
      </c>
      <c r="G160" s="31" t="s">
        <v>2430</v>
      </c>
      <c r="H160" s="31" t="s">
        <v>3054</v>
      </c>
      <c r="I160" s="31" t="s">
        <v>2248</v>
      </c>
      <c r="J160" s="31" t="s">
        <v>2248</v>
      </c>
      <c r="K160" s="31">
        <v>2025.0</v>
      </c>
      <c r="L160" s="31" t="s">
        <v>2431</v>
      </c>
      <c r="M160" s="31" t="s">
        <v>1685</v>
      </c>
      <c r="N160" s="31" t="s">
        <v>3055</v>
      </c>
      <c r="O160" s="31" t="s">
        <v>73</v>
      </c>
      <c r="P160" s="31" t="s">
        <v>63</v>
      </c>
      <c r="R160" s="37" t="s">
        <v>3056</v>
      </c>
      <c r="S160" s="37" t="s">
        <v>2433</v>
      </c>
      <c r="T160" s="31" t="s">
        <v>2248</v>
      </c>
      <c r="Z160" s="37" t="s">
        <v>3057</v>
      </c>
      <c r="AA160" s="27"/>
      <c r="AB160" s="27"/>
      <c r="AC160" s="27"/>
      <c r="AD160" s="27"/>
      <c r="AE160" s="27"/>
      <c r="AF160" s="27"/>
    </row>
    <row r="161" ht="22.5" customHeight="1">
      <c r="A161" s="33">
        <v>46264.96208868056</v>
      </c>
      <c r="B161" s="31" t="s">
        <v>291</v>
      </c>
      <c r="C161" s="31" t="s">
        <v>292</v>
      </c>
      <c r="D161" s="31" t="s">
        <v>291</v>
      </c>
      <c r="E161" s="34" t="s">
        <v>3058</v>
      </c>
      <c r="F161" s="35">
        <v>36132.0</v>
      </c>
      <c r="G161" s="31" t="s">
        <v>692</v>
      </c>
      <c r="H161" s="31" t="s">
        <v>3059</v>
      </c>
      <c r="I161" s="31" t="s">
        <v>128</v>
      </c>
      <c r="J161" s="31" t="s">
        <v>394</v>
      </c>
      <c r="K161" s="31">
        <v>2024.0</v>
      </c>
      <c r="L161" s="31" t="s">
        <v>199</v>
      </c>
      <c r="M161" s="31">
        <v>4.0</v>
      </c>
      <c r="N161" s="31" t="s">
        <v>3060</v>
      </c>
      <c r="O161" s="31" t="s">
        <v>73</v>
      </c>
      <c r="P161" s="31" t="s">
        <v>63</v>
      </c>
      <c r="R161" s="31" t="s">
        <v>149</v>
      </c>
      <c r="S161" s="37" t="s">
        <v>2539</v>
      </c>
      <c r="T161" s="31" t="s">
        <v>2248</v>
      </c>
      <c r="Z161" s="37" t="s">
        <v>3061</v>
      </c>
      <c r="AA161" s="27"/>
      <c r="AB161" s="27"/>
      <c r="AC161" s="27"/>
      <c r="AD161" s="27"/>
      <c r="AE161" s="27"/>
      <c r="AF161" s="27"/>
    </row>
    <row r="162" ht="22.5" customHeight="1">
      <c r="A162" s="33">
        <v>46265.045346122686</v>
      </c>
      <c r="B162" s="31" t="s">
        <v>293</v>
      </c>
      <c r="C162" s="31" t="s">
        <v>294</v>
      </c>
      <c r="D162" s="31">
        <v>2.02400230819E11</v>
      </c>
      <c r="E162" s="34" t="s">
        <v>3062</v>
      </c>
      <c r="F162" s="35">
        <v>36132.0</v>
      </c>
      <c r="G162" s="31" t="s">
        <v>2389</v>
      </c>
      <c r="H162" s="31" t="s">
        <v>3063</v>
      </c>
      <c r="I162" s="31" t="s">
        <v>28</v>
      </c>
      <c r="J162" s="31" t="s">
        <v>2248</v>
      </c>
      <c r="K162" s="31">
        <v>2025.0</v>
      </c>
      <c r="L162" s="31">
        <v>3.75</v>
      </c>
      <c r="M162" s="31">
        <v>3.7</v>
      </c>
      <c r="N162" s="31" t="s">
        <v>3064</v>
      </c>
      <c r="O162" s="31" t="s">
        <v>73</v>
      </c>
      <c r="P162" s="31" t="s">
        <v>61</v>
      </c>
      <c r="R162" s="31" t="s">
        <v>149</v>
      </c>
      <c r="S162" s="31" t="s">
        <v>149</v>
      </c>
      <c r="T162" s="31" t="s">
        <v>2248</v>
      </c>
      <c r="Z162" s="37" t="s">
        <v>3065</v>
      </c>
      <c r="AA162" s="27"/>
      <c r="AB162" s="27"/>
      <c r="AC162" s="27"/>
      <c r="AD162" s="27"/>
      <c r="AE162" s="27"/>
      <c r="AF162" s="27"/>
    </row>
    <row r="163" ht="22.5" customHeight="1">
      <c r="A163" s="33">
        <v>46265.38720193287</v>
      </c>
      <c r="B163" s="31" t="s">
        <v>295</v>
      </c>
      <c r="C163" s="31" t="s">
        <v>296</v>
      </c>
      <c r="D163" s="31">
        <v>7.000150481E9</v>
      </c>
      <c r="E163" s="34" t="s">
        <v>3066</v>
      </c>
      <c r="F163" s="35">
        <v>36734.0</v>
      </c>
      <c r="G163" s="31" t="s">
        <v>152</v>
      </c>
      <c r="H163" s="31" t="s">
        <v>1887</v>
      </c>
      <c r="I163" s="31" t="s">
        <v>128</v>
      </c>
      <c r="J163" s="31" t="s">
        <v>394</v>
      </c>
      <c r="K163" s="31">
        <v>2024.0</v>
      </c>
      <c r="L163" s="31" t="s">
        <v>2199</v>
      </c>
      <c r="M163" s="31" t="s">
        <v>122</v>
      </c>
      <c r="N163" s="31" t="s">
        <v>1501</v>
      </c>
      <c r="O163" s="31" t="s">
        <v>73</v>
      </c>
      <c r="P163" s="31" t="s">
        <v>63</v>
      </c>
      <c r="R163" s="37" t="s">
        <v>3067</v>
      </c>
      <c r="S163" s="37" t="s">
        <v>2495</v>
      </c>
      <c r="T163" s="31" t="s">
        <v>86</v>
      </c>
      <c r="U163" s="31" t="s">
        <v>3068</v>
      </c>
      <c r="V163" s="31" t="s">
        <v>149</v>
      </c>
      <c r="W163" s="31" t="s">
        <v>149</v>
      </c>
      <c r="X163" s="31" t="s">
        <v>149</v>
      </c>
      <c r="Y163" s="31" t="s">
        <v>149</v>
      </c>
      <c r="Z163" s="37" t="s">
        <v>3069</v>
      </c>
      <c r="AA163" s="27"/>
      <c r="AB163" s="27"/>
      <c r="AC163" s="27"/>
      <c r="AD163" s="27"/>
      <c r="AE163" s="27"/>
      <c r="AF163" s="27"/>
    </row>
    <row r="164" ht="22.5" customHeight="1">
      <c r="A164" s="33">
        <v>46265.41450895833</v>
      </c>
      <c r="B164" s="31" t="s">
        <v>297</v>
      </c>
      <c r="C164" s="31" t="s">
        <v>299</v>
      </c>
      <c r="D164" s="31">
        <v>2.02200146506E11</v>
      </c>
      <c r="E164" s="34" t="s">
        <v>3070</v>
      </c>
      <c r="F164" s="35">
        <v>35093.0</v>
      </c>
      <c r="G164" s="31" t="s">
        <v>2465</v>
      </c>
      <c r="H164" s="31" t="s">
        <v>109</v>
      </c>
      <c r="I164" s="31" t="s">
        <v>128</v>
      </c>
      <c r="J164" s="31" t="s">
        <v>2248</v>
      </c>
      <c r="K164" s="31">
        <v>2025.0</v>
      </c>
      <c r="L164" s="31">
        <v>3.28</v>
      </c>
      <c r="M164" s="31">
        <v>0.0</v>
      </c>
      <c r="N164" s="31" t="s">
        <v>3071</v>
      </c>
      <c r="O164" s="31" t="s">
        <v>73</v>
      </c>
      <c r="P164" s="31" t="s">
        <v>63</v>
      </c>
      <c r="R164" s="31" t="s">
        <v>3072</v>
      </c>
      <c r="S164" s="37" t="s">
        <v>2466</v>
      </c>
      <c r="T164" s="31" t="s">
        <v>2248</v>
      </c>
      <c r="Z164" s="37" t="s">
        <v>3073</v>
      </c>
      <c r="AA164" s="27"/>
      <c r="AB164" s="27"/>
      <c r="AC164" s="27"/>
      <c r="AD164" s="27"/>
      <c r="AE164" s="27"/>
      <c r="AF164" s="27"/>
    </row>
    <row r="165" ht="22.5" customHeight="1">
      <c r="A165" s="33">
        <v>46265.471213125</v>
      </c>
      <c r="B165" s="31" t="s">
        <v>300</v>
      </c>
      <c r="C165" s="31" t="s">
        <v>301</v>
      </c>
      <c r="D165" s="31">
        <v>7.000163719E9</v>
      </c>
      <c r="E165" s="34" t="s">
        <v>3074</v>
      </c>
      <c r="F165" s="35">
        <v>36239.0</v>
      </c>
      <c r="G165" s="31" t="s">
        <v>1052</v>
      </c>
      <c r="H165" s="31" t="s">
        <v>2680</v>
      </c>
      <c r="I165" s="31" t="s">
        <v>128</v>
      </c>
      <c r="J165" s="31" t="s">
        <v>394</v>
      </c>
      <c r="K165" s="31">
        <v>2024.0</v>
      </c>
      <c r="L165" s="31" t="s">
        <v>122</v>
      </c>
      <c r="M165" s="31" t="s">
        <v>232</v>
      </c>
      <c r="N165" s="31" t="s">
        <v>3075</v>
      </c>
      <c r="O165" s="31" t="s">
        <v>73</v>
      </c>
      <c r="P165" s="31" t="s">
        <v>63</v>
      </c>
      <c r="R165" s="37" t="s">
        <v>3076</v>
      </c>
      <c r="S165" s="37" t="s">
        <v>2513</v>
      </c>
      <c r="T165" s="31" t="s">
        <v>86</v>
      </c>
      <c r="U165" s="31" t="s">
        <v>3077</v>
      </c>
      <c r="V165" s="31" t="s">
        <v>149</v>
      </c>
      <c r="W165" s="31" t="s">
        <v>149</v>
      </c>
      <c r="X165" s="31" t="s">
        <v>149</v>
      </c>
      <c r="Y165" s="31" t="s">
        <v>149</v>
      </c>
      <c r="Z165" s="37" t="s">
        <v>3078</v>
      </c>
      <c r="AA165" s="27"/>
      <c r="AB165" s="27"/>
      <c r="AC165" s="27"/>
      <c r="AD165" s="27"/>
      <c r="AE165" s="27"/>
      <c r="AF165" s="27"/>
    </row>
    <row r="166" ht="22.5" customHeight="1">
      <c r="A166" s="33">
        <v>46265.476640891204</v>
      </c>
      <c r="B166" s="31" t="s">
        <v>303</v>
      </c>
      <c r="C166" s="31" t="s">
        <v>304</v>
      </c>
      <c r="D166" s="31">
        <v>7.000012343E9</v>
      </c>
      <c r="E166" s="34" t="s">
        <v>3079</v>
      </c>
      <c r="F166" s="35">
        <v>36144.0</v>
      </c>
      <c r="G166" s="31" t="s">
        <v>2455</v>
      </c>
      <c r="H166" s="31" t="s">
        <v>3080</v>
      </c>
      <c r="I166" s="31" t="s">
        <v>128</v>
      </c>
      <c r="J166" s="31" t="s">
        <v>394</v>
      </c>
      <c r="K166" s="31">
        <v>2024.0</v>
      </c>
      <c r="L166" s="31" t="s">
        <v>127</v>
      </c>
      <c r="M166" s="31" t="s">
        <v>116</v>
      </c>
      <c r="N166" s="31" t="s">
        <v>3081</v>
      </c>
      <c r="O166" s="31" t="s">
        <v>73</v>
      </c>
      <c r="P166" s="31" t="s">
        <v>63</v>
      </c>
      <c r="R166" s="37" t="s">
        <v>3082</v>
      </c>
      <c r="S166" s="37" t="s">
        <v>2456</v>
      </c>
      <c r="T166" s="31" t="s">
        <v>86</v>
      </c>
      <c r="U166" s="31" t="s">
        <v>3083</v>
      </c>
      <c r="V166" s="31">
        <v>1.7614043E7</v>
      </c>
      <c r="W166" s="31" t="s">
        <v>3084</v>
      </c>
      <c r="X166" s="31" t="s">
        <v>3085</v>
      </c>
      <c r="Y166" s="31" t="s">
        <v>3083</v>
      </c>
      <c r="Z166" s="37" t="s">
        <v>3086</v>
      </c>
      <c r="AA166" s="27"/>
      <c r="AB166" s="27"/>
      <c r="AC166" s="27"/>
      <c r="AD166" s="27"/>
      <c r="AE166" s="27"/>
      <c r="AF166" s="27"/>
    </row>
    <row r="167" ht="22.5" customHeight="1">
      <c r="A167" s="33">
        <v>46265.483870972224</v>
      </c>
      <c r="B167" s="31" t="s">
        <v>305</v>
      </c>
      <c r="C167" s="31" t="s">
        <v>306</v>
      </c>
      <c r="D167" s="31">
        <v>7.000195495E9</v>
      </c>
      <c r="E167" s="34" t="s">
        <v>3087</v>
      </c>
      <c r="F167" s="35">
        <v>34544.0</v>
      </c>
      <c r="G167" s="31" t="s">
        <v>2264</v>
      </c>
      <c r="H167" s="31" t="s">
        <v>3088</v>
      </c>
      <c r="I167" s="31" t="s">
        <v>2248</v>
      </c>
      <c r="J167" s="31" t="s">
        <v>1014</v>
      </c>
      <c r="K167" s="31">
        <v>2024.0</v>
      </c>
      <c r="L167" s="31" t="s">
        <v>2020</v>
      </c>
      <c r="M167" s="31" t="s">
        <v>2122</v>
      </c>
      <c r="N167" s="31" t="s">
        <v>3089</v>
      </c>
      <c r="O167" s="31" t="s">
        <v>73</v>
      </c>
      <c r="P167" s="31" t="s">
        <v>56</v>
      </c>
      <c r="R167" s="31" t="s">
        <v>149</v>
      </c>
      <c r="S167" s="37" t="s">
        <v>2265</v>
      </c>
      <c r="T167" s="31" t="s">
        <v>2248</v>
      </c>
      <c r="Z167" s="37" t="s">
        <v>3090</v>
      </c>
      <c r="AA167" s="27"/>
      <c r="AB167" s="27"/>
      <c r="AC167" s="27"/>
      <c r="AD167" s="27"/>
      <c r="AE167" s="27"/>
      <c r="AF167" s="27"/>
    </row>
    <row r="168" ht="22.5" customHeight="1">
      <c r="A168" s="33">
        <v>46265.54310918981</v>
      </c>
      <c r="B168" s="31" t="s">
        <v>307</v>
      </c>
      <c r="C168" s="31" t="s">
        <v>308</v>
      </c>
      <c r="D168" s="31">
        <v>7.000144672E9</v>
      </c>
      <c r="E168" s="34" t="s">
        <v>3091</v>
      </c>
      <c r="F168" s="35">
        <v>36886.0</v>
      </c>
      <c r="G168" s="31" t="s">
        <v>106</v>
      </c>
      <c r="H168" s="31" t="s">
        <v>3092</v>
      </c>
      <c r="I168" s="31" t="s">
        <v>200</v>
      </c>
      <c r="J168" s="31" t="s">
        <v>65</v>
      </c>
      <c r="K168" s="31">
        <v>2025.0</v>
      </c>
      <c r="L168" s="31" t="s">
        <v>26</v>
      </c>
      <c r="M168" s="31" t="s">
        <v>712</v>
      </c>
      <c r="N168" s="31" t="s">
        <v>3093</v>
      </c>
      <c r="O168" s="31" t="s">
        <v>73</v>
      </c>
      <c r="P168" s="31" t="s">
        <v>63</v>
      </c>
      <c r="R168" s="31" t="s">
        <v>149</v>
      </c>
      <c r="S168" s="37" t="s">
        <v>2551</v>
      </c>
      <c r="T168" s="31" t="s">
        <v>2248</v>
      </c>
      <c r="Z168" s="37" t="s">
        <v>3094</v>
      </c>
      <c r="AA168" s="27"/>
      <c r="AB168" s="27"/>
      <c r="AC168" s="27"/>
      <c r="AD168" s="27"/>
      <c r="AE168" s="27"/>
      <c r="AF168" s="27"/>
    </row>
    <row r="169" ht="22.5" customHeight="1">
      <c r="A169" s="33">
        <v>46265.679729062496</v>
      </c>
      <c r="B169" s="31" t="s">
        <v>312</v>
      </c>
      <c r="C169" s="31" t="s">
        <v>313</v>
      </c>
      <c r="D169" s="31">
        <v>7.000153949E9</v>
      </c>
      <c r="E169" s="34" t="s">
        <v>2794</v>
      </c>
      <c r="F169" s="35">
        <v>37180.0</v>
      </c>
      <c r="G169" s="31" t="s">
        <v>2287</v>
      </c>
      <c r="H169" s="31" t="s">
        <v>109</v>
      </c>
      <c r="I169" s="31" t="s">
        <v>2248</v>
      </c>
      <c r="J169" s="31" t="s">
        <v>394</v>
      </c>
      <c r="K169" s="31">
        <v>2024.0</v>
      </c>
      <c r="L169" s="31" t="s">
        <v>2288</v>
      </c>
      <c r="M169" s="31">
        <v>3.97</v>
      </c>
      <c r="N169" s="31" t="s">
        <v>3095</v>
      </c>
      <c r="O169" s="31" t="s">
        <v>73</v>
      </c>
      <c r="P169" s="31" t="s">
        <v>56</v>
      </c>
      <c r="R169" s="37" t="s">
        <v>3096</v>
      </c>
      <c r="S169" s="37" t="s">
        <v>2289</v>
      </c>
      <c r="T169" s="31" t="s">
        <v>2248</v>
      </c>
      <c r="Z169" s="37" t="s">
        <v>3097</v>
      </c>
      <c r="AA169" s="27"/>
      <c r="AB169" s="27"/>
      <c r="AC169" s="27"/>
      <c r="AD169" s="27"/>
      <c r="AE169" s="27"/>
      <c r="AF169" s="27"/>
    </row>
    <row r="170" ht="22.5" customHeight="1">
      <c r="A170" s="33">
        <v>46265.75588362268</v>
      </c>
      <c r="B170" s="31" t="s">
        <v>315</v>
      </c>
      <c r="C170" s="31" t="s">
        <v>316</v>
      </c>
      <c r="D170" s="31">
        <v>7.000031429E9</v>
      </c>
      <c r="E170" s="34" t="s">
        <v>3098</v>
      </c>
      <c r="F170" s="35">
        <v>36140.0</v>
      </c>
      <c r="G170" s="31" t="s">
        <v>2422</v>
      </c>
      <c r="H170" s="31" t="s">
        <v>2922</v>
      </c>
      <c r="I170" s="31" t="s">
        <v>1213</v>
      </c>
      <c r="J170" s="31" t="s">
        <v>2259</v>
      </c>
      <c r="K170" s="31">
        <v>2023.0</v>
      </c>
      <c r="L170" s="31" t="s">
        <v>311</v>
      </c>
      <c r="M170" s="31" t="s">
        <v>3099</v>
      </c>
      <c r="N170" s="31" t="s">
        <v>2554</v>
      </c>
      <c r="O170" s="31" t="s">
        <v>73</v>
      </c>
      <c r="P170" s="31" t="s">
        <v>63</v>
      </c>
      <c r="R170" s="37" t="s">
        <v>3100</v>
      </c>
      <c r="S170" s="37" t="s">
        <v>2423</v>
      </c>
      <c r="T170" s="31" t="s">
        <v>2248</v>
      </c>
      <c r="Z170" s="37" t="s">
        <v>3101</v>
      </c>
      <c r="AA170" s="27"/>
      <c r="AB170" s="27"/>
      <c r="AC170" s="27"/>
      <c r="AD170" s="27"/>
      <c r="AE170" s="27"/>
      <c r="AF170" s="27"/>
    </row>
    <row r="171" ht="22.5" customHeight="1">
      <c r="A171" s="33">
        <v>46265.86106523148</v>
      </c>
      <c r="B171" s="31" t="s">
        <v>317</v>
      </c>
      <c r="C171" s="31" t="s">
        <v>318</v>
      </c>
      <c r="D171" s="31">
        <v>7.000105518E9</v>
      </c>
      <c r="E171" s="34" t="s">
        <v>3102</v>
      </c>
      <c r="F171" s="35">
        <v>36465.0</v>
      </c>
      <c r="G171" s="31" t="s">
        <v>1190</v>
      </c>
      <c r="H171" s="31" t="s">
        <v>3103</v>
      </c>
      <c r="I171" s="31" t="s">
        <v>1191</v>
      </c>
      <c r="J171" s="31" t="s">
        <v>65</v>
      </c>
      <c r="K171" s="31">
        <v>2025.0</v>
      </c>
      <c r="L171" s="31" t="s">
        <v>393</v>
      </c>
      <c r="M171" s="31" t="s">
        <v>51</v>
      </c>
      <c r="N171" s="31" t="s">
        <v>3104</v>
      </c>
      <c r="O171" s="31" t="s">
        <v>73</v>
      </c>
      <c r="P171" s="31" t="s">
        <v>59</v>
      </c>
      <c r="R171" s="31" t="s">
        <v>149</v>
      </c>
      <c r="S171" s="37" t="s">
        <v>2318</v>
      </c>
      <c r="T171" s="31" t="s">
        <v>2248</v>
      </c>
      <c r="Z171" s="37" t="s">
        <v>3105</v>
      </c>
      <c r="AA171" s="27"/>
      <c r="AB171" s="27"/>
      <c r="AC171" s="27"/>
      <c r="AD171" s="27"/>
      <c r="AE171" s="27"/>
      <c r="AF171" s="27"/>
    </row>
    <row r="172" ht="22.5" customHeight="1">
      <c r="A172" s="33">
        <v>46266.001574988426</v>
      </c>
      <c r="B172" s="31" t="s">
        <v>319</v>
      </c>
      <c r="C172" s="31" t="s">
        <v>320</v>
      </c>
      <c r="D172" s="31">
        <v>2.01800313277E11</v>
      </c>
      <c r="E172" s="34" t="s">
        <v>3106</v>
      </c>
      <c r="F172" s="35">
        <v>34562.0</v>
      </c>
      <c r="G172" s="31" t="s">
        <v>2341</v>
      </c>
      <c r="H172" s="31" t="s">
        <v>3107</v>
      </c>
      <c r="I172" s="31" t="s">
        <v>2342</v>
      </c>
      <c r="J172" s="31" t="s">
        <v>2248</v>
      </c>
      <c r="K172" s="31">
        <v>2026.0</v>
      </c>
      <c r="L172" s="31" t="s">
        <v>2199</v>
      </c>
      <c r="M172" s="31" t="s">
        <v>719</v>
      </c>
      <c r="N172" s="31" t="s">
        <v>3108</v>
      </c>
      <c r="O172" s="31" t="s">
        <v>73</v>
      </c>
      <c r="P172" s="31" t="s">
        <v>61</v>
      </c>
      <c r="R172" s="37" t="s">
        <v>3109</v>
      </c>
      <c r="S172" s="37" t="s">
        <v>2352</v>
      </c>
      <c r="T172" s="31" t="s">
        <v>2248</v>
      </c>
      <c r="Z172" s="37" t="s">
        <v>3110</v>
      </c>
      <c r="AA172" s="27"/>
      <c r="AB172" s="27"/>
      <c r="AC172" s="27"/>
      <c r="AD172" s="27"/>
      <c r="AE172" s="27"/>
      <c r="AF172" s="27"/>
    </row>
    <row r="173" ht="22.5" customHeight="1">
      <c r="A173" s="33">
        <v>46266.05365083333</v>
      </c>
      <c r="B173" s="31" t="s">
        <v>321</v>
      </c>
      <c r="C173" s="31" t="s">
        <v>322</v>
      </c>
      <c r="D173" s="31" t="s">
        <v>3111</v>
      </c>
      <c r="E173" s="34" t="s">
        <v>3112</v>
      </c>
      <c r="F173" s="35">
        <v>34617.0</v>
      </c>
      <c r="G173" s="31" t="s">
        <v>1190</v>
      </c>
      <c r="H173" s="31" t="s">
        <v>109</v>
      </c>
      <c r="I173" s="31" t="s">
        <v>200</v>
      </c>
      <c r="J173" s="31" t="s">
        <v>65</v>
      </c>
      <c r="K173" s="31">
        <v>2025.0</v>
      </c>
      <c r="L173" s="31">
        <v>3.63</v>
      </c>
      <c r="M173" s="31" t="s">
        <v>51</v>
      </c>
      <c r="N173" s="31" t="s">
        <v>3113</v>
      </c>
      <c r="O173" s="31" t="s">
        <v>73</v>
      </c>
      <c r="P173" s="31" t="s">
        <v>56</v>
      </c>
      <c r="R173" s="37" t="s">
        <v>2277</v>
      </c>
      <c r="S173" s="37" t="s">
        <v>2277</v>
      </c>
      <c r="T173" s="31" t="s">
        <v>2248</v>
      </c>
      <c r="Z173" s="37" t="s">
        <v>3114</v>
      </c>
      <c r="AA173" s="27"/>
      <c r="AB173" s="27"/>
      <c r="AC173" s="27"/>
      <c r="AD173" s="27"/>
      <c r="AE173" s="27"/>
      <c r="AF173" s="27"/>
    </row>
    <row r="174" ht="22.5" customHeight="1">
      <c r="A174" s="33">
        <v>46266.057662974534</v>
      </c>
      <c r="B174" s="31" t="s">
        <v>323</v>
      </c>
      <c r="C174" s="31" t="s">
        <v>324</v>
      </c>
      <c r="D174" s="31">
        <v>2.0190061126E11</v>
      </c>
      <c r="E174" s="34" t="s">
        <v>3115</v>
      </c>
      <c r="F174" s="35">
        <v>33754.0</v>
      </c>
      <c r="G174" s="31" t="s">
        <v>1777</v>
      </c>
      <c r="H174" s="31" t="s">
        <v>3116</v>
      </c>
      <c r="I174" s="31" t="s">
        <v>2342</v>
      </c>
      <c r="J174" s="31" t="s">
        <v>2248</v>
      </c>
      <c r="K174" s="31">
        <v>2025.0</v>
      </c>
      <c r="L174" s="31" t="s">
        <v>154</v>
      </c>
      <c r="M174" s="31" t="s">
        <v>1017</v>
      </c>
      <c r="N174" s="31" t="s">
        <v>3117</v>
      </c>
      <c r="O174" s="31" t="s">
        <v>2436</v>
      </c>
      <c r="P174" s="31" t="s">
        <v>61</v>
      </c>
      <c r="R174" s="37" t="s">
        <v>3118</v>
      </c>
      <c r="S174" s="37" t="s">
        <v>2378</v>
      </c>
      <c r="T174" s="31" t="s">
        <v>2248</v>
      </c>
      <c r="Z174" s="37" t="s">
        <v>3119</v>
      </c>
      <c r="AA174" s="27"/>
      <c r="AB174" s="27"/>
      <c r="AC174" s="27"/>
      <c r="AD174" s="27"/>
      <c r="AE174" s="27"/>
      <c r="AF174" s="27"/>
    </row>
    <row r="175" ht="22.5" customHeight="1">
      <c r="A175" s="33">
        <v>46266.3904418287</v>
      </c>
      <c r="B175" s="31" t="s">
        <v>325</v>
      </c>
      <c r="C175" s="31" t="s">
        <v>326</v>
      </c>
      <c r="D175" s="31">
        <v>7.000200665E9</v>
      </c>
      <c r="E175" s="34" t="s">
        <v>3120</v>
      </c>
      <c r="F175" s="35">
        <v>37182.0</v>
      </c>
      <c r="G175" s="31" t="s">
        <v>2247</v>
      </c>
      <c r="H175" s="31" t="s">
        <v>3121</v>
      </c>
      <c r="I175" s="31" t="s">
        <v>2248</v>
      </c>
      <c r="J175" s="31" t="s">
        <v>1014</v>
      </c>
      <c r="K175" s="31">
        <v>2024.0</v>
      </c>
      <c r="L175" s="31" t="s">
        <v>1171</v>
      </c>
      <c r="M175" s="31" t="s">
        <v>453</v>
      </c>
      <c r="N175" s="31" t="s">
        <v>3122</v>
      </c>
      <c r="O175" s="31" t="s">
        <v>73</v>
      </c>
      <c r="P175" s="31" t="s">
        <v>56</v>
      </c>
      <c r="R175" s="37" t="s">
        <v>3123</v>
      </c>
      <c r="S175" s="37" t="s">
        <v>2249</v>
      </c>
      <c r="T175" s="31" t="s">
        <v>2248</v>
      </c>
      <c r="Z175" s="37" t="s">
        <v>3124</v>
      </c>
      <c r="AA175" s="27"/>
      <c r="AB175" s="27"/>
      <c r="AC175" s="27"/>
      <c r="AD175" s="27"/>
      <c r="AE175" s="27"/>
      <c r="AF175" s="27"/>
    </row>
    <row r="176" ht="22.5" customHeight="1">
      <c r="A176" s="33">
        <v>46266.40816414352</v>
      </c>
      <c r="B176" s="31" t="s">
        <v>328</v>
      </c>
      <c r="C176" s="31" t="s">
        <v>329</v>
      </c>
      <c r="D176" s="31">
        <v>7.000099711E9</v>
      </c>
      <c r="E176" s="34" t="s">
        <v>3125</v>
      </c>
      <c r="F176" s="35">
        <v>35593.0</v>
      </c>
      <c r="G176" s="31" t="s">
        <v>2597</v>
      </c>
      <c r="H176" s="31" t="s">
        <v>1887</v>
      </c>
      <c r="I176" s="31" t="s">
        <v>179</v>
      </c>
      <c r="J176" s="31" t="s">
        <v>65</v>
      </c>
      <c r="K176" s="31">
        <v>2025.0</v>
      </c>
      <c r="L176" s="31" t="s">
        <v>2161</v>
      </c>
      <c r="M176" s="31" t="s">
        <v>51</v>
      </c>
      <c r="N176" s="31" t="s">
        <v>2166</v>
      </c>
      <c r="O176" s="31" t="s">
        <v>73</v>
      </c>
      <c r="P176" s="31" t="s">
        <v>63</v>
      </c>
      <c r="R176" s="31" t="s">
        <v>149</v>
      </c>
      <c r="S176" s="37" t="s">
        <v>2599</v>
      </c>
      <c r="T176" s="31" t="s">
        <v>537</v>
      </c>
      <c r="Y176" s="31" t="s">
        <v>3126</v>
      </c>
      <c r="Z176" s="37" t="s">
        <v>3127</v>
      </c>
      <c r="AA176" s="27"/>
      <c r="AB176" s="27"/>
      <c r="AC176" s="27"/>
      <c r="AD176" s="27"/>
      <c r="AE176" s="27"/>
      <c r="AF176" s="27"/>
    </row>
    <row r="177" ht="22.5" customHeight="1">
      <c r="A177" s="33">
        <v>46266.41867010416</v>
      </c>
      <c r="B177" s="31" t="s">
        <v>330</v>
      </c>
      <c r="C177" s="31" t="s">
        <v>331</v>
      </c>
      <c r="D177" s="31">
        <v>7.000168191E9</v>
      </c>
      <c r="E177" s="34" t="s">
        <v>3128</v>
      </c>
      <c r="F177" s="35">
        <v>36493.0</v>
      </c>
      <c r="G177" s="31" t="s">
        <v>152</v>
      </c>
      <c r="H177" s="31" t="s">
        <v>3129</v>
      </c>
      <c r="I177" s="31" t="s">
        <v>155</v>
      </c>
      <c r="J177" s="31" t="s">
        <v>65</v>
      </c>
      <c r="K177" s="31">
        <v>2025.0</v>
      </c>
      <c r="L177" s="31" t="s">
        <v>66</v>
      </c>
      <c r="M177" s="31">
        <v>4.0</v>
      </c>
      <c r="N177" s="31" t="s">
        <v>3130</v>
      </c>
      <c r="O177" s="31" t="s">
        <v>73</v>
      </c>
      <c r="P177" s="31" t="s">
        <v>57</v>
      </c>
      <c r="R177" s="31" t="s">
        <v>149</v>
      </c>
      <c r="S177" s="37" t="s">
        <v>2300</v>
      </c>
      <c r="T177" s="31" t="s">
        <v>2248</v>
      </c>
      <c r="Z177" s="37" t="s">
        <v>3131</v>
      </c>
      <c r="AA177" s="27"/>
      <c r="AB177" s="27"/>
      <c r="AC177" s="27"/>
      <c r="AD177" s="27"/>
      <c r="AE177" s="27"/>
      <c r="AF177" s="27"/>
    </row>
    <row r="178" ht="22.5" customHeight="1">
      <c r="A178" s="33">
        <v>46266.44483237268</v>
      </c>
      <c r="B178" s="31" t="s">
        <v>332</v>
      </c>
      <c r="C178" s="31" t="s">
        <v>333</v>
      </c>
      <c r="D178" s="31">
        <v>2.01699750644E11</v>
      </c>
      <c r="E178" s="34" t="s">
        <v>3132</v>
      </c>
      <c r="F178" s="35">
        <v>35040.0</v>
      </c>
      <c r="G178" s="31" t="s">
        <v>2341</v>
      </c>
      <c r="H178" s="31" t="s">
        <v>3133</v>
      </c>
      <c r="I178" s="31" t="s">
        <v>2342</v>
      </c>
      <c r="J178" s="31" t="s">
        <v>2248</v>
      </c>
      <c r="K178" s="31">
        <v>2024.0</v>
      </c>
      <c r="L178" s="31" t="s">
        <v>2374</v>
      </c>
      <c r="M178" s="31" t="s">
        <v>111</v>
      </c>
      <c r="N178" s="31" t="s">
        <v>3134</v>
      </c>
      <c r="O178" s="31" t="s">
        <v>73</v>
      </c>
      <c r="P178" s="31" t="s">
        <v>61</v>
      </c>
      <c r="R178" s="37" t="s">
        <v>3135</v>
      </c>
      <c r="S178" s="37" t="s">
        <v>2375</v>
      </c>
      <c r="T178" s="31" t="s">
        <v>2248</v>
      </c>
      <c r="Z178" s="37" t="s">
        <v>3136</v>
      </c>
      <c r="AA178" s="27"/>
      <c r="AB178" s="27"/>
      <c r="AC178" s="27"/>
      <c r="AD178" s="27"/>
      <c r="AE178" s="27"/>
      <c r="AF178" s="27"/>
    </row>
    <row r="179" ht="22.5" customHeight="1">
      <c r="A179" s="33">
        <v>46266.55718449074</v>
      </c>
      <c r="B179" s="31" t="s">
        <v>336</v>
      </c>
      <c r="C179" s="31" t="s">
        <v>338</v>
      </c>
      <c r="D179" s="31">
        <v>2.02300057531E11</v>
      </c>
      <c r="E179" s="34" t="s">
        <v>3137</v>
      </c>
      <c r="F179" s="35">
        <v>36204.0</v>
      </c>
      <c r="G179" s="31" t="s">
        <v>2357</v>
      </c>
      <c r="H179" s="31" t="s">
        <v>3138</v>
      </c>
      <c r="I179" s="31" t="s">
        <v>2342</v>
      </c>
      <c r="J179" s="31" t="s">
        <v>2248</v>
      </c>
      <c r="K179" s="31">
        <v>2026.0</v>
      </c>
      <c r="L179" s="31" t="s">
        <v>628</v>
      </c>
      <c r="M179" s="31" t="s">
        <v>51</v>
      </c>
      <c r="N179" s="31" t="s">
        <v>3139</v>
      </c>
      <c r="O179" s="31" t="s">
        <v>73</v>
      </c>
      <c r="P179" s="31" t="s">
        <v>61</v>
      </c>
      <c r="R179" s="31" t="s">
        <v>149</v>
      </c>
      <c r="S179" s="37" t="s">
        <v>2358</v>
      </c>
      <c r="T179" s="31" t="s">
        <v>2248</v>
      </c>
      <c r="Z179" s="37" t="s">
        <v>3140</v>
      </c>
      <c r="AA179" s="27"/>
      <c r="AB179" s="27"/>
      <c r="AC179" s="27"/>
      <c r="AD179" s="27"/>
      <c r="AE179" s="27"/>
      <c r="AF179" s="27"/>
    </row>
    <row r="180" ht="22.5" customHeight="1">
      <c r="A180" s="33">
        <v>46266.59405513889</v>
      </c>
      <c r="B180" s="31" t="s">
        <v>339</v>
      </c>
      <c r="C180" s="31" t="s">
        <v>340</v>
      </c>
      <c r="D180" s="31">
        <v>7.000199602E9</v>
      </c>
      <c r="E180" s="34" t="s">
        <v>3141</v>
      </c>
      <c r="F180" s="35">
        <v>36960.0</v>
      </c>
      <c r="G180" s="31" t="s">
        <v>1003</v>
      </c>
      <c r="H180" s="31" t="s">
        <v>3142</v>
      </c>
      <c r="I180" s="31" t="s">
        <v>263</v>
      </c>
      <c r="J180" s="31" t="s">
        <v>240</v>
      </c>
      <c r="K180" s="31">
        <v>2025.0</v>
      </c>
      <c r="L180" s="31" t="s">
        <v>1654</v>
      </c>
      <c r="M180" s="31">
        <v>0.0</v>
      </c>
      <c r="N180" s="31" t="s">
        <v>3143</v>
      </c>
      <c r="O180" s="31" t="s">
        <v>73</v>
      </c>
      <c r="P180" s="31" t="s">
        <v>56</v>
      </c>
      <c r="R180" s="37" t="s">
        <v>3144</v>
      </c>
      <c r="S180" s="37" t="s">
        <v>2262</v>
      </c>
      <c r="T180" s="31" t="s">
        <v>2248</v>
      </c>
      <c r="Z180" s="37" t="s">
        <v>3145</v>
      </c>
      <c r="AA180" s="27"/>
      <c r="AB180" s="27"/>
      <c r="AC180" s="27"/>
      <c r="AD180" s="27"/>
      <c r="AE180" s="27"/>
      <c r="AF180" s="27"/>
    </row>
    <row r="181" ht="22.5" customHeight="1">
      <c r="A181" s="33">
        <v>46266.60901377315</v>
      </c>
      <c r="B181" s="31" t="s">
        <v>342</v>
      </c>
      <c r="C181" s="31" t="s">
        <v>343</v>
      </c>
      <c r="D181" s="31">
        <v>7.000122238E9</v>
      </c>
      <c r="E181" s="34" t="s">
        <v>3146</v>
      </c>
      <c r="F181" s="35">
        <v>35932.0</v>
      </c>
      <c r="G181" s="31" t="s">
        <v>2557</v>
      </c>
      <c r="H181" s="31" t="s">
        <v>3147</v>
      </c>
      <c r="I181" s="31" t="s">
        <v>283</v>
      </c>
      <c r="J181" s="31" t="s">
        <v>394</v>
      </c>
      <c r="K181" s="31">
        <v>2024.0</v>
      </c>
      <c r="L181" s="31" t="s">
        <v>434</v>
      </c>
      <c r="M181" s="31">
        <v>0.0</v>
      </c>
      <c r="N181" s="31" t="s">
        <v>3148</v>
      </c>
      <c r="O181" s="31" t="s">
        <v>73</v>
      </c>
      <c r="P181" s="31" t="s">
        <v>63</v>
      </c>
      <c r="R181" s="37" t="s">
        <v>3149</v>
      </c>
      <c r="S181" s="37" t="s">
        <v>2558</v>
      </c>
      <c r="T181" s="31" t="s">
        <v>2248</v>
      </c>
      <c r="Z181" s="37" t="s">
        <v>3150</v>
      </c>
      <c r="AA181" s="27"/>
      <c r="AB181" s="27"/>
      <c r="AC181" s="27"/>
      <c r="AD181" s="27"/>
      <c r="AE181" s="27"/>
      <c r="AF181" s="27"/>
    </row>
    <row r="182" ht="22.5" customHeight="1">
      <c r="A182" s="33">
        <v>46266.66388773148</v>
      </c>
      <c r="B182" s="31" t="s">
        <v>344</v>
      </c>
      <c r="C182" s="31" t="s">
        <v>345</v>
      </c>
      <c r="D182" s="31" t="s">
        <v>3151</v>
      </c>
      <c r="E182" s="34" t="s">
        <v>3152</v>
      </c>
      <c r="F182" s="35">
        <v>35276.0</v>
      </c>
      <c r="G182" s="31" t="s">
        <v>2341</v>
      </c>
      <c r="H182" s="31" t="s">
        <v>2435</v>
      </c>
      <c r="I182" s="31" t="s">
        <v>2342</v>
      </c>
      <c r="J182" s="31" t="s">
        <v>2248</v>
      </c>
      <c r="K182" s="31">
        <v>2025.0</v>
      </c>
      <c r="L182" s="31" t="s">
        <v>2288</v>
      </c>
      <c r="M182" s="31" t="s">
        <v>51</v>
      </c>
      <c r="N182" s="31" t="s">
        <v>3153</v>
      </c>
      <c r="O182" s="31" t="s">
        <v>73</v>
      </c>
      <c r="P182" s="31" t="s">
        <v>61</v>
      </c>
      <c r="R182" s="31" t="s">
        <v>149</v>
      </c>
      <c r="S182" s="37" t="s">
        <v>2363</v>
      </c>
      <c r="T182" s="31" t="s">
        <v>2248</v>
      </c>
      <c r="Z182" s="37" t="s">
        <v>3154</v>
      </c>
      <c r="AA182" s="27"/>
      <c r="AB182" s="27"/>
      <c r="AC182" s="27"/>
      <c r="AD182" s="27"/>
      <c r="AE182" s="27"/>
      <c r="AF182" s="27"/>
    </row>
    <row r="183" ht="22.5" customHeight="1">
      <c r="A183" s="33">
        <v>46266.701824710646</v>
      </c>
      <c r="B183" s="31" t="s">
        <v>346</v>
      </c>
      <c r="C183" s="31" t="s">
        <v>277</v>
      </c>
      <c r="D183" s="31">
        <v>7.000061039E9</v>
      </c>
      <c r="E183" s="34" t="s">
        <v>3034</v>
      </c>
      <c r="F183" s="35">
        <v>34600.0</v>
      </c>
      <c r="G183" s="31" t="s">
        <v>2264</v>
      </c>
      <c r="H183" s="31" t="s">
        <v>3035</v>
      </c>
      <c r="I183" s="31" t="s">
        <v>2248</v>
      </c>
      <c r="J183" s="31" t="s">
        <v>394</v>
      </c>
      <c r="K183" s="31">
        <v>2024.0</v>
      </c>
      <c r="L183" s="31" t="s">
        <v>2161</v>
      </c>
      <c r="M183" s="31" t="s">
        <v>3036</v>
      </c>
      <c r="N183" s="31" t="s">
        <v>3037</v>
      </c>
      <c r="O183" s="31" t="s">
        <v>73</v>
      </c>
      <c r="P183" s="31" t="s">
        <v>56</v>
      </c>
      <c r="R183" s="31" t="s">
        <v>149</v>
      </c>
      <c r="S183" s="37" t="s">
        <v>2274</v>
      </c>
      <c r="T183" s="31" t="s">
        <v>2248</v>
      </c>
      <c r="Z183" s="37" t="s">
        <v>3155</v>
      </c>
      <c r="AA183" s="27"/>
      <c r="AB183" s="27"/>
      <c r="AC183" s="27"/>
      <c r="AD183" s="27"/>
      <c r="AE183" s="27"/>
      <c r="AF183" s="27"/>
    </row>
    <row r="184" ht="22.5" customHeight="1">
      <c r="A184" s="33">
        <v>46266.863295</v>
      </c>
      <c r="B184" s="31" t="s">
        <v>347</v>
      </c>
      <c r="C184" s="31" t="s">
        <v>348</v>
      </c>
      <c r="D184" s="31">
        <v>7.000076889E9</v>
      </c>
      <c r="E184" s="34" t="s">
        <v>3156</v>
      </c>
      <c r="F184" s="35">
        <v>36618.0</v>
      </c>
      <c r="G184" s="31" t="s">
        <v>1052</v>
      </c>
      <c r="H184" s="31" t="s">
        <v>3157</v>
      </c>
      <c r="I184" s="31" t="s">
        <v>200</v>
      </c>
      <c r="J184" s="31" t="s">
        <v>240</v>
      </c>
      <c r="K184" s="31">
        <v>2024.0</v>
      </c>
      <c r="L184" s="31" t="s">
        <v>1017</v>
      </c>
      <c r="M184" s="31" t="s">
        <v>2122</v>
      </c>
      <c r="N184" s="31" t="s">
        <v>3158</v>
      </c>
      <c r="O184" s="31" t="s">
        <v>73</v>
      </c>
      <c r="P184" s="31" t="s">
        <v>63</v>
      </c>
      <c r="R184" s="37" t="s">
        <v>3159</v>
      </c>
      <c r="S184" s="37" t="s">
        <v>2475</v>
      </c>
      <c r="T184" s="31" t="s">
        <v>2248</v>
      </c>
      <c r="Z184" s="37" t="s">
        <v>3160</v>
      </c>
      <c r="AA184" s="27"/>
      <c r="AB184" s="27"/>
      <c r="AC184" s="27"/>
      <c r="AD184" s="27"/>
      <c r="AE184" s="27"/>
      <c r="AF184" s="27"/>
    </row>
    <row r="185" ht="22.5" customHeight="1">
      <c r="A185" s="33">
        <v>46266.86348935185</v>
      </c>
      <c r="B185" s="31" t="s">
        <v>349</v>
      </c>
      <c r="C185" s="31" t="s">
        <v>350</v>
      </c>
      <c r="D185" s="31">
        <v>7.000146358E9</v>
      </c>
      <c r="E185" s="34" t="s">
        <v>3161</v>
      </c>
      <c r="F185" s="35">
        <v>37057.0</v>
      </c>
      <c r="G185" s="31" t="s">
        <v>1052</v>
      </c>
      <c r="H185" s="31" t="s">
        <v>3162</v>
      </c>
      <c r="I185" s="31" t="s">
        <v>128</v>
      </c>
      <c r="J185" s="31" t="s">
        <v>394</v>
      </c>
      <c r="K185" s="31">
        <v>2024.0</v>
      </c>
      <c r="L185" s="31" t="s">
        <v>1171</v>
      </c>
      <c r="M185" s="31" t="s">
        <v>51</v>
      </c>
      <c r="N185" s="31" t="s">
        <v>3013</v>
      </c>
      <c r="O185" s="31" t="s">
        <v>73</v>
      </c>
      <c r="P185" s="31" t="s">
        <v>63</v>
      </c>
      <c r="R185" s="37" t="s">
        <v>3163</v>
      </c>
      <c r="S185" s="37" t="s">
        <v>2580</v>
      </c>
      <c r="T185" s="31" t="s">
        <v>2248</v>
      </c>
      <c r="Z185" s="37" t="s">
        <v>3164</v>
      </c>
      <c r="AA185" s="27"/>
      <c r="AB185" s="27"/>
      <c r="AC185" s="27"/>
      <c r="AD185" s="27"/>
      <c r="AE185" s="27"/>
      <c r="AF185" s="27"/>
    </row>
    <row r="186" ht="22.5" customHeight="1">
      <c r="A186" s="33">
        <v>46266.89016572917</v>
      </c>
      <c r="B186" s="31" t="s">
        <v>352</v>
      </c>
      <c r="C186" s="31" t="s">
        <v>354</v>
      </c>
      <c r="D186" s="31" t="s">
        <v>3165</v>
      </c>
      <c r="E186" s="34" t="s">
        <v>3166</v>
      </c>
      <c r="F186" s="35">
        <v>37471.0</v>
      </c>
      <c r="G186" s="31" t="s">
        <v>2159</v>
      </c>
      <c r="H186" s="31" t="s">
        <v>3167</v>
      </c>
      <c r="I186" s="31" t="s">
        <v>200</v>
      </c>
      <c r="J186" s="31" t="s">
        <v>65</v>
      </c>
      <c r="K186" s="31">
        <v>2026.0</v>
      </c>
      <c r="L186" s="31" t="s">
        <v>1654</v>
      </c>
      <c r="M186" s="31" t="s">
        <v>149</v>
      </c>
      <c r="N186" s="31" t="s">
        <v>3168</v>
      </c>
      <c r="O186" s="31" t="s">
        <v>73</v>
      </c>
      <c r="P186" s="31" t="s">
        <v>63</v>
      </c>
      <c r="R186" s="31" t="s">
        <v>149</v>
      </c>
      <c r="S186" s="37" t="s">
        <v>2569</v>
      </c>
      <c r="T186" s="31" t="s">
        <v>2248</v>
      </c>
      <c r="Z186" s="37" t="s">
        <v>3169</v>
      </c>
      <c r="AA186" s="27"/>
      <c r="AB186" s="27"/>
      <c r="AC186" s="27"/>
      <c r="AD186" s="27"/>
      <c r="AE186" s="27"/>
      <c r="AF186" s="27"/>
    </row>
    <row r="187" ht="22.5" customHeight="1">
      <c r="A187" s="33">
        <v>46266.90977841435</v>
      </c>
      <c r="B187" s="31" t="s">
        <v>355</v>
      </c>
      <c r="C187" s="31" t="s">
        <v>356</v>
      </c>
      <c r="D187" s="31" t="s">
        <v>3170</v>
      </c>
      <c r="E187" s="34" t="s">
        <v>3171</v>
      </c>
      <c r="F187" s="35">
        <v>34941.0</v>
      </c>
      <c r="G187" s="31" t="s">
        <v>2341</v>
      </c>
      <c r="H187" s="31" t="s">
        <v>3172</v>
      </c>
      <c r="I187" s="31" t="s">
        <v>200</v>
      </c>
      <c r="J187" s="31" t="s">
        <v>65</v>
      </c>
      <c r="K187" s="31">
        <v>2025.0</v>
      </c>
      <c r="L187" s="31" t="s">
        <v>720</v>
      </c>
      <c r="M187" s="31" t="s">
        <v>51</v>
      </c>
      <c r="N187" s="31" t="s">
        <v>75</v>
      </c>
      <c r="O187" s="31" t="s">
        <v>73</v>
      </c>
      <c r="P187" s="31" t="s">
        <v>61</v>
      </c>
      <c r="R187" s="31" t="s">
        <v>149</v>
      </c>
      <c r="S187" s="37" t="s">
        <v>2345</v>
      </c>
      <c r="T187" s="31" t="s">
        <v>2248</v>
      </c>
      <c r="Z187" s="37" t="s">
        <v>3173</v>
      </c>
      <c r="AA187" s="27"/>
      <c r="AB187" s="27"/>
      <c r="AC187" s="27"/>
      <c r="AD187" s="27"/>
      <c r="AE187" s="27"/>
      <c r="AF187" s="27"/>
    </row>
    <row r="188" ht="22.5" customHeight="1">
      <c r="A188" s="33">
        <v>46267.28868175926</v>
      </c>
      <c r="B188" s="31" t="s">
        <v>357</v>
      </c>
      <c r="C188" s="31" t="s">
        <v>358</v>
      </c>
      <c r="D188" s="31">
        <v>7.000251901E9</v>
      </c>
      <c r="E188" s="34" t="s">
        <v>3174</v>
      </c>
      <c r="F188" s="35">
        <v>36885.0</v>
      </c>
      <c r="G188" s="31" t="s">
        <v>2547</v>
      </c>
      <c r="H188" s="31" t="s">
        <v>3175</v>
      </c>
      <c r="I188" s="31" t="s">
        <v>2548</v>
      </c>
      <c r="J188" s="31" t="s">
        <v>65</v>
      </c>
      <c r="K188" s="31">
        <v>2025.0</v>
      </c>
      <c r="L188" s="31" t="s">
        <v>361</v>
      </c>
      <c r="M188" s="31" t="s">
        <v>1546</v>
      </c>
      <c r="N188" s="31" t="s">
        <v>3176</v>
      </c>
      <c r="O188" s="31" t="s">
        <v>73</v>
      </c>
      <c r="P188" s="31" t="s">
        <v>63</v>
      </c>
      <c r="R188" s="37" t="s">
        <v>3177</v>
      </c>
      <c r="S188" s="37" t="s">
        <v>2549</v>
      </c>
      <c r="T188" s="31" t="s">
        <v>2248</v>
      </c>
      <c r="Z188" s="37" t="s">
        <v>3178</v>
      </c>
      <c r="AA188" s="27"/>
      <c r="AB188" s="27"/>
      <c r="AC188" s="27"/>
      <c r="AD188" s="27"/>
      <c r="AE188" s="27"/>
      <c r="AF188" s="27"/>
    </row>
    <row r="189" ht="22.5" customHeight="1">
      <c r="A189" s="33">
        <v>46267.31852922453</v>
      </c>
      <c r="B189" s="31" t="s">
        <v>360</v>
      </c>
      <c r="C189" s="31" t="s">
        <v>362</v>
      </c>
      <c r="D189" s="31">
        <v>2.02000887457E11</v>
      </c>
      <c r="E189" s="34" t="s">
        <v>3179</v>
      </c>
      <c r="F189" s="35">
        <v>35647.0</v>
      </c>
      <c r="G189" s="31" t="s">
        <v>113</v>
      </c>
      <c r="H189" s="31" t="s">
        <v>3180</v>
      </c>
      <c r="I189" s="31" t="s">
        <v>113</v>
      </c>
      <c r="J189" s="31" t="s">
        <v>2248</v>
      </c>
      <c r="K189" s="31">
        <v>2025.0</v>
      </c>
      <c r="L189" s="31" t="s">
        <v>2316</v>
      </c>
      <c r="M189" s="31" t="s">
        <v>149</v>
      </c>
      <c r="N189" s="31" t="s">
        <v>3181</v>
      </c>
      <c r="O189" s="31" t="s">
        <v>73</v>
      </c>
      <c r="P189" s="31" t="s">
        <v>61</v>
      </c>
      <c r="R189" s="31" t="s">
        <v>149</v>
      </c>
      <c r="S189" s="37" t="s">
        <v>2412</v>
      </c>
      <c r="T189" s="31" t="s">
        <v>2248</v>
      </c>
      <c r="Z189" s="37" t="s">
        <v>3182</v>
      </c>
      <c r="AA189" s="27"/>
      <c r="AB189" s="27"/>
      <c r="AC189" s="27"/>
      <c r="AD189" s="27"/>
      <c r="AE189" s="27"/>
      <c r="AF189" s="27"/>
    </row>
    <row r="190" ht="22.5" customHeight="1">
      <c r="A190" s="33">
        <v>46267.456403564815</v>
      </c>
      <c r="B190" s="31" t="s">
        <v>364</v>
      </c>
      <c r="C190" s="31" t="s">
        <v>365</v>
      </c>
      <c r="D190" s="31" t="s">
        <v>3183</v>
      </c>
      <c r="E190" s="34" t="s">
        <v>3184</v>
      </c>
      <c r="F190" s="35">
        <v>34858.0</v>
      </c>
      <c r="G190" s="31" t="s">
        <v>2256</v>
      </c>
      <c r="H190" s="31" t="s">
        <v>3185</v>
      </c>
      <c r="I190" s="31" t="s">
        <v>230</v>
      </c>
      <c r="J190" s="31" t="s">
        <v>2248</v>
      </c>
      <c r="K190" s="31">
        <v>2025.0</v>
      </c>
      <c r="L190" s="31" t="s">
        <v>178</v>
      </c>
      <c r="M190" s="31" t="s">
        <v>1685</v>
      </c>
      <c r="N190" s="31" t="s">
        <v>3186</v>
      </c>
      <c r="O190" s="31" t="s">
        <v>73</v>
      </c>
      <c r="P190" s="31" t="s">
        <v>56</v>
      </c>
      <c r="R190" s="31" t="s">
        <v>149</v>
      </c>
      <c r="S190" s="37" t="s">
        <v>2258</v>
      </c>
      <c r="T190" s="31" t="s">
        <v>2248</v>
      </c>
      <c r="Z190" s="37" t="s">
        <v>3187</v>
      </c>
      <c r="AA190" s="27"/>
      <c r="AB190" s="27"/>
      <c r="AC190" s="27"/>
      <c r="AD190" s="27"/>
      <c r="AE190" s="27"/>
      <c r="AF190" s="27"/>
    </row>
    <row r="191" ht="22.5" customHeight="1">
      <c r="A191" s="33">
        <v>46267.467628784725</v>
      </c>
      <c r="B191" s="31" t="s">
        <v>366</v>
      </c>
      <c r="C191" s="31" t="s">
        <v>367</v>
      </c>
      <c r="D191" s="31">
        <v>2.02100315822E11</v>
      </c>
      <c r="E191" s="34" t="s">
        <v>3188</v>
      </c>
      <c r="F191" s="35">
        <v>34286.0</v>
      </c>
      <c r="G191" s="31" t="s">
        <v>106</v>
      </c>
      <c r="H191" s="31" t="s">
        <v>3121</v>
      </c>
      <c r="I191" s="31" t="s">
        <v>113</v>
      </c>
      <c r="J191" s="31" t="s">
        <v>2248</v>
      </c>
      <c r="K191" s="31">
        <v>2024.0</v>
      </c>
      <c r="L191" s="31" t="s">
        <v>108</v>
      </c>
      <c r="M191" s="31">
        <v>3.0</v>
      </c>
      <c r="N191" s="31" t="s">
        <v>3189</v>
      </c>
      <c r="O191" s="31" t="s">
        <v>73</v>
      </c>
      <c r="P191" s="31" t="s">
        <v>63</v>
      </c>
      <c r="R191" s="37" t="s">
        <v>3190</v>
      </c>
      <c r="S191" s="37" t="s">
        <v>2508</v>
      </c>
      <c r="T191" s="31" t="s">
        <v>2248</v>
      </c>
      <c r="Z191" s="37" t="s">
        <v>3191</v>
      </c>
      <c r="AA191" s="27"/>
      <c r="AB191" s="27"/>
      <c r="AC191" s="27"/>
      <c r="AD191" s="27"/>
      <c r="AE191" s="27"/>
      <c r="AF191" s="27"/>
    </row>
    <row r="192" ht="22.5" customHeight="1">
      <c r="A192" s="33">
        <v>46267.471102766205</v>
      </c>
      <c r="B192" s="31" t="s">
        <v>368</v>
      </c>
      <c r="C192" s="31" t="s">
        <v>369</v>
      </c>
      <c r="D192" s="31">
        <v>2.0210019081E11</v>
      </c>
      <c r="E192" s="34" t="s">
        <v>3192</v>
      </c>
      <c r="F192" s="35">
        <v>34612.0</v>
      </c>
      <c r="G192" s="31" t="s">
        <v>2396</v>
      </c>
      <c r="H192" s="31" t="s">
        <v>3193</v>
      </c>
      <c r="I192" s="31" t="s">
        <v>2342</v>
      </c>
      <c r="J192" s="31" t="s">
        <v>2248</v>
      </c>
      <c r="K192" s="31">
        <v>2025.0</v>
      </c>
      <c r="L192" s="31" t="s">
        <v>261</v>
      </c>
      <c r="M192" s="31" t="s">
        <v>68</v>
      </c>
      <c r="N192" s="31" t="s">
        <v>3194</v>
      </c>
      <c r="O192" s="31" t="s">
        <v>73</v>
      </c>
      <c r="P192" s="31" t="s">
        <v>61</v>
      </c>
      <c r="R192" s="37" t="s">
        <v>3195</v>
      </c>
      <c r="S192" s="37" t="s">
        <v>2398</v>
      </c>
      <c r="T192" s="31" t="s">
        <v>2248</v>
      </c>
      <c r="Z192" s="37" t="s">
        <v>3196</v>
      </c>
      <c r="AA192" s="27"/>
      <c r="AB192" s="27"/>
      <c r="AC192" s="27"/>
      <c r="AD192" s="27"/>
      <c r="AE192" s="27"/>
      <c r="AF192" s="27"/>
    </row>
    <row r="193" ht="22.5" customHeight="1">
      <c r="A193" s="33">
        <v>46267.49981108797</v>
      </c>
      <c r="B193" s="31" t="s">
        <v>370</v>
      </c>
      <c r="C193" s="31" t="s">
        <v>371</v>
      </c>
      <c r="D193" s="31">
        <v>7.000241658E9</v>
      </c>
      <c r="E193" s="34" t="s">
        <v>3197</v>
      </c>
      <c r="F193" s="35">
        <v>37265.0</v>
      </c>
      <c r="G193" s="31" t="s">
        <v>2496</v>
      </c>
      <c r="H193" s="31" t="s">
        <v>3198</v>
      </c>
      <c r="I193" s="31" t="s">
        <v>2248</v>
      </c>
      <c r="J193" s="31" t="s">
        <v>65</v>
      </c>
      <c r="K193" s="31">
        <v>2025.0</v>
      </c>
      <c r="L193" s="31" t="s">
        <v>2020</v>
      </c>
      <c r="M193" s="31" t="s">
        <v>51</v>
      </c>
      <c r="N193" s="31" t="s">
        <v>3199</v>
      </c>
      <c r="O193" s="31" t="s">
        <v>73</v>
      </c>
      <c r="P193" s="31" t="s">
        <v>63</v>
      </c>
      <c r="R193" s="37" t="s">
        <v>3200</v>
      </c>
      <c r="S193" s="37" t="s">
        <v>2497</v>
      </c>
      <c r="T193" s="31" t="s">
        <v>2248</v>
      </c>
      <c r="Z193" s="37" t="s">
        <v>3201</v>
      </c>
      <c r="AA193" s="27"/>
      <c r="AB193" s="27"/>
      <c r="AC193" s="27"/>
      <c r="AD193" s="27"/>
      <c r="AE193" s="27"/>
      <c r="AF193" s="27"/>
    </row>
    <row r="194" ht="22.5" customHeight="1">
      <c r="A194" s="33">
        <v>46267.5936387963</v>
      </c>
      <c r="B194" s="31" t="s">
        <v>372</v>
      </c>
      <c r="C194" s="31" t="s">
        <v>373</v>
      </c>
      <c r="D194" s="31">
        <v>2.02300279569E11</v>
      </c>
      <c r="E194" s="34" t="s">
        <v>3202</v>
      </c>
      <c r="F194" s="35">
        <v>34437.0</v>
      </c>
      <c r="G194" s="31" t="s">
        <v>2404</v>
      </c>
      <c r="H194" s="31" t="s">
        <v>3203</v>
      </c>
      <c r="I194" s="31" t="s">
        <v>2342</v>
      </c>
      <c r="J194" s="31" t="s">
        <v>2248</v>
      </c>
      <c r="K194" s="31">
        <v>2025.0</v>
      </c>
      <c r="L194" s="31" t="s">
        <v>2405</v>
      </c>
      <c r="M194" s="31" t="s">
        <v>2587</v>
      </c>
      <c r="N194" s="31" t="s">
        <v>75</v>
      </c>
      <c r="O194" s="31" t="s">
        <v>73</v>
      </c>
      <c r="P194" s="31" t="s">
        <v>61</v>
      </c>
      <c r="R194" s="37" t="s">
        <v>3204</v>
      </c>
      <c r="S194" s="37" t="s">
        <v>2406</v>
      </c>
      <c r="T194" s="31" t="s">
        <v>2248</v>
      </c>
      <c r="Z194" s="37" t="s">
        <v>3205</v>
      </c>
      <c r="AA194" s="27"/>
      <c r="AB194" s="27"/>
      <c r="AC194" s="27"/>
      <c r="AD194" s="27"/>
      <c r="AE194" s="27"/>
      <c r="AF194" s="27"/>
    </row>
    <row r="195" ht="22.5" customHeight="1">
      <c r="A195" s="33">
        <v>46267.62016381945</v>
      </c>
      <c r="B195" s="31" t="s">
        <v>375</v>
      </c>
      <c r="C195" s="31" t="s">
        <v>376</v>
      </c>
      <c r="D195" s="31">
        <v>7.000011978E9</v>
      </c>
      <c r="E195" s="34" t="s">
        <v>3206</v>
      </c>
      <c r="F195" s="35">
        <v>35947.0</v>
      </c>
      <c r="G195" s="31" t="s">
        <v>2540</v>
      </c>
      <c r="H195" s="31" t="s">
        <v>3207</v>
      </c>
      <c r="I195" s="31" t="s">
        <v>113</v>
      </c>
      <c r="J195" s="31" t="s">
        <v>114</v>
      </c>
      <c r="K195" s="31">
        <v>2023.0</v>
      </c>
      <c r="L195" s="31">
        <v>3.86</v>
      </c>
      <c r="M195" s="31">
        <v>3.89</v>
      </c>
      <c r="N195" s="31" t="s">
        <v>3208</v>
      </c>
      <c r="O195" s="31" t="s">
        <v>73</v>
      </c>
      <c r="P195" s="31" t="s">
        <v>63</v>
      </c>
      <c r="R195" s="37" t="s">
        <v>3209</v>
      </c>
      <c r="S195" s="37" t="s">
        <v>2541</v>
      </c>
      <c r="T195" s="31" t="s">
        <v>2248</v>
      </c>
      <c r="Z195" s="37" t="s">
        <v>3210</v>
      </c>
      <c r="AA195" s="27"/>
      <c r="AB195" s="27"/>
      <c r="AC195" s="27"/>
      <c r="AD195" s="27"/>
      <c r="AE195" s="27"/>
      <c r="AF195" s="27"/>
    </row>
    <row r="196" ht="22.5" customHeight="1">
      <c r="A196" s="33">
        <v>46267.67419751157</v>
      </c>
      <c r="B196" s="31" t="s">
        <v>377</v>
      </c>
      <c r="C196" s="31" t="s">
        <v>378</v>
      </c>
      <c r="D196" s="31">
        <v>7.000005542E9</v>
      </c>
      <c r="E196" s="34" t="s">
        <v>3211</v>
      </c>
      <c r="F196" s="35">
        <v>36827.0</v>
      </c>
      <c r="G196" s="31" t="s">
        <v>955</v>
      </c>
      <c r="H196" s="31" t="s">
        <v>3212</v>
      </c>
      <c r="I196" s="31" t="s">
        <v>128</v>
      </c>
      <c r="J196" s="31" t="s">
        <v>394</v>
      </c>
      <c r="K196" s="31">
        <v>2024.0</v>
      </c>
      <c r="L196" s="31" t="s">
        <v>1970</v>
      </c>
      <c r="M196" s="31">
        <v>3.69</v>
      </c>
      <c r="N196" s="31" t="s">
        <v>3213</v>
      </c>
      <c r="O196" s="31" t="s">
        <v>73</v>
      </c>
      <c r="P196" s="31" t="s">
        <v>63</v>
      </c>
      <c r="R196" s="37" t="s">
        <v>3214</v>
      </c>
      <c r="S196" s="37" t="s">
        <v>2482</v>
      </c>
      <c r="T196" s="31" t="s">
        <v>2248</v>
      </c>
      <c r="Z196" s="37" t="s">
        <v>3215</v>
      </c>
      <c r="AA196" s="27"/>
      <c r="AB196" s="27"/>
      <c r="AC196" s="27"/>
      <c r="AD196" s="27"/>
      <c r="AE196" s="27"/>
      <c r="AF196" s="27"/>
    </row>
    <row r="197" ht="22.5" customHeight="1">
      <c r="A197" s="33">
        <v>46267.70907324074</v>
      </c>
      <c r="B197" s="31" t="s">
        <v>380</v>
      </c>
      <c r="C197" s="31" t="s">
        <v>381</v>
      </c>
      <c r="D197" s="31">
        <v>2.000711604E9</v>
      </c>
      <c r="E197" s="34" t="s">
        <v>3216</v>
      </c>
      <c r="F197" s="35">
        <v>36711.0</v>
      </c>
      <c r="G197" s="31" t="s">
        <v>106</v>
      </c>
      <c r="H197" s="31" t="s">
        <v>3217</v>
      </c>
      <c r="I197" s="31" t="s">
        <v>200</v>
      </c>
      <c r="J197" s="31" t="s">
        <v>240</v>
      </c>
      <c r="K197" s="31">
        <v>2024.0</v>
      </c>
      <c r="L197" s="31" t="s">
        <v>154</v>
      </c>
      <c r="M197" s="31">
        <v>3.7</v>
      </c>
      <c r="N197" s="31" t="s">
        <v>3218</v>
      </c>
      <c r="O197" s="31" t="s">
        <v>73</v>
      </c>
      <c r="P197" s="31" t="s">
        <v>57</v>
      </c>
      <c r="R197" s="31" t="s">
        <v>149</v>
      </c>
      <c r="S197" s="37" t="s">
        <v>2302</v>
      </c>
      <c r="T197" s="31" t="s">
        <v>2248</v>
      </c>
      <c r="Z197" s="37" t="s">
        <v>3219</v>
      </c>
      <c r="AA197" s="27"/>
      <c r="AB197" s="27"/>
      <c r="AC197" s="27"/>
      <c r="AD197" s="27"/>
      <c r="AE197" s="27"/>
      <c r="AF197" s="27"/>
    </row>
    <row r="198" ht="22.5" customHeight="1">
      <c r="A198" s="33">
        <v>46267.725948935185</v>
      </c>
      <c r="B198" s="31" t="s">
        <v>382</v>
      </c>
      <c r="C198" s="31" t="s">
        <v>383</v>
      </c>
      <c r="D198" s="31" t="s">
        <v>382</v>
      </c>
      <c r="E198" s="34" t="s">
        <v>3220</v>
      </c>
      <c r="F198" s="35">
        <v>36620.0</v>
      </c>
      <c r="G198" s="31" t="s">
        <v>2485</v>
      </c>
      <c r="H198" s="31" t="s">
        <v>3175</v>
      </c>
      <c r="I198" s="31" t="s">
        <v>128</v>
      </c>
      <c r="J198" s="31" t="s">
        <v>394</v>
      </c>
      <c r="K198" s="31">
        <v>2024.0</v>
      </c>
      <c r="L198" s="31" t="s">
        <v>393</v>
      </c>
      <c r="M198" s="31" t="s">
        <v>51</v>
      </c>
      <c r="N198" s="31" t="s">
        <v>75</v>
      </c>
      <c r="O198" s="31" t="s">
        <v>73</v>
      </c>
      <c r="P198" s="31" t="s">
        <v>63</v>
      </c>
      <c r="R198" s="37" t="s">
        <v>3221</v>
      </c>
      <c r="S198" s="37" t="s">
        <v>2486</v>
      </c>
      <c r="T198" s="31" t="s">
        <v>2248</v>
      </c>
      <c r="Z198" s="37" t="s">
        <v>3222</v>
      </c>
      <c r="AA198" s="27"/>
      <c r="AB198" s="27"/>
      <c r="AC198" s="27"/>
      <c r="AD198" s="27"/>
      <c r="AE198" s="27"/>
      <c r="AF198" s="27"/>
    </row>
    <row r="199" ht="22.5" customHeight="1">
      <c r="A199" s="33">
        <v>46267.744362881946</v>
      </c>
      <c r="B199" s="31" t="s">
        <v>396</v>
      </c>
      <c r="C199" s="31" t="s">
        <v>397</v>
      </c>
      <c r="D199" s="31">
        <v>7.000320509E9</v>
      </c>
      <c r="E199" s="34" t="s">
        <v>3223</v>
      </c>
      <c r="F199" s="35">
        <v>36177.0</v>
      </c>
      <c r="G199" s="31" t="s">
        <v>1052</v>
      </c>
      <c r="H199" s="31" t="s">
        <v>109</v>
      </c>
      <c r="I199" s="31" t="s">
        <v>128</v>
      </c>
      <c r="J199" s="31" t="s">
        <v>65</v>
      </c>
      <c r="K199" s="31">
        <v>2025.0</v>
      </c>
      <c r="L199" s="31" t="s">
        <v>70</v>
      </c>
      <c r="M199" s="31" t="s">
        <v>51</v>
      </c>
      <c r="N199" s="31" t="s">
        <v>3224</v>
      </c>
      <c r="O199" s="31" t="s">
        <v>73</v>
      </c>
      <c r="P199" s="31" t="s">
        <v>63</v>
      </c>
      <c r="R199" s="37" t="s">
        <v>3225</v>
      </c>
      <c r="S199" s="37" t="s">
        <v>2489</v>
      </c>
      <c r="T199" s="31" t="s">
        <v>2248</v>
      </c>
      <c r="Z199" s="37" t="s">
        <v>3226</v>
      </c>
      <c r="AA199" s="27"/>
      <c r="AB199" s="27"/>
      <c r="AC199" s="27"/>
      <c r="AD199" s="27"/>
      <c r="AE199" s="27"/>
      <c r="AF199" s="27"/>
    </row>
    <row r="200" ht="22.5" customHeight="1">
      <c r="A200" s="33">
        <v>46267.761576689816</v>
      </c>
      <c r="B200" s="31" t="s">
        <v>399</v>
      </c>
      <c r="C200" s="31" t="s">
        <v>400</v>
      </c>
      <c r="D200" s="31" t="s">
        <v>3227</v>
      </c>
      <c r="E200" s="34" t="s">
        <v>3228</v>
      </c>
      <c r="F200" s="35">
        <v>36110.0</v>
      </c>
      <c r="G200" s="31" t="s">
        <v>106</v>
      </c>
      <c r="H200" s="31" t="s">
        <v>2911</v>
      </c>
      <c r="I200" s="31" t="s">
        <v>113</v>
      </c>
      <c r="J200" s="31" t="s">
        <v>394</v>
      </c>
      <c r="K200" s="31">
        <v>2024.0</v>
      </c>
      <c r="L200" s="31" t="s">
        <v>2350</v>
      </c>
      <c r="M200" s="31" t="s">
        <v>3229</v>
      </c>
      <c r="N200" s="31" t="s">
        <v>3230</v>
      </c>
      <c r="O200" s="31" t="s">
        <v>73</v>
      </c>
      <c r="P200" s="31" t="s">
        <v>63</v>
      </c>
      <c r="R200" s="37" t="s">
        <v>3231</v>
      </c>
      <c r="S200" s="37" t="s">
        <v>2445</v>
      </c>
      <c r="T200" s="31" t="s">
        <v>2248</v>
      </c>
      <c r="Z200" s="37" t="s">
        <v>3232</v>
      </c>
      <c r="AA200" s="27"/>
      <c r="AB200" s="27"/>
      <c r="AC200" s="27"/>
      <c r="AD200" s="27"/>
      <c r="AE200" s="27"/>
      <c r="AF200" s="27"/>
    </row>
    <row r="201" ht="22.5" customHeight="1">
      <c r="A201" s="33">
        <v>46267.780696574075</v>
      </c>
      <c r="B201" s="31" t="s">
        <v>401</v>
      </c>
      <c r="C201" s="31" t="s">
        <v>402</v>
      </c>
      <c r="D201" s="31">
        <v>7.000000802E9</v>
      </c>
      <c r="E201" s="34" t="s">
        <v>3233</v>
      </c>
      <c r="F201" s="35">
        <v>35626.0</v>
      </c>
      <c r="G201" s="31" t="s">
        <v>632</v>
      </c>
      <c r="H201" s="31" t="s">
        <v>595</v>
      </c>
      <c r="I201" s="31" t="s">
        <v>128</v>
      </c>
      <c r="J201" s="31" t="s">
        <v>2259</v>
      </c>
      <c r="K201" s="31">
        <v>2023.0</v>
      </c>
      <c r="L201" s="31">
        <v>3.13</v>
      </c>
      <c r="M201" s="31">
        <v>3.5</v>
      </c>
      <c r="N201" s="31" t="s">
        <v>3234</v>
      </c>
      <c r="O201" s="31" t="s">
        <v>73</v>
      </c>
      <c r="P201" s="31" t="s">
        <v>63</v>
      </c>
      <c r="R201" s="37" t="s">
        <v>2583</v>
      </c>
      <c r="S201" s="37" t="s">
        <v>2583</v>
      </c>
      <c r="T201" s="31" t="s">
        <v>2248</v>
      </c>
      <c r="Z201" s="37" t="s">
        <v>3235</v>
      </c>
      <c r="AA201" s="27"/>
      <c r="AB201" s="27"/>
      <c r="AC201" s="27"/>
      <c r="AD201" s="27"/>
      <c r="AE201" s="27"/>
      <c r="AF201" s="27"/>
    </row>
    <row r="202" ht="22.5" customHeight="1">
      <c r="A202" s="33">
        <v>46267.787915810186</v>
      </c>
      <c r="B202" s="31" t="s">
        <v>405</v>
      </c>
      <c r="C202" s="31" t="s">
        <v>406</v>
      </c>
      <c r="D202" s="31">
        <v>7.000198025E9</v>
      </c>
      <c r="E202" s="34" t="s">
        <v>3236</v>
      </c>
      <c r="F202" s="35">
        <v>35070.0</v>
      </c>
      <c r="G202" s="31" t="s">
        <v>1777</v>
      </c>
      <c r="H202" s="31" t="s">
        <v>3237</v>
      </c>
      <c r="I202" s="31" t="s">
        <v>200</v>
      </c>
      <c r="J202" s="31" t="s">
        <v>1014</v>
      </c>
      <c r="K202" s="31">
        <v>2024.0</v>
      </c>
      <c r="L202" s="31" t="s">
        <v>1473</v>
      </c>
      <c r="M202" s="31" t="s">
        <v>51</v>
      </c>
      <c r="N202" s="31" t="s">
        <v>2829</v>
      </c>
      <c r="O202" s="31" t="s">
        <v>73</v>
      </c>
      <c r="P202" s="31" t="s">
        <v>63</v>
      </c>
      <c r="R202" s="31" t="s">
        <v>2633</v>
      </c>
      <c r="S202" s="37" t="s">
        <v>2585</v>
      </c>
      <c r="T202" s="31" t="s">
        <v>2248</v>
      </c>
      <c r="Z202" s="37" t="s">
        <v>3238</v>
      </c>
      <c r="AA202" s="27"/>
      <c r="AB202" s="27"/>
      <c r="AC202" s="27"/>
      <c r="AD202" s="27"/>
      <c r="AE202" s="27"/>
      <c r="AF202" s="27"/>
    </row>
    <row r="203" ht="22.5" customHeight="1">
      <c r="A203" s="33">
        <v>46267.824600949076</v>
      </c>
      <c r="B203" s="31" t="s">
        <v>408</v>
      </c>
      <c r="C203" s="31" t="s">
        <v>409</v>
      </c>
      <c r="D203" s="31">
        <v>7.000045054E9</v>
      </c>
      <c r="E203" s="34" t="s">
        <v>3239</v>
      </c>
      <c r="F203" s="35">
        <v>35871.0</v>
      </c>
      <c r="G203" s="31" t="s">
        <v>2360</v>
      </c>
      <c r="H203" s="31" t="s">
        <v>109</v>
      </c>
      <c r="I203" s="31" t="s">
        <v>1191</v>
      </c>
      <c r="J203" s="31" t="s">
        <v>2259</v>
      </c>
      <c r="K203" s="31">
        <v>2023.0</v>
      </c>
      <c r="L203" s="31" t="s">
        <v>1017</v>
      </c>
      <c r="M203" s="31" t="s">
        <v>3240</v>
      </c>
      <c r="N203" s="31" t="s">
        <v>3241</v>
      </c>
      <c r="O203" s="31" t="s">
        <v>73</v>
      </c>
      <c r="P203" s="31" t="s">
        <v>61</v>
      </c>
      <c r="R203" s="37" t="s">
        <v>3242</v>
      </c>
      <c r="S203" s="37" t="s">
        <v>2361</v>
      </c>
      <c r="T203" s="31" t="s">
        <v>2248</v>
      </c>
      <c r="Z203" s="37" t="s">
        <v>3243</v>
      </c>
      <c r="AA203" s="27"/>
      <c r="AB203" s="27"/>
      <c r="AC203" s="27"/>
      <c r="AD203" s="27"/>
      <c r="AE203" s="27"/>
      <c r="AF203" s="27"/>
    </row>
    <row r="204" ht="22.5" customHeight="1">
      <c r="A204" s="33">
        <v>46267.836958113425</v>
      </c>
      <c r="B204" s="31" t="s">
        <v>411</v>
      </c>
      <c r="C204" s="31" t="s">
        <v>413</v>
      </c>
      <c r="D204" s="31">
        <v>7.000247971E9</v>
      </c>
      <c r="E204" s="34" t="s">
        <v>3244</v>
      </c>
      <c r="F204" s="35">
        <v>37430.0</v>
      </c>
      <c r="G204" s="31" t="s">
        <v>2297</v>
      </c>
      <c r="H204" s="31" t="s">
        <v>3245</v>
      </c>
      <c r="I204" s="31" t="s">
        <v>283</v>
      </c>
      <c r="J204" s="31" t="s">
        <v>65</v>
      </c>
      <c r="K204" s="31">
        <v>2025.0</v>
      </c>
      <c r="L204" s="31" t="s">
        <v>2288</v>
      </c>
      <c r="M204" s="31" t="s">
        <v>51</v>
      </c>
      <c r="N204" s="31" t="s">
        <v>3246</v>
      </c>
      <c r="O204" s="31" t="s">
        <v>73</v>
      </c>
      <c r="P204" s="31" t="s">
        <v>63</v>
      </c>
      <c r="R204" s="31" t="s">
        <v>2633</v>
      </c>
      <c r="S204" s="37" t="s">
        <v>2591</v>
      </c>
      <c r="T204" s="31" t="s">
        <v>2248</v>
      </c>
      <c r="Z204" s="37" t="s">
        <v>3247</v>
      </c>
      <c r="AA204" s="27"/>
      <c r="AB204" s="27"/>
      <c r="AC204" s="27"/>
      <c r="AD204" s="27"/>
      <c r="AE204" s="27"/>
      <c r="AF204" s="27"/>
    </row>
    <row r="205" ht="22.5" customHeight="1">
      <c r="A205" s="33">
        <v>46267.83836767361</v>
      </c>
      <c r="B205" s="31" t="s">
        <v>416</v>
      </c>
      <c r="C205" s="31" t="s">
        <v>417</v>
      </c>
      <c r="D205" s="31">
        <v>7.000153971E9</v>
      </c>
      <c r="E205" s="34" t="s">
        <v>3248</v>
      </c>
      <c r="F205" s="35">
        <v>36845.0</v>
      </c>
      <c r="G205" s="31" t="s">
        <v>106</v>
      </c>
      <c r="H205" s="31" t="s">
        <v>3249</v>
      </c>
      <c r="I205" s="31" t="s">
        <v>128</v>
      </c>
      <c r="J205" s="31" t="s">
        <v>394</v>
      </c>
      <c r="K205" s="31">
        <v>2024.0</v>
      </c>
      <c r="L205" s="31" t="s">
        <v>108</v>
      </c>
      <c r="M205" s="31" t="s">
        <v>108</v>
      </c>
      <c r="N205" s="31" t="s">
        <v>3250</v>
      </c>
      <c r="O205" s="31" t="s">
        <v>73</v>
      </c>
      <c r="P205" s="31" t="s">
        <v>63</v>
      </c>
      <c r="R205" s="37" t="s">
        <v>3251</v>
      </c>
      <c r="S205" s="37" t="s">
        <v>2438</v>
      </c>
      <c r="T205" s="31" t="s">
        <v>2248</v>
      </c>
      <c r="Z205" s="37" t="s">
        <v>3252</v>
      </c>
      <c r="AA205" s="27"/>
      <c r="AB205" s="27"/>
      <c r="AC205" s="27"/>
      <c r="AD205" s="27"/>
      <c r="AE205" s="27"/>
      <c r="AF205" s="27"/>
    </row>
    <row r="206" ht="22.5" customHeight="1">
      <c r="A206" s="33">
        <v>46267.87647505787</v>
      </c>
      <c r="B206" s="31" t="s">
        <v>418</v>
      </c>
      <c r="C206" s="31" t="s">
        <v>419</v>
      </c>
      <c r="D206" s="31">
        <v>7.000249518E9</v>
      </c>
      <c r="E206" s="34" t="s">
        <v>3253</v>
      </c>
      <c r="F206" s="35">
        <v>35879.0</v>
      </c>
      <c r="G206" s="31" t="s">
        <v>1052</v>
      </c>
      <c r="H206" s="31" t="s">
        <v>351</v>
      </c>
      <c r="I206" s="31" t="s">
        <v>128</v>
      </c>
      <c r="J206" s="31" t="s">
        <v>65</v>
      </c>
      <c r="K206" s="31">
        <v>2025.0</v>
      </c>
      <c r="L206" s="31" t="s">
        <v>66</v>
      </c>
      <c r="M206" s="31" t="s">
        <v>51</v>
      </c>
      <c r="N206" s="31" t="s">
        <v>1350</v>
      </c>
      <c r="O206" s="31" t="s">
        <v>73</v>
      </c>
      <c r="P206" s="31" t="s">
        <v>63</v>
      </c>
      <c r="R206" s="37" t="s">
        <v>3254</v>
      </c>
      <c r="S206" s="37" t="s">
        <v>2504</v>
      </c>
      <c r="T206" s="31" t="s">
        <v>2168</v>
      </c>
      <c r="V206" s="31" t="s">
        <v>3255</v>
      </c>
      <c r="W206" s="31" t="s">
        <v>1052</v>
      </c>
      <c r="X206" s="31" t="s">
        <v>1489</v>
      </c>
      <c r="Y206" s="31">
        <v>2.470307567E9</v>
      </c>
      <c r="Z206" s="37" t="s">
        <v>3256</v>
      </c>
      <c r="AA206" s="27"/>
      <c r="AB206" s="27"/>
      <c r="AC206" s="27"/>
      <c r="AD206" s="27"/>
      <c r="AE206" s="27"/>
      <c r="AF206" s="27"/>
    </row>
    <row r="207" ht="22.5" customHeight="1">
      <c r="A207" s="33">
        <v>46267.89515351852</v>
      </c>
      <c r="B207" s="31" t="s">
        <v>421</v>
      </c>
      <c r="C207" s="31" t="s">
        <v>422</v>
      </c>
      <c r="D207" s="31">
        <v>7.000319996E9</v>
      </c>
      <c r="E207" s="34" t="s">
        <v>3257</v>
      </c>
      <c r="F207" s="35">
        <v>36692.0</v>
      </c>
      <c r="G207" s="31" t="s">
        <v>177</v>
      </c>
      <c r="H207" s="31" t="s">
        <v>2610</v>
      </c>
      <c r="I207" s="31" t="s">
        <v>179</v>
      </c>
      <c r="J207" s="31" t="s">
        <v>65</v>
      </c>
      <c r="K207" s="31">
        <v>2025.0</v>
      </c>
      <c r="L207" s="31" t="s">
        <v>1546</v>
      </c>
      <c r="M207" s="31" t="s">
        <v>51</v>
      </c>
      <c r="N207" s="31" t="s">
        <v>2824</v>
      </c>
      <c r="O207" s="31" t="s">
        <v>73</v>
      </c>
      <c r="P207" s="31" t="s">
        <v>63</v>
      </c>
      <c r="R207" s="31" t="s">
        <v>149</v>
      </c>
      <c r="S207" s="37" t="s">
        <v>2522</v>
      </c>
      <c r="T207" s="31" t="s">
        <v>2248</v>
      </c>
      <c r="Z207" s="37" t="s">
        <v>3258</v>
      </c>
      <c r="AA207" s="27"/>
      <c r="AB207" s="27"/>
      <c r="AC207" s="27"/>
      <c r="AD207" s="27"/>
      <c r="AE207" s="27"/>
      <c r="AF207" s="27"/>
    </row>
    <row r="208" ht="22.5" customHeight="1">
      <c r="A208" s="33">
        <v>46267.92361115741</v>
      </c>
      <c r="B208" s="31" t="s">
        <v>423</v>
      </c>
      <c r="C208" s="31" t="s">
        <v>424</v>
      </c>
      <c r="D208" s="31">
        <v>7.000226649E9</v>
      </c>
      <c r="E208" s="34" t="s">
        <v>3259</v>
      </c>
      <c r="F208" s="35">
        <v>36312.0</v>
      </c>
      <c r="G208" s="31" t="s">
        <v>2491</v>
      </c>
      <c r="H208" s="31" t="s">
        <v>3260</v>
      </c>
      <c r="I208" s="31" t="s">
        <v>200</v>
      </c>
      <c r="J208" s="31" t="s">
        <v>240</v>
      </c>
      <c r="K208" s="31">
        <v>2024.0</v>
      </c>
      <c r="L208" s="31" t="s">
        <v>2161</v>
      </c>
      <c r="M208" s="31" t="s">
        <v>51</v>
      </c>
      <c r="N208" s="31" t="s">
        <v>3261</v>
      </c>
      <c r="O208" s="31" t="s">
        <v>73</v>
      </c>
      <c r="P208" s="31" t="s">
        <v>63</v>
      </c>
      <c r="R208" s="31" t="s">
        <v>3262</v>
      </c>
      <c r="S208" s="37" t="s">
        <v>2492</v>
      </c>
      <c r="T208" s="31" t="s">
        <v>2248</v>
      </c>
      <c r="Z208" s="37" t="s">
        <v>3263</v>
      </c>
      <c r="AA208" s="27"/>
      <c r="AB208" s="27"/>
      <c r="AC208" s="27"/>
      <c r="AD208" s="27"/>
      <c r="AE208" s="27"/>
      <c r="AF208" s="27"/>
    </row>
    <row r="209" ht="22.5" customHeight="1">
      <c r="A209" s="33">
        <v>46267.92849733796</v>
      </c>
      <c r="B209" s="31" t="s">
        <v>426</v>
      </c>
      <c r="C209" s="31" t="s">
        <v>427</v>
      </c>
      <c r="D209" s="31">
        <v>7.000256959E9</v>
      </c>
      <c r="E209" s="34" t="s">
        <v>3264</v>
      </c>
      <c r="F209" s="35">
        <v>36761.0</v>
      </c>
      <c r="G209" s="31" t="s">
        <v>2519</v>
      </c>
      <c r="H209" s="31" t="s">
        <v>3265</v>
      </c>
      <c r="I209" s="31" t="s">
        <v>128</v>
      </c>
      <c r="J209" s="31" t="s">
        <v>65</v>
      </c>
      <c r="K209" s="31">
        <v>2025.0</v>
      </c>
      <c r="L209" s="31" t="s">
        <v>1588</v>
      </c>
      <c r="M209" s="31">
        <v>4.0</v>
      </c>
      <c r="N209" s="31" t="s">
        <v>3266</v>
      </c>
      <c r="O209" s="31" t="s">
        <v>73</v>
      </c>
      <c r="P209" s="31" t="s">
        <v>63</v>
      </c>
      <c r="R209" s="37" t="s">
        <v>3267</v>
      </c>
      <c r="S209" s="37" t="s">
        <v>2520</v>
      </c>
      <c r="T209" s="31" t="s">
        <v>2248</v>
      </c>
      <c r="Z209" s="37" t="s">
        <v>3268</v>
      </c>
      <c r="AA209" s="27"/>
      <c r="AB209" s="27"/>
      <c r="AC209" s="27"/>
      <c r="AD209" s="27"/>
      <c r="AE209" s="27"/>
      <c r="AF209" s="27"/>
    </row>
    <row r="210" ht="22.5" customHeight="1">
      <c r="A210" s="33">
        <v>46267.93360986111</v>
      </c>
      <c r="B210" s="31" t="s">
        <v>428</v>
      </c>
      <c r="C210" s="31" t="s">
        <v>429</v>
      </c>
      <c r="D210" s="31">
        <v>2.4660694E7</v>
      </c>
      <c r="E210" s="34" t="s">
        <v>3269</v>
      </c>
      <c r="F210" s="35">
        <v>37386.0</v>
      </c>
      <c r="G210" s="31" t="s">
        <v>2283</v>
      </c>
      <c r="H210" s="31" t="s">
        <v>2165</v>
      </c>
      <c r="I210" s="31" t="s">
        <v>2248</v>
      </c>
      <c r="J210" s="31" t="s">
        <v>65</v>
      </c>
      <c r="K210" s="31">
        <v>2025.0</v>
      </c>
      <c r="L210" s="31" t="s">
        <v>51</v>
      </c>
      <c r="M210" s="31" t="s">
        <v>51</v>
      </c>
      <c r="N210" s="31" t="s">
        <v>3270</v>
      </c>
      <c r="O210" s="31" t="s">
        <v>73</v>
      </c>
      <c r="P210" s="31" t="s">
        <v>56</v>
      </c>
      <c r="R210" s="37" t="s">
        <v>3271</v>
      </c>
      <c r="S210" s="37" t="s">
        <v>2284</v>
      </c>
      <c r="T210" s="31" t="s">
        <v>2248</v>
      </c>
      <c r="Z210" s="37" t="s">
        <v>3272</v>
      </c>
      <c r="AA210" s="27"/>
      <c r="AB210" s="27"/>
      <c r="AC210" s="27"/>
      <c r="AD210" s="27"/>
      <c r="AE210" s="27"/>
      <c r="AF210" s="27"/>
    </row>
    <row r="211" ht="22.5" customHeight="1">
      <c r="A211" s="33">
        <v>46267.93813226852</v>
      </c>
      <c r="B211" s="31" t="s">
        <v>430</v>
      </c>
      <c r="C211" s="31" t="s">
        <v>424</v>
      </c>
      <c r="D211" s="31">
        <v>7.000226649E9</v>
      </c>
      <c r="E211" s="34" t="s">
        <v>3259</v>
      </c>
      <c r="F211" s="35">
        <v>36312.0</v>
      </c>
      <c r="G211" s="31" t="s">
        <v>2491</v>
      </c>
      <c r="H211" s="31" t="s">
        <v>3260</v>
      </c>
      <c r="I211" s="31" t="s">
        <v>200</v>
      </c>
      <c r="J211" s="31" t="s">
        <v>240</v>
      </c>
      <c r="K211" s="31">
        <v>2024.0</v>
      </c>
      <c r="L211" s="31" t="s">
        <v>2161</v>
      </c>
      <c r="M211" s="31" t="s">
        <v>51</v>
      </c>
      <c r="N211" s="31" t="s">
        <v>3273</v>
      </c>
      <c r="O211" s="31" t="s">
        <v>73</v>
      </c>
      <c r="P211" s="31" t="s">
        <v>63</v>
      </c>
      <c r="R211" s="37" t="s">
        <v>3274</v>
      </c>
      <c r="S211" s="37" t="s">
        <v>2492</v>
      </c>
      <c r="T211" s="31" t="s">
        <v>2248</v>
      </c>
      <c r="Z211" s="37" t="s">
        <v>3275</v>
      </c>
      <c r="AA211" s="27"/>
      <c r="AB211" s="27"/>
      <c r="AC211" s="27"/>
      <c r="AD211" s="27"/>
      <c r="AE211" s="27"/>
      <c r="AF211" s="27"/>
    </row>
    <row r="212" ht="22.5" customHeight="1">
      <c r="A212" s="33">
        <v>46267.95338237268</v>
      </c>
      <c r="B212" s="31" t="s">
        <v>437</v>
      </c>
      <c r="C212" s="31" t="s">
        <v>438</v>
      </c>
      <c r="D212" s="31">
        <v>7.000126588E9</v>
      </c>
      <c r="E212" s="34" t="s">
        <v>3276</v>
      </c>
      <c r="F212" s="35">
        <v>36790.0</v>
      </c>
      <c r="G212" s="31" t="s">
        <v>106</v>
      </c>
      <c r="H212" s="31" t="s">
        <v>231</v>
      </c>
      <c r="I212" s="31" t="s">
        <v>128</v>
      </c>
      <c r="J212" s="31" t="s">
        <v>394</v>
      </c>
      <c r="K212" s="31">
        <v>2024.0</v>
      </c>
      <c r="L212" s="31" t="s">
        <v>2449</v>
      </c>
      <c r="M212" s="31">
        <v>3.96</v>
      </c>
      <c r="N212" s="31" t="s">
        <v>3277</v>
      </c>
      <c r="O212" s="31" t="s">
        <v>73</v>
      </c>
      <c r="P212" s="31" t="s">
        <v>63</v>
      </c>
      <c r="R212" s="37" t="s">
        <v>3278</v>
      </c>
      <c r="S212" s="37" t="s">
        <v>2451</v>
      </c>
      <c r="T212" s="31" t="s">
        <v>86</v>
      </c>
      <c r="U212" s="31" t="s">
        <v>3279</v>
      </c>
      <c r="V212" s="31" t="s">
        <v>149</v>
      </c>
      <c r="W212" s="31" t="s">
        <v>149</v>
      </c>
      <c r="X212" s="31" t="s">
        <v>149</v>
      </c>
      <c r="Y212" s="31" t="s">
        <v>149</v>
      </c>
      <c r="Z212" s="37" t="s">
        <v>3280</v>
      </c>
      <c r="AA212" s="27"/>
      <c r="AB212" s="27"/>
      <c r="AC212" s="27"/>
      <c r="AD212" s="27"/>
      <c r="AE212" s="27"/>
      <c r="AF212" s="27"/>
    </row>
    <row r="213" ht="22.5" customHeight="1">
      <c r="A213" s="33">
        <v>46267.9538678588</v>
      </c>
      <c r="B213" s="31" t="s">
        <v>439</v>
      </c>
      <c r="C213" s="31" t="s">
        <v>440</v>
      </c>
      <c r="D213" s="31" t="s">
        <v>3281</v>
      </c>
      <c r="E213" s="34" t="s">
        <v>3282</v>
      </c>
      <c r="F213" s="35">
        <v>34229.0</v>
      </c>
      <c r="G213" s="31" t="s">
        <v>2577</v>
      </c>
      <c r="H213" s="31" t="s">
        <v>3283</v>
      </c>
      <c r="I213" s="31" t="s">
        <v>200</v>
      </c>
      <c r="J213" s="31" t="s">
        <v>2248</v>
      </c>
      <c r="K213" s="31" t="s">
        <v>2248</v>
      </c>
      <c r="L213" s="31" t="s">
        <v>361</v>
      </c>
      <c r="M213" s="31" t="s">
        <v>51</v>
      </c>
      <c r="N213" s="31" t="s">
        <v>3284</v>
      </c>
      <c r="O213" s="31" t="s">
        <v>73</v>
      </c>
      <c r="P213" s="31" t="s">
        <v>63</v>
      </c>
      <c r="R213" s="37" t="s">
        <v>3285</v>
      </c>
      <c r="S213" s="37" t="s">
        <v>2578</v>
      </c>
      <c r="T213" s="31" t="s">
        <v>2248</v>
      </c>
      <c r="Z213" s="37" t="s">
        <v>3286</v>
      </c>
      <c r="AA213" s="27"/>
      <c r="AB213" s="27"/>
      <c r="AC213" s="27"/>
      <c r="AD213" s="27"/>
      <c r="AE213" s="27"/>
      <c r="AF213" s="27"/>
    </row>
    <row r="214" ht="22.5" customHeight="1">
      <c r="A214" s="33">
        <v>46267.95753587963</v>
      </c>
      <c r="B214" s="31" t="s">
        <v>442</v>
      </c>
      <c r="C214" s="31" t="s">
        <v>443</v>
      </c>
      <c r="D214" s="31">
        <v>7.000108998E9</v>
      </c>
      <c r="E214" s="34" t="s">
        <v>3287</v>
      </c>
      <c r="F214" s="35">
        <v>36737.0</v>
      </c>
      <c r="G214" s="31" t="s">
        <v>152</v>
      </c>
      <c r="H214" s="31" t="s">
        <v>2461</v>
      </c>
      <c r="I214" s="31" t="s">
        <v>200</v>
      </c>
      <c r="J214" s="31" t="s">
        <v>240</v>
      </c>
      <c r="K214" s="31">
        <v>2024.0</v>
      </c>
      <c r="L214" s="31" t="s">
        <v>2449</v>
      </c>
      <c r="M214" s="31" t="s">
        <v>51</v>
      </c>
      <c r="N214" s="31" t="s">
        <v>3288</v>
      </c>
      <c r="O214" s="31" t="s">
        <v>73</v>
      </c>
      <c r="P214" s="31" t="s">
        <v>63</v>
      </c>
      <c r="R214" s="37" t="s">
        <v>3289</v>
      </c>
      <c r="S214" s="37" t="s">
        <v>2471</v>
      </c>
      <c r="T214" s="31" t="s">
        <v>2248</v>
      </c>
      <c r="Z214" s="37" t="s">
        <v>3290</v>
      </c>
      <c r="AA214" s="27"/>
      <c r="AB214" s="27"/>
      <c r="AC214" s="27"/>
      <c r="AD214" s="27"/>
      <c r="AE214" s="27"/>
      <c r="AF214" s="27"/>
    </row>
    <row r="215" ht="22.5" customHeight="1">
      <c r="A215" s="33">
        <v>46267.98112186343</v>
      </c>
      <c r="B215" s="31" t="s">
        <v>444</v>
      </c>
      <c r="C215" s="31" t="s">
        <v>445</v>
      </c>
      <c r="D215" s="31">
        <v>7.000337292E9</v>
      </c>
      <c r="E215" s="34" t="s">
        <v>3291</v>
      </c>
      <c r="F215" s="35">
        <v>36443.0</v>
      </c>
      <c r="G215" s="31" t="s">
        <v>2533</v>
      </c>
      <c r="H215" s="31" t="s">
        <v>109</v>
      </c>
      <c r="I215" s="31" t="s">
        <v>2248</v>
      </c>
      <c r="J215" s="31" t="s">
        <v>65</v>
      </c>
      <c r="K215" s="31">
        <v>2025.0</v>
      </c>
      <c r="L215" s="31" t="s">
        <v>1778</v>
      </c>
      <c r="M215" s="31">
        <v>3.78</v>
      </c>
      <c r="N215" s="31" t="s">
        <v>3292</v>
      </c>
      <c r="O215" s="31" t="s">
        <v>73</v>
      </c>
      <c r="P215" s="31" t="s">
        <v>63</v>
      </c>
      <c r="R215" s="31" t="s">
        <v>149</v>
      </c>
      <c r="S215" s="37" t="s">
        <v>2534</v>
      </c>
      <c r="T215" s="31" t="s">
        <v>2248</v>
      </c>
      <c r="Z215" s="37" t="s">
        <v>3293</v>
      </c>
      <c r="AA215" s="27"/>
      <c r="AB215" s="27"/>
      <c r="AC215" s="27"/>
      <c r="AD215" s="27"/>
      <c r="AE215" s="27"/>
      <c r="AF215" s="27"/>
    </row>
    <row r="216" ht="22.5" customHeight="1">
      <c r="A216" s="33">
        <v>46267.99138248843</v>
      </c>
      <c r="B216" s="31" t="s">
        <v>447</v>
      </c>
      <c r="C216" s="31" t="s">
        <v>448</v>
      </c>
      <c r="D216" s="31">
        <v>7.000167886E9</v>
      </c>
      <c r="E216" s="34" t="s">
        <v>3294</v>
      </c>
      <c r="F216" s="35">
        <v>36905.0</v>
      </c>
      <c r="G216" s="31" t="s">
        <v>152</v>
      </c>
      <c r="H216" s="31" t="s">
        <v>2860</v>
      </c>
      <c r="I216" s="31" t="s">
        <v>128</v>
      </c>
      <c r="J216" s="31" t="s">
        <v>394</v>
      </c>
      <c r="K216" s="31">
        <v>2024.0</v>
      </c>
      <c r="L216" s="31">
        <v>3.62</v>
      </c>
      <c r="M216" s="31" t="s">
        <v>149</v>
      </c>
      <c r="N216" s="31" t="s">
        <v>3295</v>
      </c>
      <c r="O216" s="31" t="s">
        <v>73</v>
      </c>
      <c r="P216" s="31" t="s">
        <v>63</v>
      </c>
      <c r="R216" s="37" t="s">
        <v>3296</v>
      </c>
      <c r="S216" s="37" t="s">
        <v>2480</v>
      </c>
      <c r="T216" s="31" t="s">
        <v>2248</v>
      </c>
      <c r="Z216" s="37" t="s">
        <v>3297</v>
      </c>
      <c r="AA216" s="27"/>
      <c r="AB216" s="27"/>
      <c r="AC216" s="27"/>
      <c r="AD216" s="27"/>
      <c r="AE216" s="27"/>
      <c r="AF216" s="27"/>
    </row>
    <row r="217" ht="22.5" customHeight="1">
      <c r="A217" s="33">
        <v>46267.995625613425</v>
      </c>
      <c r="B217" s="31" t="s">
        <v>451</v>
      </c>
      <c r="C217" s="31" t="s">
        <v>452</v>
      </c>
      <c r="D217" s="31">
        <v>7.000193179E9</v>
      </c>
      <c r="E217" s="34" t="s">
        <v>3298</v>
      </c>
      <c r="F217" s="35">
        <v>35801.0</v>
      </c>
      <c r="G217" s="31" t="s">
        <v>2586</v>
      </c>
      <c r="H217" s="31" t="s">
        <v>1219</v>
      </c>
      <c r="I217" s="31" t="s">
        <v>200</v>
      </c>
      <c r="J217" s="31" t="s">
        <v>1014</v>
      </c>
      <c r="K217" s="31">
        <v>2024.0</v>
      </c>
      <c r="L217" s="31" t="s">
        <v>2587</v>
      </c>
      <c r="M217" s="31" t="s">
        <v>51</v>
      </c>
      <c r="N217" s="31" t="s">
        <v>2339</v>
      </c>
      <c r="O217" s="31" t="s">
        <v>73</v>
      </c>
      <c r="P217" s="31" t="s">
        <v>63</v>
      </c>
      <c r="R217" s="37" t="s">
        <v>3299</v>
      </c>
      <c r="S217" s="37" t="s">
        <v>2589</v>
      </c>
      <c r="T217" s="31" t="s">
        <v>86</v>
      </c>
      <c r="U217" s="31" t="s">
        <v>3300</v>
      </c>
      <c r="V217" s="31" t="s">
        <v>3301</v>
      </c>
      <c r="W217" s="31" t="s">
        <v>3302</v>
      </c>
      <c r="X217" s="31" t="s">
        <v>1219</v>
      </c>
      <c r="Y217" s="31" t="s">
        <v>149</v>
      </c>
      <c r="Z217" s="37" t="s">
        <v>3303</v>
      </c>
      <c r="AA217" s="27"/>
      <c r="AB217" s="27"/>
      <c r="AC217" s="27"/>
      <c r="AD217" s="27"/>
      <c r="AE217" s="27"/>
      <c r="AF217" s="27"/>
    </row>
  </sheetData>
  <hyperlinks>
    <hyperlink r:id="rId2" ref="R2"/>
    <hyperlink r:id="rId3" ref="S2"/>
    <hyperlink r:id="rId4" ref="R3"/>
    <hyperlink r:id="rId5" ref="S3"/>
    <hyperlink r:id="rId6" ref="R4"/>
    <hyperlink r:id="rId7" ref="S4"/>
    <hyperlink r:id="rId8" ref="S5"/>
    <hyperlink r:id="rId9" ref="R6"/>
    <hyperlink r:id="rId10" ref="S6"/>
    <hyperlink r:id="rId11" ref="R7"/>
    <hyperlink r:id="rId12" ref="S7"/>
    <hyperlink r:id="rId13" ref="R8"/>
    <hyperlink r:id="rId14" ref="S8"/>
    <hyperlink r:id="rId15" ref="R9"/>
    <hyperlink r:id="rId16" ref="S9"/>
    <hyperlink r:id="rId17" ref="R10"/>
    <hyperlink r:id="rId18" ref="S10"/>
    <hyperlink r:id="rId19" ref="R11"/>
    <hyperlink r:id="rId20" ref="S11"/>
    <hyperlink r:id="rId21" ref="R12"/>
    <hyperlink r:id="rId22" ref="S12"/>
    <hyperlink r:id="rId23" ref="R13"/>
    <hyperlink r:id="rId24" ref="S13"/>
    <hyperlink r:id="rId25" ref="R14"/>
    <hyperlink r:id="rId26" ref="S14"/>
    <hyperlink r:id="rId27" ref="S15"/>
    <hyperlink r:id="rId28" ref="R16"/>
    <hyperlink r:id="rId29" ref="S16"/>
    <hyperlink r:id="rId30" ref="R17"/>
    <hyperlink r:id="rId31" ref="S17"/>
    <hyperlink r:id="rId32" ref="R18"/>
    <hyperlink r:id="rId33" ref="S18"/>
    <hyperlink r:id="rId34" ref="R19"/>
    <hyperlink r:id="rId35" ref="S19"/>
    <hyperlink r:id="rId36" ref="R20"/>
    <hyperlink r:id="rId37" ref="S20"/>
    <hyperlink r:id="rId38" ref="R21"/>
    <hyperlink r:id="rId39" ref="S21"/>
    <hyperlink r:id="rId40" ref="R22"/>
    <hyperlink r:id="rId41" ref="S22"/>
    <hyperlink r:id="rId42" ref="R23"/>
    <hyperlink r:id="rId43" ref="S23"/>
    <hyperlink r:id="rId44" ref="R24"/>
    <hyperlink r:id="rId45" ref="S24"/>
    <hyperlink r:id="rId46" ref="R25"/>
    <hyperlink r:id="rId47" ref="S25"/>
    <hyperlink r:id="rId48" ref="R26"/>
    <hyperlink r:id="rId49" ref="S26"/>
    <hyperlink r:id="rId50" ref="R27"/>
    <hyperlink r:id="rId51" ref="S27"/>
    <hyperlink r:id="rId52" ref="R28"/>
    <hyperlink r:id="rId53" ref="S28"/>
    <hyperlink r:id="rId54" ref="R29"/>
    <hyperlink r:id="rId55" ref="S29"/>
    <hyperlink r:id="rId56" ref="R30"/>
    <hyperlink r:id="rId57" ref="S30"/>
    <hyperlink r:id="rId58" ref="S31"/>
    <hyperlink r:id="rId59" ref="S32"/>
    <hyperlink r:id="rId60" ref="S33"/>
    <hyperlink r:id="rId61" ref="S34"/>
    <hyperlink r:id="rId62" ref="R35"/>
    <hyperlink r:id="rId63" ref="S35"/>
    <hyperlink r:id="rId64" ref="R36"/>
    <hyperlink r:id="rId65" ref="S36"/>
    <hyperlink r:id="rId66" ref="S37"/>
    <hyperlink r:id="rId67" ref="R38"/>
    <hyperlink r:id="rId68" ref="S38"/>
    <hyperlink r:id="rId69" ref="R39"/>
    <hyperlink r:id="rId70" ref="S39"/>
    <hyperlink r:id="rId71" ref="R40"/>
    <hyperlink r:id="rId72" ref="S40"/>
    <hyperlink r:id="rId73" ref="R41"/>
    <hyperlink r:id="rId74" ref="S41"/>
    <hyperlink r:id="rId75" ref="R42"/>
    <hyperlink r:id="rId76" ref="S42"/>
    <hyperlink r:id="rId77" ref="R43"/>
    <hyperlink r:id="rId78" ref="S43"/>
    <hyperlink r:id="rId79" ref="S44"/>
    <hyperlink r:id="rId80" ref="R45"/>
    <hyperlink r:id="rId81" ref="S45"/>
    <hyperlink r:id="rId82" ref="R46"/>
    <hyperlink r:id="rId83" ref="S46"/>
    <hyperlink r:id="rId84" ref="S47"/>
    <hyperlink r:id="rId85" ref="R48"/>
    <hyperlink r:id="rId86" ref="S48"/>
    <hyperlink r:id="rId87" ref="R49"/>
    <hyperlink r:id="rId88" ref="S49"/>
    <hyperlink r:id="rId89" ref="S50"/>
    <hyperlink r:id="rId90" ref="R51"/>
    <hyperlink r:id="rId91" ref="S51"/>
    <hyperlink r:id="rId92" ref="S52"/>
    <hyperlink r:id="rId93" ref="S53"/>
    <hyperlink r:id="rId94" ref="R54"/>
    <hyperlink r:id="rId95" ref="S54"/>
    <hyperlink r:id="rId96" ref="R55"/>
    <hyperlink r:id="rId97" ref="S55"/>
    <hyperlink r:id="rId98" ref="R56"/>
    <hyperlink r:id="rId99" ref="S56"/>
    <hyperlink r:id="rId100" ref="R57"/>
    <hyperlink r:id="rId101" ref="S57"/>
    <hyperlink r:id="rId102" ref="R58"/>
    <hyperlink r:id="rId103" ref="S58"/>
    <hyperlink r:id="rId104" ref="R59"/>
    <hyperlink r:id="rId105" ref="S59"/>
    <hyperlink r:id="rId106" ref="S60"/>
    <hyperlink r:id="rId107" ref="R61"/>
    <hyperlink r:id="rId108" ref="S61"/>
    <hyperlink r:id="rId109" ref="R62"/>
    <hyperlink r:id="rId110" ref="S62"/>
    <hyperlink r:id="rId111" ref="R63"/>
    <hyperlink r:id="rId112" ref="S63"/>
    <hyperlink r:id="rId113" ref="R64"/>
    <hyperlink r:id="rId114" ref="S64"/>
    <hyperlink r:id="rId115" ref="S65"/>
    <hyperlink r:id="rId116" ref="S66"/>
    <hyperlink r:id="rId117" ref="R67"/>
    <hyperlink r:id="rId118" ref="S67"/>
    <hyperlink r:id="rId119" ref="R68"/>
    <hyperlink r:id="rId120" ref="S68"/>
    <hyperlink r:id="rId121" ref="R69"/>
    <hyperlink r:id="rId122" ref="S69"/>
    <hyperlink r:id="rId123" ref="R70"/>
    <hyperlink r:id="rId124" ref="S70"/>
    <hyperlink r:id="rId125" ref="R71"/>
    <hyperlink r:id="rId126" ref="S71"/>
    <hyperlink r:id="rId127" ref="R72"/>
    <hyperlink r:id="rId128" ref="S72"/>
    <hyperlink r:id="rId129" ref="S73"/>
    <hyperlink r:id="rId130" ref="R74"/>
    <hyperlink r:id="rId131" ref="S74"/>
    <hyperlink r:id="rId132" ref="R75"/>
    <hyperlink r:id="rId133" ref="S75"/>
    <hyperlink r:id="rId134" ref="S76"/>
    <hyperlink r:id="rId135" ref="R78"/>
    <hyperlink r:id="rId136" ref="S78"/>
    <hyperlink r:id="rId137" ref="S79"/>
    <hyperlink r:id="rId138" ref="S80"/>
    <hyperlink r:id="rId139" ref="S81"/>
    <hyperlink r:id="rId140" ref="R82"/>
    <hyperlink r:id="rId141" ref="S82"/>
    <hyperlink r:id="rId142" ref="S83"/>
    <hyperlink r:id="rId143" ref="S84"/>
    <hyperlink r:id="rId144" ref="S85"/>
    <hyperlink r:id="rId145" ref="R86"/>
    <hyperlink r:id="rId146" ref="S86"/>
    <hyperlink r:id="rId147" ref="R87"/>
    <hyperlink r:id="rId148" ref="S87"/>
    <hyperlink r:id="rId149" ref="R88"/>
    <hyperlink r:id="rId150" ref="S88"/>
    <hyperlink r:id="rId151" ref="S89"/>
    <hyperlink r:id="rId152" ref="R90"/>
    <hyperlink r:id="rId153" ref="S90"/>
    <hyperlink r:id="rId154" ref="S91"/>
    <hyperlink r:id="rId155" ref="R92"/>
    <hyperlink r:id="rId156" ref="S92"/>
    <hyperlink r:id="rId157" ref="R93"/>
    <hyperlink r:id="rId158" ref="S93"/>
    <hyperlink r:id="rId159" ref="R94"/>
    <hyperlink r:id="rId160" ref="S94"/>
    <hyperlink r:id="rId161" ref="S95"/>
    <hyperlink r:id="rId162" ref="S96"/>
    <hyperlink r:id="rId163" ref="R97"/>
    <hyperlink r:id="rId164" ref="S97"/>
    <hyperlink r:id="rId165" ref="R98"/>
    <hyperlink r:id="rId166" ref="S98"/>
    <hyperlink r:id="rId167" ref="R99"/>
    <hyperlink r:id="rId168" ref="S100"/>
    <hyperlink r:id="rId169" ref="S101"/>
    <hyperlink r:id="rId170" ref="R102"/>
    <hyperlink r:id="rId171" ref="S102"/>
    <hyperlink r:id="rId172" ref="R103"/>
    <hyperlink r:id="rId173" ref="S103"/>
    <hyperlink r:id="rId174" ref="S104"/>
    <hyperlink r:id="rId175" ref="S105"/>
    <hyperlink r:id="rId176" ref="S106"/>
    <hyperlink r:id="rId177" ref="S107"/>
    <hyperlink r:id="rId178" ref="S108"/>
    <hyperlink r:id="rId179" ref="S110"/>
    <hyperlink r:id="rId180" ref="R111"/>
    <hyperlink r:id="rId181" ref="S111"/>
    <hyperlink r:id="rId182" ref="Z111"/>
    <hyperlink r:id="rId183" ref="R112"/>
    <hyperlink r:id="rId184" ref="S112"/>
    <hyperlink r:id="rId185" ref="Z112"/>
    <hyperlink r:id="rId186" ref="S113"/>
    <hyperlink r:id="rId187" ref="Z113"/>
    <hyperlink r:id="rId188" ref="R114"/>
    <hyperlink r:id="rId189" ref="S114"/>
    <hyperlink r:id="rId190" ref="Z114"/>
    <hyperlink r:id="rId191" ref="S115"/>
    <hyperlink r:id="rId192" ref="Z115"/>
    <hyperlink r:id="rId193" ref="R116"/>
    <hyperlink r:id="rId194" ref="S116"/>
    <hyperlink r:id="rId195" ref="Z116"/>
    <hyperlink r:id="rId196" ref="S117"/>
    <hyperlink r:id="rId197" ref="Z117"/>
    <hyperlink r:id="rId198" ref="R118"/>
    <hyperlink r:id="rId199" ref="S118"/>
    <hyperlink r:id="rId200" ref="Z118"/>
    <hyperlink r:id="rId201" ref="R119"/>
    <hyperlink r:id="rId202" ref="S119"/>
    <hyperlink r:id="rId203" ref="Z119"/>
    <hyperlink r:id="rId204" ref="R120"/>
    <hyperlink r:id="rId205" ref="S120"/>
    <hyperlink r:id="rId206" ref="Z120"/>
    <hyperlink r:id="rId207" ref="S121"/>
    <hyperlink r:id="rId208" ref="Z121"/>
    <hyperlink r:id="rId209" ref="S122"/>
    <hyperlink r:id="rId210" ref="Z122"/>
    <hyperlink r:id="rId211" ref="R123"/>
    <hyperlink r:id="rId212" ref="S123"/>
    <hyperlink r:id="rId213" ref="Z123"/>
    <hyperlink r:id="rId214" ref="R124"/>
    <hyperlink r:id="rId215" ref="S124"/>
    <hyperlink r:id="rId216" ref="Z124"/>
    <hyperlink r:id="rId217" ref="S125"/>
    <hyperlink r:id="rId218" ref="Z125"/>
    <hyperlink r:id="rId219" ref="S126"/>
    <hyperlink r:id="rId220" ref="Z126"/>
    <hyperlink r:id="rId221" ref="R127"/>
    <hyperlink r:id="rId222" ref="S127"/>
    <hyperlink r:id="rId223" ref="Z127"/>
    <hyperlink r:id="rId224" ref="R128"/>
    <hyperlink r:id="rId225" ref="S128"/>
    <hyperlink r:id="rId226" ref="Z128"/>
    <hyperlink r:id="rId227" ref="R129"/>
    <hyperlink r:id="rId228" ref="S129"/>
    <hyperlink r:id="rId229" ref="Z129"/>
    <hyperlink r:id="rId230" ref="R130"/>
    <hyperlink r:id="rId231" ref="S130"/>
    <hyperlink r:id="rId232" ref="Z130"/>
    <hyperlink r:id="rId233" ref="R131"/>
    <hyperlink r:id="rId234" ref="S131"/>
    <hyperlink r:id="rId235" ref="Z131"/>
    <hyperlink r:id="rId236" ref="R132"/>
    <hyperlink r:id="rId237" ref="S132"/>
    <hyperlink r:id="rId238" ref="Z132"/>
    <hyperlink r:id="rId239" ref="R133"/>
    <hyperlink r:id="rId240" ref="S133"/>
    <hyperlink r:id="rId241" ref="Z133"/>
    <hyperlink r:id="rId242" ref="R134"/>
    <hyperlink r:id="rId243" ref="S134"/>
    <hyperlink r:id="rId244" ref="Z134"/>
    <hyperlink r:id="rId245" ref="R135"/>
    <hyperlink r:id="rId246" ref="S135"/>
    <hyperlink r:id="rId247" ref="Z135"/>
    <hyperlink r:id="rId248" ref="R136"/>
    <hyperlink r:id="rId249" ref="S136"/>
    <hyperlink r:id="rId250" ref="Z136"/>
    <hyperlink r:id="rId251" ref="R137"/>
    <hyperlink r:id="rId252" ref="S137"/>
    <hyperlink r:id="rId253" ref="Z137"/>
    <hyperlink r:id="rId254" ref="R138"/>
    <hyperlink r:id="rId255" ref="S138"/>
    <hyperlink r:id="rId256" ref="Z138"/>
    <hyperlink r:id="rId257" ref="Z139"/>
    <hyperlink r:id="rId258" ref="R140"/>
    <hyperlink r:id="rId259" ref="S140"/>
    <hyperlink r:id="rId260" ref="Z140"/>
    <hyperlink r:id="rId261" ref="R141"/>
    <hyperlink r:id="rId262" ref="S141"/>
    <hyperlink r:id="rId263" ref="Z141"/>
    <hyperlink r:id="rId264" ref="R142"/>
    <hyperlink r:id="rId265" ref="S142"/>
    <hyperlink r:id="rId266" ref="Z142"/>
    <hyperlink r:id="rId267" ref="S143"/>
    <hyperlink r:id="rId268" ref="Z143"/>
    <hyperlink r:id="rId269" ref="R144"/>
    <hyperlink r:id="rId270" ref="S144"/>
    <hyperlink r:id="rId271" ref="Z144"/>
    <hyperlink r:id="rId272" ref="R145"/>
    <hyperlink r:id="rId273" ref="S145"/>
    <hyperlink r:id="rId274" ref="Z145"/>
    <hyperlink r:id="rId275" ref="S146"/>
    <hyperlink r:id="rId276" ref="Z146"/>
    <hyperlink r:id="rId277" ref="R147"/>
    <hyperlink r:id="rId278" ref="S147"/>
    <hyperlink r:id="rId279" ref="Z147"/>
    <hyperlink r:id="rId280" ref="R148"/>
    <hyperlink r:id="rId281" ref="S148"/>
    <hyperlink r:id="rId282" ref="Z148"/>
    <hyperlink r:id="rId283" ref="R149"/>
    <hyperlink r:id="rId284" ref="S149"/>
    <hyperlink r:id="rId285" ref="Z149"/>
    <hyperlink r:id="rId286" ref="S150"/>
    <hyperlink r:id="rId287" ref="Z150"/>
    <hyperlink r:id="rId288" ref="R151"/>
    <hyperlink r:id="rId289" ref="S151"/>
    <hyperlink r:id="rId290" ref="Z151"/>
    <hyperlink r:id="rId291" ref="R152"/>
    <hyperlink r:id="rId292" ref="S152"/>
    <hyperlink r:id="rId293" ref="Z152"/>
    <hyperlink r:id="rId294" ref="R153"/>
    <hyperlink r:id="rId295" ref="S153"/>
    <hyperlink r:id="rId296" ref="Z153"/>
    <hyperlink r:id="rId297" ref="S154"/>
    <hyperlink r:id="rId298" ref="Z154"/>
    <hyperlink r:id="rId299" ref="R155"/>
    <hyperlink r:id="rId300" ref="S155"/>
    <hyperlink r:id="rId301" ref="Z155"/>
    <hyperlink r:id="rId302" ref="S156"/>
    <hyperlink r:id="rId303" ref="Z156"/>
    <hyperlink r:id="rId304" ref="R157"/>
    <hyperlink r:id="rId305" ref="S157"/>
    <hyperlink r:id="rId306" ref="Z157"/>
    <hyperlink r:id="rId307" ref="S158"/>
    <hyperlink r:id="rId308" ref="Z158"/>
    <hyperlink r:id="rId309" ref="R159"/>
    <hyperlink r:id="rId310" ref="S159"/>
    <hyperlink r:id="rId311" ref="Z159"/>
    <hyperlink r:id="rId312" ref="R160"/>
    <hyperlink r:id="rId313" ref="S160"/>
    <hyperlink r:id="rId314" ref="Z160"/>
    <hyperlink r:id="rId315" ref="S161"/>
    <hyperlink r:id="rId316" ref="Z161"/>
    <hyperlink r:id="rId317" ref="Z162"/>
    <hyperlink r:id="rId318" ref="R163"/>
    <hyperlink r:id="rId319" ref="S163"/>
    <hyperlink r:id="rId320" ref="Z163"/>
    <hyperlink r:id="rId321" ref="S164"/>
    <hyperlink r:id="rId322" ref="Z164"/>
    <hyperlink r:id="rId323" ref="R165"/>
    <hyperlink r:id="rId324" ref="S165"/>
    <hyperlink r:id="rId325" ref="Z165"/>
    <hyperlink r:id="rId326" ref="R166"/>
    <hyperlink r:id="rId327" ref="S166"/>
    <hyperlink r:id="rId328" ref="Z166"/>
    <hyperlink r:id="rId329" ref="S167"/>
    <hyperlink r:id="rId330" ref="Z167"/>
    <hyperlink r:id="rId331" ref="S168"/>
    <hyperlink r:id="rId332" ref="Z168"/>
    <hyperlink r:id="rId333" ref="R169"/>
    <hyperlink r:id="rId334" ref="S169"/>
    <hyperlink r:id="rId335" ref="Z169"/>
    <hyperlink r:id="rId336" ref="R170"/>
    <hyperlink r:id="rId337" ref="S170"/>
    <hyperlink r:id="rId338" ref="Z170"/>
    <hyperlink r:id="rId339" ref="S171"/>
    <hyperlink r:id="rId340" ref="Z171"/>
    <hyperlink r:id="rId341" ref="R172"/>
    <hyperlink r:id="rId342" ref="S172"/>
    <hyperlink r:id="rId343" ref="Z172"/>
    <hyperlink r:id="rId344" ref="R173"/>
    <hyperlink r:id="rId345" ref="S173"/>
    <hyperlink r:id="rId346" ref="Z173"/>
    <hyperlink r:id="rId347" ref="R174"/>
    <hyperlink r:id="rId348" ref="S174"/>
    <hyperlink r:id="rId349" ref="Z174"/>
    <hyperlink r:id="rId350" ref="R175"/>
    <hyperlink r:id="rId351" ref="S175"/>
    <hyperlink r:id="rId352" ref="Z175"/>
    <hyperlink r:id="rId353" ref="S176"/>
    <hyperlink r:id="rId354" ref="Z176"/>
    <hyperlink r:id="rId355" ref="S177"/>
    <hyperlink r:id="rId356" ref="Z177"/>
    <hyperlink r:id="rId357" ref="R178"/>
    <hyperlink r:id="rId358" ref="S178"/>
    <hyperlink r:id="rId359" ref="Z178"/>
    <hyperlink r:id="rId360" ref="S179"/>
    <hyperlink r:id="rId361" ref="Z179"/>
    <hyperlink r:id="rId362" ref="R180"/>
    <hyperlink r:id="rId363" ref="S180"/>
    <hyperlink r:id="rId364" ref="Z180"/>
    <hyperlink r:id="rId365" ref="R181"/>
    <hyperlink r:id="rId366" ref="S181"/>
    <hyperlink r:id="rId367" ref="Z181"/>
    <hyperlink r:id="rId368" ref="S182"/>
    <hyperlink r:id="rId369" ref="Z182"/>
    <hyperlink r:id="rId370" ref="S183"/>
    <hyperlink r:id="rId371" ref="Z183"/>
    <hyperlink r:id="rId372" ref="R184"/>
    <hyperlink r:id="rId373" ref="S184"/>
    <hyperlink r:id="rId374" ref="Z184"/>
    <hyperlink r:id="rId375" ref="R185"/>
    <hyperlink r:id="rId376" ref="S185"/>
    <hyperlink r:id="rId377" ref="Z185"/>
    <hyperlink r:id="rId378" ref="S186"/>
    <hyperlink r:id="rId379" ref="Z186"/>
    <hyperlink r:id="rId380" ref="S187"/>
    <hyperlink r:id="rId381" ref="Z187"/>
    <hyperlink r:id="rId382" ref="R188"/>
    <hyperlink r:id="rId383" ref="S188"/>
    <hyperlink r:id="rId384" ref="Z188"/>
    <hyperlink r:id="rId385" ref="S189"/>
    <hyperlink r:id="rId386" ref="Z189"/>
    <hyperlink r:id="rId387" ref="S190"/>
    <hyperlink r:id="rId388" ref="Z190"/>
    <hyperlink r:id="rId389" ref="R191"/>
    <hyperlink r:id="rId390" ref="S191"/>
    <hyperlink r:id="rId391" ref="Z191"/>
    <hyperlink r:id="rId392" ref="R192"/>
    <hyperlink r:id="rId393" ref="S192"/>
    <hyperlink r:id="rId394" ref="Z192"/>
    <hyperlink r:id="rId395" ref="R193"/>
    <hyperlink r:id="rId396" ref="S193"/>
    <hyperlink r:id="rId397" ref="Z193"/>
    <hyperlink r:id="rId398" ref="R194"/>
    <hyperlink r:id="rId399" ref="S194"/>
    <hyperlink r:id="rId400" ref="Z194"/>
    <hyperlink r:id="rId401" ref="R195"/>
    <hyperlink r:id="rId402" ref="S195"/>
    <hyperlink r:id="rId403" ref="Z195"/>
    <hyperlink r:id="rId404" ref="R196"/>
    <hyperlink r:id="rId405" ref="S196"/>
    <hyperlink r:id="rId406" ref="Z196"/>
    <hyperlink r:id="rId407" ref="S197"/>
    <hyperlink r:id="rId408" ref="Z197"/>
    <hyperlink r:id="rId409" ref="R198"/>
    <hyperlink r:id="rId410" ref="S198"/>
    <hyperlink r:id="rId411" ref="Z198"/>
    <hyperlink r:id="rId412" ref="R199"/>
    <hyperlink r:id="rId413" ref="S199"/>
    <hyperlink r:id="rId414" ref="Z199"/>
    <hyperlink r:id="rId415" ref="R200"/>
    <hyperlink r:id="rId416" ref="S200"/>
    <hyperlink r:id="rId417" ref="Z200"/>
    <hyperlink r:id="rId418" ref="R201"/>
    <hyperlink r:id="rId419" ref="S201"/>
    <hyperlink r:id="rId420" ref="Z201"/>
    <hyperlink r:id="rId421" ref="S202"/>
    <hyperlink r:id="rId422" ref="Z202"/>
    <hyperlink r:id="rId423" ref="R203"/>
    <hyperlink r:id="rId424" ref="S203"/>
    <hyperlink r:id="rId425" ref="Z203"/>
    <hyperlink r:id="rId426" ref="S204"/>
    <hyperlink r:id="rId427" ref="Z204"/>
    <hyperlink r:id="rId428" ref="R205"/>
    <hyperlink r:id="rId429" ref="S205"/>
    <hyperlink r:id="rId430" ref="Z205"/>
    <hyperlink r:id="rId431" ref="R206"/>
    <hyperlink r:id="rId432" ref="S206"/>
    <hyperlink r:id="rId433" ref="Z206"/>
    <hyperlink r:id="rId434" ref="S207"/>
    <hyperlink r:id="rId435" ref="Z207"/>
    <hyperlink r:id="rId436" ref="S208"/>
    <hyperlink r:id="rId437" ref="Z208"/>
    <hyperlink r:id="rId438" ref="R209"/>
    <hyperlink r:id="rId439" ref="S209"/>
    <hyperlink r:id="rId440" ref="Z209"/>
    <hyperlink r:id="rId441" ref="R210"/>
    <hyperlink r:id="rId442" ref="S210"/>
    <hyperlink r:id="rId443" ref="Z210"/>
    <hyperlink r:id="rId444" ref="R211"/>
    <hyperlink r:id="rId445" ref="S211"/>
    <hyperlink r:id="rId446" ref="Z211"/>
    <hyperlink r:id="rId447" ref="R212"/>
    <hyperlink r:id="rId448" ref="S212"/>
    <hyperlink r:id="rId449" ref="Z212"/>
    <hyperlink r:id="rId450" ref="R213"/>
    <hyperlink r:id="rId451" ref="S213"/>
    <hyperlink r:id="rId452" ref="Z213"/>
    <hyperlink r:id="rId453" ref="R214"/>
    <hyperlink r:id="rId454" ref="S214"/>
    <hyperlink r:id="rId455" ref="Z214"/>
    <hyperlink r:id="rId456" ref="S215"/>
    <hyperlink r:id="rId457" ref="Z215"/>
    <hyperlink r:id="rId458" ref="R216"/>
    <hyperlink r:id="rId459" ref="S216"/>
    <hyperlink r:id="rId460" ref="Z216"/>
    <hyperlink r:id="rId461" ref="R217"/>
    <hyperlink r:id="rId462" ref="S217"/>
    <hyperlink r:id="rId463" ref="Z217"/>
  </hyperlinks>
  <drawing r:id="rId464"/>
  <legacyDrawing r:id="rId465"/>
  <tableParts count="1">
    <tablePart r:id="rId46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1.0" topLeftCell="J2" activePane="bottomRight" state="frozen"/>
      <selection activeCell="J1" sqref="J1" pane="topRight"/>
      <selection activeCell="A2" sqref="A2" pane="bottomLeft"/>
      <selection activeCell="J2" sqref="J2" pane="bottomRight"/>
    </sheetView>
  </sheetViews>
  <sheetFormatPr customHeight="1" defaultColWidth="12.63" defaultRowHeight="15.75"/>
  <cols>
    <col customWidth="1" min="3" max="3" width="37.13"/>
    <col hidden="1" min="4" max="5" width="12.63"/>
    <col customWidth="1" min="7" max="7" width="31.63"/>
    <col customWidth="1" hidden="1" min="8" max="8" width="59.88"/>
    <col customWidth="1" min="9" max="9" width="31.13"/>
    <col hidden="1" min="10" max="11" width="12.63"/>
    <col hidden="1" min="13" max="15" width="12.63"/>
    <col customWidth="1" min="16" max="16" width="86.25"/>
    <col hidden="1" min="17" max="18" width="12.63"/>
    <col customWidth="1" min="19" max="19" width="20.88"/>
    <col hidden="1" min="20" max="25" width="12.63"/>
    <col customWidth="1" min="26" max="26" width="19.63"/>
    <col customWidth="1" min="27" max="27" width="23.88"/>
    <col customWidth="1" min="28" max="28" width="34.63"/>
  </cols>
  <sheetData>
    <row r="1">
      <c r="A1" s="1" t="str">
        <f>IFERROR(__xludf.DUMMYFUNCTION("QUERY('Form Responses 1'!A:Z, ""SELECT *"", 1)"),"Timestamp")</f>
        <v>Timestamp</v>
      </c>
      <c r="B1" s="1" t="str">
        <f>IFERROR(__xludf.DUMMYFUNCTION("""COMPUTED_VALUE"""),"Email Address")</f>
        <v>Email Address</v>
      </c>
      <c r="C1" s="1" t="str">
        <f>IFERROR(__xludf.DUMMYFUNCTION("""COMPUTED_VALUE"""),"Nama Lengkap (disertai gelar)")</f>
        <v>Nama Lengkap (disertai gelar)</v>
      </c>
      <c r="D1" s="1" t="str">
        <f>IFERROR(__xludf.DUMMYFUNCTION("""COMPUTED_VALUE"""),"PTK ID / SIMPKB ID")</f>
        <v>PTK ID / SIMPKB ID</v>
      </c>
      <c r="E1" s="1" t="str">
        <f>IFERROR(__xludf.DUMMYFUNCTION("""COMPUTED_VALUE"""),"Nomor WA")</f>
        <v>Nomor WA</v>
      </c>
      <c r="F1" s="1" t="str">
        <f>IFERROR(__xludf.DUMMYFUNCTION("""COMPUTED_VALUE"""),"Tanggal Lahir")</f>
        <v>Tanggal Lahir</v>
      </c>
      <c r="G1" s="1" t="str">
        <f>IFERROR(__xludf.DUMMYFUNCTION("""COMPUTED_VALUE"""),"Program Studi S-1/D-IV")</f>
        <v>Program Studi S-1/D-IV</v>
      </c>
      <c r="H1" s="1" t="str">
        <f>IFERROR(__xludf.DUMMYFUNCTION("""COMPUTED_VALUE"""),"Asal Universitas S-1/D-IV")</f>
        <v>Asal Universitas S-1/D-IV</v>
      </c>
      <c r="I1" s="1" t="str">
        <f>IFERROR(__xludf.DUMMYFUNCTION("""COMPUTED_VALUE"""),"Bidang Studi PPG (sesuai yg tertulis di Serdik)")</f>
        <v>Bidang Studi PPG (sesuai yg tertulis di Serdik)</v>
      </c>
      <c r="J1" s="1" t="str">
        <f>IFERROR(__xludf.DUMMYFUNCTION("""COMPUTED_VALUE"""),"Angkatan PPG")</f>
        <v>Angkatan PPG</v>
      </c>
      <c r="K1" s="1" t="str">
        <f>IFERROR(__xludf.DUMMYFUNCTION("""COMPUTED_VALUE"""),"Tahun Lulus PPG
(sesuai dengan tahun penerbitan Sertifikat Pendidik)")</f>
        <v>Tahun Lulus PPG
(sesuai dengan tahun penerbitan Sertifikat Pendidik)</v>
      </c>
      <c r="L1" s="1" t="str">
        <f>IFERROR(__xludf.DUMMYFUNCTION("""COMPUTED_VALUE"""),"IPK saat S1")</f>
        <v>IPK saat S1</v>
      </c>
      <c r="M1" s="1" t="str">
        <f>IFERROR(__xludf.DUMMYFUNCTION("""COMPUTED_VALUE"""),"IPK saat PPG")</f>
        <v>IPK saat PPG</v>
      </c>
      <c r="N1" s="1" t="str">
        <f>IFERROR(__xludf.DUMMYFUNCTION("""COMPUTED_VALUE"""),"Domisili Anda saat ini? (Contoh : Kota Surakarta, Jawa Tengah)")</f>
        <v>Domisili Anda saat ini? (Contoh : Kota Surakarta, Jawa Tengah)</v>
      </c>
      <c r="O1" s="1" t="str">
        <f>IFERROR(__xludf.DUMMYFUNCTION("""COMPUTED_VALUE"""),"Berkedudukan sebagai calon PNS, PNS, PPPK, PPPK Paruh Waktu, prajurit Tentara Nasional Indonesia, atau anggota Kepolisian Negara Republik Indonesia;")</f>
        <v>Berkedudukan sebagai calon PNS, PNS, PPPK, PPPK Paruh Waktu, prajurit Tentara Nasional Indonesia, atau anggota Kepolisian Negara Republik Indonesia;</v>
      </c>
      <c r="P1" s="1" t="str">
        <f>IFERROR(__xludf.DUMMYFUNCTION("""COMPUTED_VALUE"""),"Jabatan dan Lokasi TPP yang dilamar")</f>
        <v>Jabatan dan Lokasi TPP yang dilamar</v>
      </c>
      <c r="Q1" s="1" t="str">
        <f>IFERROR(__xludf.DUMMYFUNCTION("""COMPUTED_VALUE"""),"Pilihan Lokasi Sekolah Nasional Terintegrasi")</f>
        <v>Pilihan Lokasi Sekolah Nasional Terintegrasi</v>
      </c>
      <c r="R1" s="1" t="str">
        <f>IFERROR(__xludf.DUMMYFUNCTION("""COMPUTED_VALUE"""),"Sertifikat Pelatihan Peningkatan Komptenesi (5 tahun terakhir)")</f>
        <v>Sertifikat Pelatihan Peningkatan Komptenesi (5 tahun terakhir)</v>
      </c>
      <c r="S1" s="1" t="str">
        <f>IFERROR(__xludf.DUMMYFUNCTION("""COMPUTED_VALUE"""),"Video Microteaching")</f>
        <v>Video Microteaching</v>
      </c>
      <c r="T1" s="1" t="str">
        <f>IFERROR(__xludf.DUMMYFUNCTION("""COMPUTED_VALUE"""),"Kategori Pendaftar")</f>
        <v>Kategori Pendaftar</v>
      </c>
      <c r="U1" s="1" t="str">
        <f>IFERROR(__xludf.DUMMYFUNCTION("""COMPUTED_VALUE"""),"NIM PPG
(dapat dilihat pada web: https://valid.fkip.uns.ac.id)")</f>
        <v>NIM PPG
(dapat dilihat pada web: https://valid.fkip.uns.ac.id)</v>
      </c>
      <c r="V1" s="1" t="str">
        <f>IFERROR(__xludf.DUMMYFUNCTION("""COMPUTED_VALUE"""),"NIM S1")</f>
        <v>NIM S1</v>
      </c>
      <c r="W1" s="1" t="str">
        <f>IFERROR(__xludf.DUMMYFUNCTION("""COMPUTED_VALUE"""),"Program Studi S1")</f>
        <v>Program Studi S1</v>
      </c>
      <c r="X1" s="1" t="str">
        <f>IFERROR(__xludf.DUMMYFUNCTION("""COMPUTED_VALUE"""),"LPTK PPG")</f>
        <v>LPTK PPG</v>
      </c>
      <c r="Y1" s="1" t="str">
        <f>IFERROR(__xludf.DUMMYFUNCTION("""COMPUTED_VALUE"""),"NIM PPG")</f>
        <v>NIM PPG</v>
      </c>
      <c r="Z1" s="1" t="str">
        <f>IFERROR(__xludf.DUMMYFUNCTION("""COMPUTED_VALUE"""),"Upload Scan Sertifikat Pendidik (serdik)")</f>
        <v>Upload Scan Sertifikat Pendidik (serdik)</v>
      </c>
      <c r="AA1" s="2" t="s">
        <v>0</v>
      </c>
      <c r="AB1" s="2" t="s">
        <v>1</v>
      </c>
      <c r="AC1" s="3"/>
      <c r="AD1" s="3"/>
      <c r="AE1" s="3"/>
      <c r="AF1" s="3"/>
    </row>
    <row r="2" hidden="1">
      <c r="A2" s="4">
        <f>IFERROR(__xludf.DUMMYFUNCTION("""COMPUTED_VALUE"""),46231.92248826388)</f>
        <v>46231.92249</v>
      </c>
      <c r="B2" s="5" t="str">
        <f>IFERROR(__xludf.DUMMYFUNCTION("""COMPUTED_VALUE"""),"rrizkhyadhi21@gmail.com")</f>
        <v>rrizkhyadhi21@gmail.com</v>
      </c>
      <c r="C2" s="5" t="str">
        <f>IFERROR(__xludf.DUMMYFUNCTION("""COMPUTED_VALUE"""),"Rizky Adi Nugroho S.Pd.,Gr.")</f>
        <v>Rizky Adi Nugroho S.Pd.,Gr.</v>
      </c>
      <c r="D2" s="5">
        <f>IFERROR(__xludf.DUMMYFUNCTION("""COMPUTED_VALUE"""),7.000247262E9)</f>
        <v>7000247262</v>
      </c>
      <c r="E2" s="5" t="str">
        <f>IFERROR(__xludf.DUMMYFUNCTION("""COMPUTED_VALUE"""),"085713086642")</f>
        <v>085713086642</v>
      </c>
      <c r="F2" s="7">
        <f>IFERROR(__xludf.DUMMYFUNCTION("""COMPUTED_VALUE"""),36791.0)</f>
        <v>36791</v>
      </c>
      <c r="G2" s="5" t="str">
        <f>IFERROR(__xludf.DUMMYFUNCTION("""COMPUTED_VALUE"""),"Pendidikan Jasmani")</f>
        <v>Pendidikan Jasmani</v>
      </c>
      <c r="H2" s="5" t="str">
        <f>IFERROR(__xludf.DUMMYFUNCTION("""COMPUTED_VALUE"""),"UNIVERSITAS TUNAS PEMBANGUNAN SURAKARTA ")</f>
        <v>UNIVERSITAS TUNAS PEMBANGUNAN SURAKARTA </v>
      </c>
      <c r="I2" s="5" t="str">
        <f>IFERROR(__xludf.DUMMYFUNCTION("""COMPUTED_VALUE"""),"Pendidikan Jasmani, Olahraga, dan Kesehatan (PJOK)")</f>
        <v>Pendidikan Jasmani, Olahraga, dan Kesehatan (PJOK)</v>
      </c>
      <c r="J2" s="5" t="str">
        <f>IFERROR(__xludf.DUMMYFUNCTION("""COMPUTED_VALUE"""),"PPG Calon Guru Gelombang 2 Tahun 2024")</f>
        <v>PPG Calon Guru Gelombang 2 Tahun 2024</v>
      </c>
      <c r="K2" s="5">
        <f>IFERROR(__xludf.DUMMYFUNCTION("""COMPUTED_VALUE"""),2025.0)</f>
        <v>2025</v>
      </c>
      <c r="L2" s="8" t="str">
        <f>IFERROR(__xludf.DUMMYFUNCTION("""COMPUTED_VALUE"""),"3.57")</f>
        <v>3.57</v>
      </c>
      <c r="M2" s="5" t="str">
        <f>IFERROR(__xludf.DUMMYFUNCTION("""COMPUTED_VALUE"""),"3.88")</f>
        <v>3.88</v>
      </c>
      <c r="N2" s="5" t="str">
        <f>IFERROR(__xludf.DUMMYFUNCTION("""COMPUTED_VALUE"""),"Sukoharjo, Jawa Tengah")</f>
        <v>Sukoharjo, Jawa Tengah</v>
      </c>
      <c r="O2" s="5" t="str">
        <f>IFERROR(__xludf.DUMMYFUNCTION("""COMPUTED_VALUE"""),"Tidak")</f>
        <v>Tidak</v>
      </c>
      <c r="P2" s="5" t="str">
        <f>IFERROR(__xludf.DUMMYFUNCTION("""COMPUTED_VALUE"""),"Tenaga pendampingan pembelajaran mata Pelajaran Penjasorkes")</f>
        <v>Tenaga pendampingan pembelajaran mata Pelajaran Penjasorkes</v>
      </c>
      <c r="Q2" s="5" t="str">
        <f>IFERROR(__xludf.DUMMYFUNCTION("""COMPUTED_VALUE"""),"Kabupaten Jepara, Jawa Tengah")</f>
        <v>Kabupaten Jepara, Jawa Tengah</v>
      </c>
      <c r="R2" s="11" t="str">
        <f>IFERROR(__xludf.DUMMYFUNCTION("""COMPUTED_VALUE"""),"https://drive.google.com/drive/folders/1dsYqEqelctlZxB4Hys2aTvWw_xo7AZBD?usp=drive_link ")</f>
        <v>https://drive.google.com/drive/folders/1dsYqEqelctlZxB4Hys2aTvWw_xo7AZBD?usp=drive_link </v>
      </c>
      <c r="S2" s="11" t="str">
        <f>IFERROR(__xludf.DUMMYFUNCTION("""COMPUTED_VALUE"""),"https://drive.google.com/file/d/1iCxSV9hd262CkcTCjL23f6n7t7EoV6ur/view?usp=sharing ")</f>
        <v>https://drive.google.com/file/d/1iCxSV9hd262CkcTCjL23f6n7t7EoV6ur/view?usp=sharing </v>
      </c>
      <c r="T2" s="5" t="str">
        <f>IFERROR(__xludf.DUMMYFUNCTION("""COMPUTED_VALUE"""),"Alumni PPG Calon Guru / Prajabatan FKIP UNS")</f>
        <v>Alumni PPG Calon Guru / Prajabatan FKIP UNS</v>
      </c>
      <c r="U2" s="5" t="str">
        <f>IFERROR(__xludf.DUMMYFUNCTION("""COMPUTED_VALUE"""),"X942408406")</f>
        <v>X942408406</v>
      </c>
      <c r="V2" s="5" t="str">
        <f>IFERROR(__xludf.DUMMYFUNCTION("""COMPUTED_VALUE"""),"D0418008")</f>
        <v>D0418008</v>
      </c>
      <c r="W2" s="5" t="str">
        <f>IFERROR(__xludf.DUMMYFUNCTION("""COMPUTED_VALUE"""),"PENDIDIKAN JASMANI")</f>
        <v>PENDIDIKAN JASMANI</v>
      </c>
      <c r="X2" s="5" t="str">
        <f>IFERROR(__xludf.DUMMYFUNCTION("""COMPUTED_VALUE"""),"UNIVERSITAS SEBELAS MARET SURAKARTA")</f>
        <v>UNIVERSITAS SEBELAS MARET SURAKARTA</v>
      </c>
      <c r="Y2" s="5" t="str">
        <f>IFERROR(__xludf.DUMMYFUNCTION("""COMPUTED_VALUE"""),"X942408406")</f>
        <v>X942408406</v>
      </c>
      <c r="Z2" s="5"/>
      <c r="AA2" s="5"/>
      <c r="AB2" s="5"/>
    </row>
    <row r="3" hidden="1">
      <c r="A3" s="4">
        <f>IFERROR(__xludf.DUMMYFUNCTION("""COMPUTED_VALUE"""),46229.614621678236)</f>
        <v>46229.61462</v>
      </c>
      <c r="B3" s="5" t="str">
        <f>IFERROR(__xludf.DUMMYFUNCTION("""COMPUTED_VALUE"""),"puspitadianaarumawati@gmail.com")</f>
        <v>puspitadianaarumawati@gmail.com</v>
      </c>
      <c r="C3" s="5" t="str">
        <f>IFERROR(__xludf.DUMMYFUNCTION("""COMPUTED_VALUE"""),"Puspita Diana Arumawati, M.Pd., Gr.")</f>
        <v>Puspita Diana Arumawati, M.Pd., Gr.</v>
      </c>
      <c r="D3" s="5">
        <f>IFERROR(__xludf.DUMMYFUNCTION("""COMPUTED_VALUE"""),7.00008667E9)</f>
        <v>7000086670</v>
      </c>
      <c r="E3" s="5" t="str">
        <f>IFERROR(__xludf.DUMMYFUNCTION("""COMPUTED_VALUE"""),"082313256124")</f>
        <v>082313256124</v>
      </c>
      <c r="F3" s="7">
        <f>IFERROR(__xludf.DUMMYFUNCTION("""COMPUTED_VALUE"""),36249.0)</f>
        <v>36249</v>
      </c>
      <c r="G3" s="5" t="str">
        <f>IFERROR(__xludf.DUMMYFUNCTION("""COMPUTED_VALUE"""),"Pendidikan Biologi")</f>
        <v>Pendidikan Biologi</v>
      </c>
      <c r="H3" s="5" t="str">
        <f>IFERROR(__xludf.DUMMYFUNCTION("""COMPUTED_VALUE"""),"Universitas Negeri Semarang")</f>
        <v>Universitas Negeri Semarang</v>
      </c>
      <c r="I3" s="5" t="str">
        <f>IFERROR(__xludf.DUMMYFUNCTION("""COMPUTED_VALUE"""),"Biologi")</f>
        <v>Biologi</v>
      </c>
      <c r="J3" s="5" t="str">
        <f>IFERROR(__xludf.DUMMYFUNCTION("""COMPUTED_VALUE"""),"PPG Prajabatan Gelombang 2 Tahun 2022")</f>
        <v>PPG Prajabatan Gelombang 2 Tahun 2022</v>
      </c>
      <c r="K3" s="5">
        <f>IFERROR(__xludf.DUMMYFUNCTION("""COMPUTED_VALUE"""),2023.0)</f>
        <v>2023</v>
      </c>
      <c r="L3" s="8" t="str">
        <f>IFERROR(__xludf.DUMMYFUNCTION("""COMPUTED_VALUE"""),"3.49")</f>
        <v>3.49</v>
      </c>
      <c r="M3" s="5" t="str">
        <f>IFERROR(__xludf.DUMMYFUNCTION("""COMPUTED_VALUE"""),"3.94")</f>
        <v>3.94</v>
      </c>
      <c r="N3" s="5" t="str">
        <f>IFERROR(__xludf.DUMMYFUNCTION("""COMPUTED_VALUE"""),"Kabupaten Boyolali, Jawa Tengah")</f>
        <v>Kabupaten Boyolali, Jawa Tengah</v>
      </c>
      <c r="O3" s="5" t="str">
        <f>IFERROR(__xludf.DUMMYFUNCTION("""COMPUTED_VALUE"""),"Tidak")</f>
        <v>Tidak</v>
      </c>
      <c r="P3" s="5" t="str">
        <f>IFERROR(__xludf.DUMMYFUNCTION("""COMPUTED_VALUE"""),"Tenaga pendampingan pembelajaran mata Pelajaran Ilmu Pengetahuan Alam (IPA) untuk mengajar mata pelajaran Biologi, Kimia, Fisika")</f>
        <v>Tenaga pendampingan pembelajaran mata Pelajaran Ilmu Pengetahuan Alam (IPA) untuk mengajar mata pelajaran Biologi, Kimia, Fisika</v>
      </c>
      <c r="Q3" s="5" t="str">
        <f>IFERROR(__xludf.DUMMYFUNCTION("""COMPUTED_VALUE"""),"Kabupaten Jepara, Jawa Tengah")</f>
        <v>Kabupaten Jepara, Jawa Tengah</v>
      </c>
      <c r="R3" s="11" t="str">
        <f>IFERROR(__xludf.DUMMYFUNCTION("""COMPUTED_VALUE"""),"https://drive.google.com/drive/folders/16x0nmGx6I5WGw8jgQGGJwL-c62fCaeiM?usp=drive_link")</f>
        <v>https://drive.google.com/drive/folders/16x0nmGx6I5WGw8jgQGGJwL-c62fCaeiM?usp=drive_link</v>
      </c>
      <c r="S3" s="11" t="str">
        <f>IFERROR(__xludf.DUMMYFUNCTION("""COMPUTED_VALUE"""),"https://drive.google.com/drive/folders/1LUwVcKfRJZTw2XbLLprTSDJ04eWDmd0c?usp=sharing")</f>
        <v>https://drive.google.com/drive/folders/1LUwVcKfRJZTw2XbLLprTSDJ04eWDmd0c?usp=sharing</v>
      </c>
      <c r="T3" s="5" t="str">
        <f>IFERROR(__xludf.DUMMYFUNCTION("""COMPUTED_VALUE"""),"Alumni PPG Calon Guru / Prajabatan FKIP UNS")</f>
        <v>Alumni PPG Calon Guru / Prajabatan FKIP UNS</v>
      </c>
      <c r="U3" s="5" t="str">
        <f>IFERROR(__xludf.DUMMYFUNCTION("""COMPUTED_VALUE"""),"X9022084121")</f>
        <v>X9022084121</v>
      </c>
      <c r="V3" s="5" t="str">
        <f>IFERROR(__xludf.DUMMYFUNCTION("""COMPUTED_VALUE"""),"-")</f>
        <v>-</v>
      </c>
      <c r="W3" s="5" t="str">
        <f>IFERROR(__xludf.DUMMYFUNCTION("""COMPUTED_VALUE"""),"-")</f>
        <v>-</v>
      </c>
      <c r="X3" s="5" t="str">
        <f>IFERROR(__xludf.DUMMYFUNCTION("""COMPUTED_VALUE"""),"-")</f>
        <v>-</v>
      </c>
      <c r="Y3" s="5" t="str">
        <f>IFERROR(__xludf.DUMMYFUNCTION("""COMPUTED_VALUE"""),"-")</f>
        <v>-</v>
      </c>
      <c r="Z3" s="5"/>
      <c r="AA3" s="5"/>
      <c r="AB3" s="5"/>
    </row>
    <row r="4" hidden="1">
      <c r="A4" s="4">
        <f>IFERROR(__xludf.DUMMYFUNCTION("""COMPUTED_VALUE"""),46229.615371273154)</f>
        <v>46229.61537</v>
      </c>
      <c r="B4" s="5" t="str">
        <f>IFERROR(__xludf.DUMMYFUNCTION("""COMPUTED_VALUE"""),"hanafifuad33@gmail.com")</f>
        <v>hanafifuad33@gmail.com</v>
      </c>
      <c r="C4" s="5" t="str">
        <f>IFERROR(__xludf.DUMMYFUNCTION("""COMPUTED_VALUE"""),"Fuad Hanafi, S.Pd., Gr. ")</f>
        <v>Fuad Hanafi, S.Pd., Gr. </v>
      </c>
      <c r="D4" s="5">
        <f>IFERROR(__xludf.DUMMYFUNCTION("""COMPUTED_VALUE"""),7.000266546E9)</f>
        <v>7000266546</v>
      </c>
      <c r="E4" s="5" t="str">
        <f>IFERROR(__xludf.DUMMYFUNCTION("""COMPUTED_VALUE"""),"087836197102")</f>
        <v>087836197102</v>
      </c>
      <c r="F4" s="7">
        <f>IFERROR(__xludf.DUMMYFUNCTION("""COMPUTED_VALUE"""),37414.0)</f>
        <v>37414</v>
      </c>
      <c r="G4" s="5" t="str">
        <f>IFERROR(__xludf.DUMMYFUNCTION("""COMPUTED_VALUE"""),"Pendidikan Bahasa dan Sastra Indonesia")</f>
        <v>Pendidikan Bahasa dan Sastra Indonesia</v>
      </c>
      <c r="H4" s="5" t="str">
        <f>IFERROR(__xludf.DUMMYFUNCTION("""COMPUTED_VALUE"""),"Universitas Muhammadiyah Surakarta")</f>
        <v>Universitas Muhammadiyah Surakarta</v>
      </c>
      <c r="I4" s="5" t="str">
        <f>IFERROR(__xludf.DUMMYFUNCTION("""COMPUTED_VALUE"""),"Bahasa Indonesia")</f>
        <v>Bahasa Indonesia</v>
      </c>
      <c r="J4" s="5" t="str">
        <f>IFERROR(__xludf.DUMMYFUNCTION("""COMPUTED_VALUE"""),"PPG Prajabatan Gelombang 1 Tahun 2024")</f>
        <v>PPG Prajabatan Gelombang 1 Tahun 2024</v>
      </c>
      <c r="K4" s="5">
        <f>IFERROR(__xludf.DUMMYFUNCTION("""COMPUTED_VALUE"""),2025.0)</f>
        <v>2025</v>
      </c>
      <c r="L4" s="8" t="str">
        <f>IFERROR(__xludf.DUMMYFUNCTION("""COMPUTED_VALUE"""),"3.79")</f>
        <v>3.79</v>
      </c>
      <c r="M4" s="5" t="str">
        <f>IFERROR(__xludf.DUMMYFUNCTION("""COMPUTED_VALUE"""),"3.86")</f>
        <v>3.86</v>
      </c>
      <c r="N4" s="5" t="str">
        <f>IFERROR(__xludf.DUMMYFUNCTION("""COMPUTED_VALUE"""),"Sragen, Jawa Tengah")</f>
        <v>Sragen, Jawa Tengah</v>
      </c>
      <c r="O4" s="5" t="str">
        <f>IFERROR(__xludf.DUMMYFUNCTION("""COMPUTED_VALUE"""),"Tidak")</f>
        <v>Tidak</v>
      </c>
      <c r="P4" s="5" t="str">
        <f>IFERROR(__xludf.DUMMYFUNCTION("""COMPUTED_VALUE"""),"Tenaga pendampingan pembelajaran mata Pelajaran Bahasa Indonesia")</f>
        <v>Tenaga pendampingan pembelajaran mata Pelajaran Bahasa Indonesia</v>
      </c>
      <c r="Q4" s="5" t="str">
        <f>IFERROR(__xludf.DUMMYFUNCTION("""COMPUTED_VALUE"""),"Kabupaten Jepara, Jawa Tengah")</f>
        <v>Kabupaten Jepara, Jawa Tengah</v>
      </c>
      <c r="R4" s="11" t="str">
        <f>IFERROR(__xludf.DUMMYFUNCTION("""COMPUTED_VALUE"""),"https://drive.google.com/drive/folders/1sbX_gWwophHrTMrZOyC0f5Nbdw36cMSx")</f>
        <v>https://drive.google.com/drive/folders/1sbX_gWwophHrTMrZOyC0f5Nbdw36cMSx</v>
      </c>
      <c r="S4" s="11" t="str">
        <f>IFERROR(__xludf.DUMMYFUNCTION("""COMPUTED_VALUE"""),"https://drive.google.com/drive/folders/1nSG76BaQdtMG-CDvZEJRGPQJe22CUPnC")</f>
        <v>https://drive.google.com/drive/folders/1nSG76BaQdtMG-CDvZEJRGPQJe22CUPnC</v>
      </c>
      <c r="T4" s="5" t="str">
        <f>IFERROR(__xludf.DUMMYFUNCTION("""COMPUTED_VALUE"""),"Alumni PPG Calon Guru / Prajabatan FKIP UNS")</f>
        <v>Alumni PPG Calon Guru / Prajabatan FKIP UNS</v>
      </c>
      <c r="U4" s="5" t="str">
        <f>IFERROR(__xludf.DUMMYFUNCTION("""COMPUTED_VALUE"""),"X942408195")</f>
        <v>X942408195</v>
      </c>
      <c r="V4" s="5" t="str">
        <f>IFERROR(__xludf.DUMMYFUNCTION("""COMPUTED_VALUE"""),"-")</f>
        <v>-</v>
      </c>
      <c r="W4" s="5" t="str">
        <f>IFERROR(__xludf.DUMMYFUNCTION("""COMPUTED_VALUE"""),"-")</f>
        <v>-</v>
      </c>
      <c r="X4" s="5" t="str">
        <f>IFERROR(__xludf.DUMMYFUNCTION("""COMPUTED_VALUE"""),"Universitas Sebelas Maret")</f>
        <v>Universitas Sebelas Maret</v>
      </c>
      <c r="Y4" s="5" t="str">
        <f>IFERROR(__xludf.DUMMYFUNCTION("""COMPUTED_VALUE"""),"-")</f>
        <v>-</v>
      </c>
      <c r="Z4" s="5"/>
      <c r="AA4" s="5"/>
      <c r="AB4" s="5"/>
    </row>
    <row r="5" hidden="1">
      <c r="A5" s="4">
        <f>IFERROR(__xludf.DUMMYFUNCTION("""COMPUTED_VALUE"""),46230.94699185185)</f>
        <v>46230.94699</v>
      </c>
      <c r="B5" s="5" t="str">
        <f>IFERROR(__xludf.DUMMYFUNCTION("""COMPUTED_VALUE"""),"nalapawitri81@gmail.com")</f>
        <v>nalapawitri81@gmail.com</v>
      </c>
      <c r="C5" s="5" t="str">
        <f>IFERROR(__xludf.DUMMYFUNCTION("""COMPUTED_VALUE"""),"Nala Pawitri Andanawarih, S.Pd.,Gr")</f>
        <v>Nala Pawitri Andanawarih, S.Pd.,Gr</v>
      </c>
      <c r="D5" s="5">
        <f>IFERROR(__xludf.DUMMYFUNCTION("""COMPUTED_VALUE"""),7.000088952E9)</f>
        <v>7000088952</v>
      </c>
      <c r="E5" s="5" t="str">
        <f>IFERROR(__xludf.DUMMYFUNCTION("""COMPUTED_VALUE"""),"089515819690")</f>
        <v>089515819690</v>
      </c>
      <c r="F5" s="7">
        <f>IFERROR(__xludf.DUMMYFUNCTION("""COMPUTED_VALUE"""),36154.0)</f>
        <v>36154</v>
      </c>
      <c r="G5" s="5" t="str">
        <f>IFERROR(__xludf.DUMMYFUNCTION("""COMPUTED_VALUE"""),"Pendidikan Seni Tari")</f>
        <v>Pendidikan Seni Tari</v>
      </c>
      <c r="H5" s="5" t="str">
        <f>IFERROR(__xludf.DUMMYFUNCTION("""COMPUTED_VALUE"""),"Universitas Negeri Semarang")</f>
        <v>Universitas Negeri Semarang</v>
      </c>
      <c r="I5" s="5" t="str">
        <f>IFERROR(__xludf.DUMMYFUNCTION("""COMPUTED_VALUE"""),"Seni Budaya")</f>
        <v>Seni Budaya</v>
      </c>
      <c r="J5" s="5" t="str">
        <f>IFERROR(__xludf.DUMMYFUNCTION("""COMPUTED_VALUE"""),"PPG Prajabatan Gelombang 1 Tahun 2023")</f>
        <v>PPG Prajabatan Gelombang 1 Tahun 2023</v>
      </c>
      <c r="K5" s="5">
        <f>IFERROR(__xludf.DUMMYFUNCTION("""COMPUTED_VALUE"""),2024.0)</f>
        <v>2024</v>
      </c>
      <c r="L5" s="8" t="str">
        <f>IFERROR(__xludf.DUMMYFUNCTION("""COMPUTED_VALUE"""),"3.28")</f>
        <v>3.28</v>
      </c>
      <c r="M5" s="5" t="str">
        <f>IFERROR(__xludf.DUMMYFUNCTION("""COMPUTED_VALUE"""),"3.86")</f>
        <v>3.86</v>
      </c>
      <c r="N5" s="5" t="str">
        <f>IFERROR(__xludf.DUMMYFUNCTION("""COMPUTED_VALUE"""),"Banyumas, Jawa Tengah")</f>
        <v>Banyumas, Jawa Tengah</v>
      </c>
      <c r="O5" s="5" t="str">
        <f>IFERROR(__xludf.DUMMYFUNCTION("""COMPUTED_VALUE"""),"Tidak")</f>
        <v>Tidak</v>
      </c>
      <c r="P5" s="5" t="str">
        <f>IFERROR(__xludf.DUMMYFUNCTION("""COMPUTED_VALUE"""),"Tenaga pendampingan pembelajaran mata Pelajaran Seni, Budaya, dan Prakarya")</f>
        <v>Tenaga pendampingan pembelajaran mata Pelajaran Seni, Budaya, dan Prakarya</v>
      </c>
      <c r="Q5" s="5" t="str">
        <f>IFERROR(__xludf.DUMMYFUNCTION("""COMPUTED_VALUE"""),"Kabupaten Jepara, Jawa Tengah")</f>
        <v>Kabupaten Jepara, Jawa Tengah</v>
      </c>
      <c r="R5" s="5" t="str">
        <f>IFERROR(__xludf.DUMMYFUNCTION("""COMPUTED_VALUE"""),"-")</f>
        <v>-</v>
      </c>
      <c r="S5" s="11" t="str">
        <f>IFERROR(__xludf.DUMMYFUNCTION("""COMPUTED_VALUE"""),"https://drive.google.com/drive/folders/1yCvx2arxXyITby30A4zMMaHb1zIP3NMt?hl=ID ")</f>
        <v>https://drive.google.com/drive/folders/1yCvx2arxXyITby30A4zMMaHb1zIP3NMt?hl=ID </v>
      </c>
      <c r="T5" s="5" t="str">
        <f>IFERROR(__xludf.DUMMYFUNCTION("""COMPUTED_VALUE"""),"Alumni PPG Calon Guru / Prajabatan FKIP UNS")</f>
        <v>Alumni PPG Calon Guru / Prajabatan FKIP UNS</v>
      </c>
      <c r="U5" s="5" t="str">
        <f>IFERROR(__xludf.DUMMYFUNCTION("""COMPUTED_VALUE"""),"X902308613")</f>
        <v>X902308613</v>
      </c>
      <c r="V5" s="5" t="str">
        <f>IFERROR(__xludf.DUMMYFUNCTION("""COMPUTED_VALUE"""),"2501417040")</f>
        <v>2501417040</v>
      </c>
      <c r="W5" s="5" t="str">
        <f>IFERROR(__xludf.DUMMYFUNCTION("""COMPUTED_VALUE"""),"Pendidikan Seni Tari ")</f>
        <v>Pendidikan Seni Tari </v>
      </c>
      <c r="X5" s="5" t="str">
        <f>IFERROR(__xludf.DUMMYFUNCTION("""COMPUTED_VALUE"""),"Universitas Sebelas Maret (UNS)")</f>
        <v>Universitas Sebelas Maret (UNS)</v>
      </c>
      <c r="Y5" s="5" t="str">
        <f>IFERROR(__xludf.DUMMYFUNCTION("""COMPUTED_VALUE"""),"X902308613")</f>
        <v>X902308613</v>
      </c>
      <c r="Z5" s="5"/>
      <c r="AA5" s="5"/>
      <c r="AB5" s="5"/>
    </row>
    <row r="6" hidden="1">
      <c r="A6" s="4">
        <f>IFERROR(__xludf.DUMMYFUNCTION("""COMPUTED_VALUE"""),46229.62515537037)</f>
        <v>46229.62516</v>
      </c>
      <c r="B6" s="5" t="str">
        <f>IFERROR(__xludf.DUMMYFUNCTION("""COMPUTED_VALUE"""),"zahraarqam@gmail.com")</f>
        <v>zahraarqam@gmail.com</v>
      </c>
      <c r="C6" s="5" t="str">
        <f>IFERROR(__xludf.DUMMYFUNCTION("""COMPUTED_VALUE"""),"Sitti Zahra Riarana Arqam, S.Pd.Gr")</f>
        <v>Sitti Zahra Riarana Arqam, S.Pd.Gr</v>
      </c>
      <c r="D6" s="5">
        <f>IFERROR(__xludf.DUMMYFUNCTION("""COMPUTED_VALUE"""),7.00216115E8)</f>
        <v>700216115</v>
      </c>
      <c r="E6" s="5" t="str">
        <f>IFERROR(__xludf.DUMMYFUNCTION("""COMPUTED_VALUE"""),"085399527002")</f>
        <v>085399527002</v>
      </c>
      <c r="F6" s="7">
        <f>IFERROR(__xludf.DUMMYFUNCTION("""COMPUTED_VALUE"""),34744.0)</f>
        <v>34744</v>
      </c>
      <c r="G6" s="5" t="str">
        <f>IFERROR(__xludf.DUMMYFUNCTION("""COMPUTED_VALUE"""),"Pendidikan Jasmani, Kesehatan dan Rekreasi")</f>
        <v>Pendidikan Jasmani, Kesehatan dan Rekreasi</v>
      </c>
      <c r="H6" s="5" t="str">
        <f>IFERROR(__xludf.DUMMYFUNCTION("""COMPUTED_VALUE"""),"Universitas Halu Oleo")</f>
        <v>Universitas Halu Oleo</v>
      </c>
      <c r="I6" s="5" t="str">
        <f>IFERROR(__xludf.DUMMYFUNCTION("""COMPUTED_VALUE"""),"Pendidikan Jasmani, Olahraga, dan Kesehatan (PJOK)")</f>
        <v>Pendidikan Jasmani, Olahraga, dan Kesehatan (PJOK)</v>
      </c>
      <c r="J6" s="5" t="str">
        <f>IFERROR(__xludf.DUMMYFUNCTION("""COMPUTED_VALUE"""),"PPG Calon Guru Gelombang 2 Tahun 2024")</f>
        <v>PPG Calon Guru Gelombang 2 Tahun 2024</v>
      </c>
      <c r="K6" s="5">
        <f>IFERROR(__xludf.DUMMYFUNCTION("""COMPUTED_VALUE"""),2025.0)</f>
        <v>2025</v>
      </c>
      <c r="L6" s="8" t="str">
        <f>IFERROR(__xludf.DUMMYFUNCTION("""COMPUTED_VALUE"""),"3.35")</f>
        <v>3.35</v>
      </c>
      <c r="M6" s="5" t="str">
        <f>IFERROR(__xludf.DUMMYFUNCTION("""COMPUTED_VALUE"""),"4.00")</f>
        <v>4.00</v>
      </c>
      <c r="N6" s="5" t="str">
        <f>IFERROR(__xludf.DUMMYFUNCTION("""COMPUTED_VALUE"""),"Kota kendari, Sulawesi Tenggara")</f>
        <v>Kota kendari, Sulawesi Tenggara</v>
      </c>
      <c r="O6" s="5" t="str">
        <f>IFERROR(__xludf.DUMMYFUNCTION("""COMPUTED_VALUE"""),"Tidak")</f>
        <v>Tidak</v>
      </c>
      <c r="P6" s="5" t="str">
        <f>IFERROR(__xludf.DUMMYFUNCTION("""COMPUTED_VALUE"""),"Tenaga pendampingan pembelajaran mata Pelajaran Penjasorkes")</f>
        <v>Tenaga pendampingan pembelajaran mata Pelajaran Penjasorkes</v>
      </c>
      <c r="Q6" s="5" t="str">
        <f>IFERROR(__xludf.DUMMYFUNCTION("""COMPUTED_VALUE"""),"Kabupaten Buton Tengah, Sulawesi Tenggara")</f>
        <v>Kabupaten Buton Tengah, Sulawesi Tenggara</v>
      </c>
      <c r="R6" s="11" t="str">
        <f>IFERROR(__xludf.DUMMYFUNCTION("""COMPUTED_VALUE"""),"https://drive.google.com/file/d/1RTVKYZC70VNFZ0Li44B1okppAyidoSP2/view?usp=sharing")</f>
        <v>https://drive.google.com/file/d/1RTVKYZC70VNFZ0Li44B1okppAyidoSP2/view?usp=sharing</v>
      </c>
      <c r="S6" s="11" t="str">
        <f>IFERROR(__xludf.DUMMYFUNCTION("""COMPUTED_VALUE"""),"https://drive.google.com/drive/folders/1v7ET-0MLyK3nfkDv6QSCOQu7jdaH58zl")</f>
        <v>https://drive.google.com/drive/folders/1v7ET-0MLyK3nfkDv6QSCOQu7jdaH58zl</v>
      </c>
      <c r="T6" s="5" t="str">
        <f>IFERROR(__xludf.DUMMYFUNCTION("""COMPUTED_VALUE"""),"Alumni PPG Calon Guru / Prajabatan FKIP UHO")</f>
        <v>Alumni PPG Calon Guru / Prajabatan FKIP UHO</v>
      </c>
      <c r="U6" s="5"/>
      <c r="V6" s="5"/>
      <c r="W6" s="5"/>
      <c r="X6" s="5"/>
      <c r="Y6" s="5" t="str">
        <f>IFERROR(__xludf.DUMMYFUNCTION("""COMPUTED_VALUE"""),"A3S224349")</f>
        <v>A3S224349</v>
      </c>
      <c r="Z6" s="5"/>
      <c r="AA6" s="5"/>
      <c r="AB6" s="5"/>
    </row>
    <row r="7" hidden="1">
      <c r="A7" s="4">
        <f>IFERROR(__xludf.DUMMYFUNCTION("""COMPUTED_VALUE"""),46229.727876377314)</f>
        <v>46229.72788</v>
      </c>
      <c r="B7" s="5" t="str">
        <f>IFERROR(__xludf.DUMMYFUNCTION("""COMPUTED_VALUE"""),"ppg.syahnadinnuridha91@program.belajar.id")</f>
        <v>ppg.syahnadinnuridha91@program.belajar.id</v>
      </c>
      <c r="C7" s="5" t="str">
        <f>IFERROR(__xludf.DUMMYFUNCTION("""COMPUTED_VALUE"""),"SYAHNADIN NURIDHA, S. Pd., Gr")</f>
        <v>SYAHNADIN NURIDHA, S. Pd., Gr</v>
      </c>
      <c r="D7" s="5">
        <f>IFERROR(__xludf.DUMMYFUNCTION("""COMPUTED_VALUE"""),7.000141094E9)</f>
        <v>7000141094</v>
      </c>
      <c r="E7" s="5" t="str">
        <f>IFERROR(__xludf.DUMMYFUNCTION("""COMPUTED_VALUE"""),"082322016171")</f>
        <v>082322016171</v>
      </c>
      <c r="F7" s="7">
        <f>IFERROR(__xludf.DUMMYFUNCTION("""COMPUTED_VALUE"""),36178.0)</f>
        <v>36178</v>
      </c>
      <c r="G7" s="5" t="str">
        <f>IFERROR(__xludf.DUMMYFUNCTION("""COMPUTED_VALUE"""),"S1 PENDIDIKAN IPA")</f>
        <v>S1 PENDIDIKAN IPA</v>
      </c>
      <c r="H7" s="5" t="str">
        <f>IFERROR(__xludf.DUMMYFUNCTION("""COMPUTED_VALUE"""),"UNIVERSITAS NEGERI SEMARANG")</f>
        <v>UNIVERSITAS NEGERI SEMARANG</v>
      </c>
      <c r="I7" s="5" t="str">
        <f>IFERROR(__xludf.DUMMYFUNCTION("""COMPUTED_VALUE"""),"Ilmu Pengetahuan Alam (IPA)")</f>
        <v>Ilmu Pengetahuan Alam (IPA)</v>
      </c>
      <c r="J7" s="5" t="str">
        <f>IFERROR(__xludf.DUMMYFUNCTION("""COMPUTED_VALUE"""),"PPG Prajabatan Gelombang 1 Tahun 2023")</f>
        <v>PPG Prajabatan Gelombang 1 Tahun 2023</v>
      </c>
      <c r="K7" s="5">
        <f>IFERROR(__xludf.DUMMYFUNCTION("""COMPUTED_VALUE"""),2024.0)</f>
        <v>2024</v>
      </c>
      <c r="L7" s="8" t="str">
        <f>IFERROR(__xludf.DUMMYFUNCTION("""COMPUTED_VALUE"""),"3.45")</f>
        <v>3.45</v>
      </c>
      <c r="M7" s="5" t="str">
        <f>IFERROR(__xludf.DUMMYFUNCTION("""COMPUTED_VALUE"""),"3.94")</f>
        <v>3.94</v>
      </c>
      <c r="N7" s="5" t="str">
        <f>IFERROR(__xludf.DUMMYFUNCTION("""COMPUTED_VALUE"""),"SURAKARTA")</f>
        <v>SURAKARTA</v>
      </c>
      <c r="O7" s="5" t="str">
        <f>IFERROR(__xludf.DUMMYFUNCTION("""COMPUTED_VALUE"""),"Tidak")</f>
        <v>Tidak</v>
      </c>
      <c r="P7" s="5" t="str">
        <f>IFERROR(__xludf.DUMMYFUNCTION("""COMPUTED_VALUE"""),"Tenaga pendampingan pembelajaran mata Pelajaran Ilmu Pengetahuan Alam (IPA) untuk mengajar mata pelajaran Biologi, Kimia, Fisika")</f>
        <v>Tenaga pendampingan pembelajaran mata Pelajaran Ilmu Pengetahuan Alam (IPA) untuk mengajar mata pelajaran Biologi, Kimia, Fisika</v>
      </c>
      <c r="Q7" s="5" t="str">
        <f>IFERROR(__xludf.DUMMYFUNCTION("""COMPUTED_VALUE"""),"Kabupaten Jepara, Jawa Tengah")</f>
        <v>Kabupaten Jepara, Jawa Tengah</v>
      </c>
      <c r="R7" s="11" t="str">
        <f>IFERROR(__xludf.DUMMYFUNCTION("""COMPUTED_VALUE"""),"https://drive.google.com/drive/folders/1zI1VsvS3r7N2xgGHzHSOeXsPBlYpL9ku?usp=sharing")</f>
        <v>https://drive.google.com/drive/folders/1zI1VsvS3r7N2xgGHzHSOeXsPBlYpL9ku?usp=sharing</v>
      </c>
      <c r="S7" s="11" t="str">
        <f>IFERROR(__xludf.DUMMYFUNCTION("""COMPUTED_VALUE"""),"https://drive.google.com/drive/folders/1zI1VsvS3r7N2xgGHzHSOeXsPBlYpL9ku?usp=sharing")</f>
        <v>https://drive.google.com/drive/folders/1zI1VsvS3r7N2xgGHzHSOeXsPBlYpL9ku?usp=sharing</v>
      </c>
      <c r="T7" s="5" t="str">
        <f>IFERROR(__xludf.DUMMYFUNCTION("""COMPUTED_VALUE"""),"Alumni PPG Calon Guru / Prajabatan FKIP UNS")</f>
        <v>Alumni PPG Calon Guru / Prajabatan FKIP UNS</v>
      </c>
      <c r="U7" s="5" t="str">
        <f>IFERROR(__xludf.DUMMYFUNCTION("""COMPUTED_VALUE"""),"X902308868")</f>
        <v>X902308868</v>
      </c>
      <c r="V7" s="5" t="str">
        <f>IFERROR(__xludf.DUMMYFUNCTION("""COMPUTED_VALUE"""),"4001417039")</f>
        <v>4001417039</v>
      </c>
      <c r="W7" s="5" t="str">
        <f>IFERROR(__xludf.DUMMYFUNCTION("""COMPUTED_VALUE"""),"PENDIDIKAN IPA")</f>
        <v>PENDIDIKAN IPA</v>
      </c>
      <c r="X7" s="5" t="str">
        <f>IFERROR(__xludf.DUMMYFUNCTION("""COMPUTED_VALUE"""),"UNIVERSITAS SEBELAS MARET")</f>
        <v>UNIVERSITAS SEBELAS MARET</v>
      </c>
      <c r="Y7" s="5" t="str">
        <f>IFERROR(__xludf.DUMMYFUNCTION("""COMPUTED_VALUE"""),"X902308868")</f>
        <v>X902308868</v>
      </c>
      <c r="Z7" s="5"/>
      <c r="AA7" s="5"/>
      <c r="AB7" s="5"/>
    </row>
    <row r="8" hidden="1">
      <c r="A8" s="4">
        <f>IFERROR(__xludf.DUMMYFUNCTION("""COMPUTED_VALUE"""),46231.35516229167)</f>
        <v>46231.35516</v>
      </c>
      <c r="B8" s="5" t="str">
        <f>IFERROR(__xludf.DUMMYFUNCTION("""COMPUTED_VALUE"""),"syiadwi13@gmail.com")</f>
        <v>syiadwi13@gmail.com</v>
      </c>
      <c r="C8" s="5" t="str">
        <f>IFERROR(__xludf.DUMMYFUNCTION("""COMPUTED_VALUE"""),"Syifa Dwi Novita, S.Pd., Gr.")</f>
        <v>Syifa Dwi Novita, S.Pd., Gr.</v>
      </c>
      <c r="D8" s="5">
        <f>IFERROR(__xludf.DUMMYFUNCTION("""COMPUTED_VALUE"""),7.000012366E9)</f>
        <v>7000012366</v>
      </c>
      <c r="E8" s="5" t="str">
        <f>IFERROR(__xludf.DUMMYFUNCTION("""COMPUTED_VALUE"""),"089608882627")</f>
        <v>089608882627</v>
      </c>
      <c r="F8" s="7">
        <f>IFERROR(__xludf.DUMMYFUNCTION("""COMPUTED_VALUE"""),35747.0)</f>
        <v>35747</v>
      </c>
      <c r="G8" s="5" t="str">
        <f>IFERROR(__xludf.DUMMYFUNCTION("""COMPUTED_VALUE"""),"S1 Pendidikan Biologi")</f>
        <v>S1 Pendidikan Biologi</v>
      </c>
      <c r="H8" s="5" t="str">
        <f>IFERROR(__xludf.DUMMYFUNCTION("""COMPUTED_VALUE"""),"Universitas Muhammadiyah Purwokerto")</f>
        <v>Universitas Muhammadiyah Purwokerto</v>
      </c>
      <c r="I8" s="5" t="str">
        <f>IFERROR(__xludf.DUMMYFUNCTION("""COMPUTED_VALUE"""),"Ilmu Pengetahuan Alam (IPA)")</f>
        <v>Ilmu Pengetahuan Alam (IPA)</v>
      </c>
      <c r="J8" s="5" t="str">
        <f>IFERROR(__xludf.DUMMYFUNCTION("""COMPUTED_VALUE"""),"PPG Prajabatan Gelombang 1 Tahun 2023")</f>
        <v>PPG Prajabatan Gelombang 1 Tahun 2023</v>
      </c>
      <c r="K8" s="5">
        <f>IFERROR(__xludf.DUMMYFUNCTION("""COMPUTED_VALUE"""),2024.0)</f>
        <v>2024</v>
      </c>
      <c r="L8" s="8" t="str">
        <f>IFERROR(__xludf.DUMMYFUNCTION("""COMPUTED_VALUE"""),"3.36")</f>
        <v>3.36</v>
      </c>
      <c r="M8" s="5" t="str">
        <f>IFERROR(__xludf.DUMMYFUNCTION("""COMPUTED_VALUE"""),"3.98")</f>
        <v>3.98</v>
      </c>
      <c r="N8" s="5" t="str">
        <f>IFERROR(__xludf.DUMMYFUNCTION("""COMPUTED_VALUE"""),"Kedungrandu RT 1 RW 3, Kecamatan Patikraja, Kabupaten Banyumas")</f>
        <v>Kedungrandu RT 1 RW 3, Kecamatan Patikraja, Kabupaten Banyumas</v>
      </c>
      <c r="O8" s="5" t="str">
        <f>IFERROR(__xludf.DUMMYFUNCTION("""COMPUTED_VALUE"""),"Tidak")</f>
        <v>Tidak</v>
      </c>
      <c r="P8" s="5" t="str">
        <f>IFERROR(__xludf.DUMMYFUNCTION("""COMPUTED_VALUE"""),"Tenaga pendampingan pembelajaran mata Pelajaran Ilmu Pengetahuan Alam (IPA) untuk mengajar mata pelajaran Biologi, Kimia, Fisika")</f>
        <v>Tenaga pendampingan pembelajaran mata Pelajaran Ilmu Pengetahuan Alam (IPA) untuk mengajar mata pelajaran Biologi, Kimia, Fisika</v>
      </c>
      <c r="Q8" s="5" t="str">
        <f>IFERROR(__xludf.DUMMYFUNCTION("""COMPUTED_VALUE"""),"Kabupaten Jepara, Jawa Tengah")</f>
        <v>Kabupaten Jepara, Jawa Tengah</v>
      </c>
      <c r="R8" s="11" t="str">
        <f>IFERROR(__xludf.DUMMYFUNCTION("""COMPUTED_VALUE"""),"https://drive.google.com/file/d/1X90srqhGWSBgzBIWf55Q0lMEEvUwXmVt/view?usp=sharing")</f>
        <v>https://drive.google.com/file/d/1X90srqhGWSBgzBIWf55Q0lMEEvUwXmVt/view?usp=sharing</v>
      </c>
      <c r="S8" s="11" t="str">
        <f>IFERROR(__xludf.DUMMYFUNCTION("""COMPUTED_VALUE"""),"https://drive.google.com/drive/folders/1sDPOjTor3XOExzch1Qzi6KmtuS5XvMav?usp=drive_link")</f>
        <v>https://drive.google.com/drive/folders/1sDPOjTor3XOExzch1Qzi6KmtuS5XvMav?usp=drive_link</v>
      </c>
      <c r="T8" s="5" t="str">
        <f>IFERROR(__xludf.DUMMYFUNCTION("""COMPUTED_VALUE"""),"Alumni PPG Calon Guru / Prajabatan FKIP UNS")</f>
        <v>Alumni PPG Calon Guru / Prajabatan FKIP UNS</v>
      </c>
      <c r="U8" s="5" t="str">
        <f>IFERROR(__xludf.DUMMYFUNCTION("""COMPUTED_VALUE"""),"X902308871")</f>
        <v>X902308871</v>
      </c>
      <c r="V8" s="5" t="str">
        <f>IFERROR(__xludf.DUMMYFUNCTION("""COMPUTED_VALUE"""),"1501070008")</f>
        <v>1501070008</v>
      </c>
      <c r="W8" s="5" t="str">
        <f>IFERROR(__xludf.DUMMYFUNCTION("""COMPUTED_VALUE"""),"S1 Pendidikan Biologi")</f>
        <v>S1 Pendidikan Biologi</v>
      </c>
      <c r="X8" s="5" t="str">
        <f>IFERROR(__xludf.DUMMYFUNCTION("""COMPUTED_VALUE"""),"Universitas Sebelas Maret")</f>
        <v>Universitas Sebelas Maret</v>
      </c>
      <c r="Y8" s="5" t="str">
        <f>IFERROR(__xludf.DUMMYFUNCTION("""COMPUTED_VALUE"""),"-")</f>
        <v>-</v>
      </c>
      <c r="Z8" s="5"/>
      <c r="AA8" s="5"/>
      <c r="AB8" s="5"/>
    </row>
    <row r="9" hidden="1">
      <c r="A9" s="4">
        <f>IFERROR(__xludf.DUMMYFUNCTION("""COMPUTED_VALUE"""),46229.862542766205)</f>
        <v>46229.86254</v>
      </c>
      <c r="B9" s="5" t="str">
        <f>IFERROR(__xludf.DUMMYFUNCTION("""COMPUTED_VALUE"""),"intaniaeka@gmail.com")</f>
        <v>intaniaeka@gmail.com</v>
      </c>
      <c r="C9" s="5" t="str">
        <f>IFERROR(__xludf.DUMMYFUNCTION("""COMPUTED_VALUE"""),"Intania Eka Yanti, S.Kom., Gr.")</f>
        <v>Intania Eka Yanti, S.Kom., Gr.</v>
      </c>
      <c r="D9" s="5">
        <f>IFERROR(__xludf.DUMMYFUNCTION("""COMPUTED_VALUE"""),7.000230682E9)</f>
        <v>7000230682</v>
      </c>
      <c r="E9" s="5" t="str">
        <f>IFERROR(__xludf.DUMMYFUNCTION("""COMPUTED_VALUE"""),"089662119850")</f>
        <v>089662119850</v>
      </c>
      <c r="F9" s="7">
        <f>IFERROR(__xludf.DUMMYFUNCTION("""COMPUTED_VALUE"""),36233.0)</f>
        <v>36233</v>
      </c>
      <c r="G9" s="5" t="str">
        <f>IFERROR(__xludf.DUMMYFUNCTION("""COMPUTED_VALUE"""),"S1 Sistem Informasi ")</f>
        <v>S1 Sistem Informasi </v>
      </c>
      <c r="H9" s="5" t="str">
        <f>IFERROR(__xludf.DUMMYFUNCTION("""COMPUTED_VALUE"""),"Universitas Telkom")</f>
        <v>Universitas Telkom</v>
      </c>
      <c r="I9" s="5" t="str">
        <f>IFERROR(__xludf.DUMMYFUNCTION("""COMPUTED_VALUE"""),"Informatika")</f>
        <v>Informatika</v>
      </c>
      <c r="J9" s="5" t="str">
        <f>IFERROR(__xludf.DUMMYFUNCTION("""COMPUTED_VALUE"""),"PPG Calon Guru Gelombang 2 Tahun 2024")</f>
        <v>PPG Calon Guru Gelombang 2 Tahun 2024</v>
      </c>
      <c r="K9" s="5">
        <f>IFERROR(__xludf.DUMMYFUNCTION("""COMPUTED_VALUE"""),2025.0)</f>
        <v>2025</v>
      </c>
      <c r="L9" s="8" t="str">
        <f>IFERROR(__xludf.DUMMYFUNCTION("""COMPUTED_VALUE"""),"3.05")</f>
        <v>3.05</v>
      </c>
      <c r="M9" s="5" t="str">
        <f>IFERROR(__xludf.DUMMYFUNCTION("""COMPUTED_VALUE"""),"3.94")</f>
        <v>3.94</v>
      </c>
      <c r="N9" s="5" t="str">
        <f>IFERROR(__xludf.DUMMYFUNCTION("""COMPUTED_VALUE"""),"Klaten, Jawa Tengah")</f>
        <v>Klaten, Jawa Tengah</v>
      </c>
      <c r="O9" s="5" t="str">
        <f>IFERROR(__xludf.DUMMYFUNCTION("""COMPUTED_VALUE"""),"Tidak")</f>
        <v>Tidak</v>
      </c>
      <c r="P9" s="5" t="str">
        <f>IFERROR(__xludf.DUMMYFUNCTION("""COMPUTED_VALUE"""),"Tenaga pendampingan pembelajaran mata pelajaran TIK")</f>
        <v>Tenaga pendampingan pembelajaran mata pelajaran TIK</v>
      </c>
      <c r="Q9" s="5" t="str">
        <f>IFERROR(__xludf.DUMMYFUNCTION("""COMPUTED_VALUE"""),"Kabupaten Jepara, Jawa Tengah")</f>
        <v>Kabupaten Jepara, Jawa Tengah</v>
      </c>
      <c r="R9" s="11" t="str">
        <f>IFERROR(__xludf.DUMMYFUNCTION("""COMPUTED_VALUE"""),"https://drive.google.com/drive/folders/1M6zYjueC4knG4C45THwrSOKv3fiE93TK?usp=sharing")</f>
        <v>https://drive.google.com/drive/folders/1M6zYjueC4knG4C45THwrSOKv3fiE93TK?usp=sharing</v>
      </c>
      <c r="S9" s="11" t="str">
        <f>IFERROR(__xludf.DUMMYFUNCTION("""COMPUTED_VALUE"""),"https://drive.google.com/drive/folders/1M6zYjueC4knG4C45THwrSOKv3fiE93TK?usp=sharing")</f>
        <v>https://drive.google.com/drive/folders/1M6zYjueC4knG4C45THwrSOKv3fiE93TK?usp=sharing</v>
      </c>
      <c r="T9" s="5" t="str">
        <f>IFERROR(__xludf.DUMMYFUNCTION("""COMPUTED_VALUE"""),"Alumni PPG Calon Guru / Prajabatan FKIP UNS")</f>
        <v>Alumni PPG Calon Guru / Prajabatan FKIP UNS</v>
      </c>
      <c r="U9" s="5" t="str">
        <f>IFERROR(__xludf.DUMMYFUNCTION("""COMPUTED_VALUE"""),"X942408242")</f>
        <v>X942408242</v>
      </c>
      <c r="V9" s="5" t="str">
        <f>IFERROR(__xludf.DUMMYFUNCTION("""COMPUTED_VALUE"""),"1202174075")</f>
        <v>1202174075</v>
      </c>
      <c r="W9" s="5" t="str">
        <f>IFERROR(__xludf.DUMMYFUNCTION("""COMPUTED_VALUE"""),"S1 Sistem Informasi")</f>
        <v>S1 Sistem Informasi</v>
      </c>
      <c r="X9" s="5" t="str">
        <f>IFERROR(__xludf.DUMMYFUNCTION("""COMPUTED_VALUE"""),"Universitas Sebelas Maret")</f>
        <v>Universitas Sebelas Maret</v>
      </c>
      <c r="Y9" s="5" t="str">
        <f>IFERROR(__xludf.DUMMYFUNCTION("""COMPUTED_VALUE"""),"X942408242")</f>
        <v>X942408242</v>
      </c>
      <c r="Z9" s="5"/>
      <c r="AA9" s="5"/>
      <c r="AB9" s="5"/>
    </row>
    <row r="10" hidden="1">
      <c r="A10" s="4">
        <f>IFERROR(__xludf.DUMMYFUNCTION("""COMPUTED_VALUE"""),46233.86906005787)</f>
        <v>46233.86906</v>
      </c>
      <c r="B10" s="5" t="str">
        <f>IFERROR(__xludf.DUMMYFUNCTION("""COMPUTED_VALUE"""),"harnianisiti01.sa@gmail.com")</f>
        <v>harnianisiti01.sa@gmail.com</v>
      </c>
      <c r="C10" s="5" t="str">
        <f>IFERROR(__xludf.DUMMYFUNCTION("""COMPUTED_VALUE"""),"Siti Harniani, S. Pd")</f>
        <v>Siti Harniani, S. Pd</v>
      </c>
      <c r="D10" s="5">
        <f>IFERROR(__xludf.DUMMYFUNCTION("""COMPUTED_VALUE"""),7.000227911E9)</f>
        <v>7000227911</v>
      </c>
      <c r="E10" s="5" t="str">
        <f>IFERROR(__xludf.DUMMYFUNCTION("""COMPUTED_VALUE"""),"085342840408")</f>
        <v>085342840408</v>
      </c>
      <c r="F10" s="7">
        <f>IFERROR(__xludf.DUMMYFUNCTION("""COMPUTED_VALUE"""),34581.0)</f>
        <v>34581</v>
      </c>
      <c r="G10" s="5" t="str">
        <f>IFERROR(__xludf.DUMMYFUNCTION("""COMPUTED_VALUE"""),"Pendidikan Matematika")</f>
        <v>Pendidikan Matematika</v>
      </c>
      <c r="H10" s="5" t="str">
        <f>IFERROR(__xludf.DUMMYFUNCTION("""COMPUTED_VALUE"""),"Universitas Dayanu Ikhsanuddin")</f>
        <v>Universitas Dayanu Ikhsanuddin</v>
      </c>
      <c r="I10" s="5" t="str">
        <f>IFERROR(__xludf.DUMMYFUNCTION("""COMPUTED_VALUE"""),"Matematika")</f>
        <v>Matematika</v>
      </c>
      <c r="J10" s="5" t="str">
        <f>IFERROR(__xludf.DUMMYFUNCTION("""COMPUTED_VALUE"""),"PPG Prajabatan Gelombang 1 Tahun 2024")</f>
        <v>PPG Prajabatan Gelombang 1 Tahun 2024</v>
      </c>
      <c r="K10" s="5">
        <f>IFERROR(__xludf.DUMMYFUNCTION("""COMPUTED_VALUE"""),2024.0)</f>
        <v>2024</v>
      </c>
      <c r="L10" s="8" t="str">
        <f>IFERROR(__xludf.DUMMYFUNCTION("""COMPUTED_VALUE"""),"3,57")</f>
        <v>3,57</v>
      </c>
      <c r="M10" s="5" t="str">
        <f>IFERROR(__xludf.DUMMYFUNCTION("""COMPUTED_VALUE"""),"4.0")</f>
        <v>4.0</v>
      </c>
      <c r="N10" s="5" t="str">
        <f>IFERROR(__xludf.DUMMYFUNCTION("""COMPUTED_VALUE"""),"Kota Baubau, Sulawesi Tenggara")</f>
        <v>Kota Baubau, Sulawesi Tenggara</v>
      </c>
      <c r="O10" s="5" t="str">
        <f>IFERROR(__xludf.DUMMYFUNCTION("""COMPUTED_VALUE"""),"Tidak")</f>
        <v>Tidak</v>
      </c>
      <c r="P10" s="5" t="str">
        <f>IFERROR(__xludf.DUMMYFUNCTION("""COMPUTED_VALUE"""),"Tenaga pendampingan pembelajaran mata Pelajaran Matematika (umum)")</f>
        <v>Tenaga pendampingan pembelajaran mata Pelajaran Matematika (umum)</v>
      </c>
      <c r="Q10" s="5" t="str">
        <f>IFERROR(__xludf.DUMMYFUNCTION("""COMPUTED_VALUE"""),"Kabupaten Buton Tengah, Sulawesi Tenggara")</f>
        <v>Kabupaten Buton Tengah, Sulawesi Tenggara</v>
      </c>
      <c r="R10" s="11" t="str">
        <f>IFERROR(__xludf.DUMMYFUNCTION("""COMPUTED_VALUE"""),"https://drive.google.com/drive/folders/1W1SJkFGvffoQIz8_dEpLvZ7DVpQoENcq?usp=sharing")</f>
        <v>https://drive.google.com/drive/folders/1W1SJkFGvffoQIz8_dEpLvZ7DVpQoENcq?usp=sharing</v>
      </c>
      <c r="S10" s="11" t="str">
        <f>IFERROR(__xludf.DUMMYFUNCTION("""COMPUTED_VALUE"""),"https://drive.google.com/drive/folders/1w3AotyxcLiwjWuZcnqdtSFTGCadiF0xD?usp=sharing")</f>
        <v>https://drive.google.com/drive/folders/1w3AotyxcLiwjWuZcnqdtSFTGCadiF0xD?usp=sharing</v>
      </c>
      <c r="T10" s="5" t="str">
        <f>IFERROR(__xludf.DUMMYFUNCTION("""COMPUTED_VALUE"""),"Alumni PPG Calon Guru / Prajabatan FKIP UHO")</f>
        <v>Alumni PPG Calon Guru / Prajabatan FKIP UHO</v>
      </c>
      <c r="U10" s="5"/>
      <c r="V10" s="5"/>
      <c r="W10" s="5"/>
      <c r="X10" s="5"/>
      <c r="Y10" s="5" t="str">
        <f>IFERROR(__xludf.DUMMYFUNCTION("""COMPUTED_VALUE"""),"A3S224039")</f>
        <v>A3S224039</v>
      </c>
      <c r="Z10" s="5"/>
      <c r="AA10" s="5"/>
      <c r="AB10" s="5"/>
    </row>
    <row r="11" hidden="1">
      <c r="A11" s="4">
        <f>IFERROR(__xludf.DUMMYFUNCTION("""COMPUTED_VALUE"""),46229.96785178241)</f>
        <v>46229.96785</v>
      </c>
      <c r="B11" s="5" t="str">
        <f>IFERROR(__xludf.DUMMYFUNCTION("""COMPUTED_VALUE"""),"adibirhamali@gmail.com")</f>
        <v>adibirhamali@gmail.com</v>
      </c>
      <c r="C11" s="5" t="str">
        <f>IFERROR(__xludf.DUMMYFUNCTION("""COMPUTED_VALUE"""),"Moch. Adib Irham Ali")</f>
        <v>Moch. Adib Irham Ali</v>
      </c>
      <c r="D11" s="5">
        <f>IFERROR(__xludf.DUMMYFUNCTION("""COMPUTED_VALUE"""),7.000202065E9)</f>
        <v>7000202065</v>
      </c>
      <c r="E11" s="5" t="str">
        <f>IFERROR(__xludf.DUMMYFUNCTION("""COMPUTED_VALUE"""),"081328698419")</f>
        <v>081328698419</v>
      </c>
      <c r="F11" s="7">
        <f>IFERROR(__xludf.DUMMYFUNCTION("""COMPUTED_VALUE"""),35906.0)</f>
        <v>35906</v>
      </c>
      <c r="G11" s="5" t="str">
        <f>IFERROR(__xludf.DUMMYFUNCTION("""COMPUTED_VALUE"""),"Pendidikan Sejarah")</f>
        <v>Pendidikan Sejarah</v>
      </c>
      <c r="H11" s="5" t="str">
        <f>IFERROR(__xludf.DUMMYFUNCTION("""COMPUTED_VALUE"""),"Universitas Sebelas Maret ")</f>
        <v>Universitas Sebelas Maret </v>
      </c>
      <c r="I11" s="5" t="str">
        <f>IFERROR(__xludf.DUMMYFUNCTION("""COMPUTED_VALUE"""),"Sejarah")</f>
        <v>Sejarah</v>
      </c>
      <c r="J11" s="5" t="str">
        <f>IFERROR(__xludf.DUMMYFUNCTION("""COMPUTED_VALUE"""),"PPG Prajabatan Gelombang 2 Tahun 2023")</f>
        <v>PPG Prajabatan Gelombang 2 Tahun 2023</v>
      </c>
      <c r="K11" s="5">
        <f>IFERROR(__xludf.DUMMYFUNCTION("""COMPUTED_VALUE"""),2024.0)</f>
        <v>2024</v>
      </c>
      <c r="L11" s="8" t="str">
        <f>IFERROR(__xludf.DUMMYFUNCTION("""COMPUTED_VALUE"""),"3.72")</f>
        <v>3.72</v>
      </c>
      <c r="M11" s="5" t="str">
        <f>IFERROR(__xludf.DUMMYFUNCTION("""COMPUTED_VALUE"""),"4.00")</f>
        <v>4.00</v>
      </c>
      <c r="N11" s="5" t="str">
        <f>IFERROR(__xludf.DUMMYFUNCTION("""COMPUTED_VALUE"""),"Surakarta, Jawa Tengah ")</f>
        <v>Surakarta, Jawa Tengah </v>
      </c>
      <c r="O11" s="5" t="str">
        <f>IFERROR(__xludf.DUMMYFUNCTION("""COMPUTED_VALUE"""),"Tidak")</f>
        <v>Tidak</v>
      </c>
      <c r="P11" s="5" t="str">
        <f>IFERROR(__xludf.DUMMYFUNCTION("""COMPUTED_VALUE"""),"Tenaga pendampingan pembelajaran mata Pelajaran Ilmu Pengetahuan Sosial (IPS) untuk mengajar mata pelajaran Sosiologi, Ekonomi, Geografi, dan Sejarah")</f>
        <v>Tenaga pendampingan pembelajaran mata Pelajaran Ilmu Pengetahuan Sosial (IPS) untuk mengajar mata pelajaran Sosiologi, Ekonomi, Geografi, dan Sejarah</v>
      </c>
      <c r="Q11" s="5" t="str">
        <f>IFERROR(__xludf.DUMMYFUNCTION("""COMPUTED_VALUE"""),"Kabupaten Jepara, Jawa Tengah")</f>
        <v>Kabupaten Jepara, Jawa Tengah</v>
      </c>
      <c r="R11" s="11" t="str">
        <f>IFERROR(__xludf.DUMMYFUNCTION("""COMPUTED_VALUE"""),"https://drive.google.com/drive/folders/14p8zvTWQB0cfS1KGcdo-A9IR61ZpUngs")</f>
        <v>https://drive.google.com/drive/folders/14p8zvTWQB0cfS1KGcdo-A9IR61ZpUngs</v>
      </c>
      <c r="S11" s="11" t="str">
        <f>IFERROR(__xludf.DUMMYFUNCTION("""COMPUTED_VALUE"""),"https://drive.google.com/drive/folders/14tm61sfbexmy9YMN6u3Mp_YaYsqT-5st")</f>
        <v>https://drive.google.com/drive/folders/14tm61sfbexmy9YMN6u3Mp_YaYsqT-5st</v>
      </c>
      <c r="T11" s="5" t="str">
        <f>IFERROR(__xludf.DUMMYFUNCTION("""COMPUTED_VALUE"""),"Alumni PPG Calon Guru / Prajabatan FKIP UNS")</f>
        <v>Alumni PPG Calon Guru / Prajabatan FKIP UNS</v>
      </c>
      <c r="U11" s="5" t="str">
        <f>IFERROR(__xludf.DUMMYFUNCTION("""COMPUTED_VALUE"""),"X9023083636")</f>
        <v>X9023083636</v>
      </c>
      <c r="V11" s="5" t="str">
        <f>IFERROR(__xludf.DUMMYFUNCTION("""COMPUTED_VALUE"""),"K4416037")</f>
        <v>K4416037</v>
      </c>
      <c r="W11" s="5" t="str">
        <f>IFERROR(__xludf.DUMMYFUNCTION("""COMPUTED_VALUE"""),"Pendidikan Sejarah ")</f>
        <v>Pendidikan Sejarah </v>
      </c>
      <c r="X11" s="5" t="str">
        <f>IFERROR(__xludf.DUMMYFUNCTION("""COMPUTED_VALUE"""),"Universitas Sebelas Maret ")</f>
        <v>Universitas Sebelas Maret </v>
      </c>
      <c r="Y11" s="5" t="str">
        <f>IFERROR(__xludf.DUMMYFUNCTION("""COMPUTED_VALUE"""),"X9023083636")</f>
        <v>X9023083636</v>
      </c>
      <c r="Z11" s="5"/>
      <c r="AA11" s="5"/>
      <c r="AB11" s="5"/>
    </row>
    <row r="12" hidden="1">
      <c r="A12" s="4">
        <f>IFERROR(__xludf.DUMMYFUNCTION("""COMPUTED_VALUE"""),46230.05171579861)</f>
        <v>46230.05172</v>
      </c>
      <c r="B12" s="5" t="str">
        <f>IFERROR(__xludf.DUMMYFUNCTION("""COMPUTED_VALUE"""),"fitrinurhayani23@gmail.com")</f>
        <v>fitrinurhayani23@gmail.com</v>
      </c>
      <c r="C12" s="5" t="str">
        <f>IFERROR(__xludf.DUMMYFUNCTION("""COMPUTED_VALUE"""),"Fitri Nurhayani, S.Pd")</f>
        <v>Fitri Nurhayani, S.Pd</v>
      </c>
      <c r="D12" s="5">
        <f>IFERROR(__xludf.DUMMYFUNCTION("""COMPUTED_VALUE"""),7.000094807E9)</f>
        <v>7000094807</v>
      </c>
      <c r="E12" s="5" t="str">
        <f>IFERROR(__xludf.DUMMYFUNCTION("""COMPUTED_VALUE"""),"087719811922")</f>
        <v>087719811922</v>
      </c>
      <c r="F12" s="7">
        <f>IFERROR(__xludf.DUMMYFUNCTION("""COMPUTED_VALUE"""),35825.0)</f>
        <v>35825</v>
      </c>
      <c r="G12" s="5" t="str">
        <f>IFERROR(__xludf.DUMMYFUNCTION("""COMPUTED_VALUE"""),"Pendidikan Biologi")</f>
        <v>Pendidikan Biologi</v>
      </c>
      <c r="H12" s="5" t="str">
        <f>IFERROR(__xludf.DUMMYFUNCTION("""COMPUTED_VALUE"""),"Universitas Muhammadiyah Surakarta")</f>
        <v>Universitas Muhammadiyah Surakarta</v>
      </c>
      <c r="I12" s="5" t="str">
        <f>IFERROR(__xludf.DUMMYFUNCTION("""COMPUTED_VALUE"""),"Ilmu Pengetahuan Alam (IPA)")</f>
        <v>Ilmu Pengetahuan Alam (IPA)</v>
      </c>
      <c r="J12" s="5" t="str">
        <f>IFERROR(__xludf.DUMMYFUNCTION("""COMPUTED_VALUE"""),"PPG Prajabatan Gelombang 1 Tahun 2023")</f>
        <v>PPG Prajabatan Gelombang 1 Tahun 2023</v>
      </c>
      <c r="K12" s="5">
        <f>IFERROR(__xludf.DUMMYFUNCTION("""COMPUTED_VALUE"""),2024.0)</f>
        <v>2024</v>
      </c>
      <c r="L12" s="8" t="str">
        <f>IFERROR(__xludf.DUMMYFUNCTION("""COMPUTED_VALUE"""),"3.66")</f>
        <v>3.66</v>
      </c>
      <c r="M12" s="5" t="str">
        <f>IFERROR(__xludf.DUMMYFUNCTION("""COMPUTED_VALUE"""),"3.97")</f>
        <v>3.97</v>
      </c>
      <c r="N12" s="5" t="str">
        <f>IFERROR(__xludf.DUMMYFUNCTION("""COMPUTED_VALUE"""),"Wonogiri, Jawa Tengah")</f>
        <v>Wonogiri, Jawa Tengah</v>
      </c>
      <c r="O12" s="5" t="str">
        <f>IFERROR(__xludf.DUMMYFUNCTION("""COMPUTED_VALUE"""),"Tidak")</f>
        <v>Tidak</v>
      </c>
      <c r="P12" s="5" t="str">
        <f>IFERROR(__xludf.DUMMYFUNCTION("""COMPUTED_VALUE"""),"Tenaga pendampingan pembelajaran mata Pelajaran Ilmu Pengetahuan Alam (IPA) untuk mengajar mata pelajaran Biologi, Kimia, Fisika")</f>
        <v>Tenaga pendampingan pembelajaran mata Pelajaran Ilmu Pengetahuan Alam (IPA) untuk mengajar mata pelajaran Biologi, Kimia, Fisika</v>
      </c>
      <c r="Q12" s="5" t="str">
        <f>IFERROR(__xludf.DUMMYFUNCTION("""COMPUTED_VALUE"""),"Kabupaten Jepara, Jawa Tengah")</f>
        <v>Kabupaten Jepara, Jawa Tengah</v>
      </c>
      <c r="R12" s="11" t="str">
        <f>IFERROR(__xludf.DUMMYFUNCTION("""COMPUTED_VALUE"""),"https://drive.google.com/drive/folders/1e8cKyNE3L_Zkdzx_WNKYqXprhRNVOZaq?usp=sharing")</f>
        <v>https://drive.google.com/drive/folders/1e8cKyNE3L_Zkdzx_WNKYqXprhRNVOZaq?usp=sharing</v>
      </c>
      <c r="S12" s="11" t="str">
        <f>IFERROR(__xludf.DUMMYFUNCTION("""COMPUTED_VALUE"""),"https://drive.google.com/drive/folders/15ZPYQ3Clfe0EygnIfgBgzYEpRIik_sBB?usp=sharing")</f>
        <v>https://drive.google.com/drive/folders/15ZPYQ3Clfe0EygnIfgBgzYEpRIik_sBB?usp=sharing</v>
      </c>
      <c r="T12" s="5" t="str">
        <f>IFERROR(__xludf.DUMMYFUNCTION("""COMPUTED_VALUE"""),"Alumni PPG Calon Guru / Prajabatan FKIP UNS")</f>
        <v>Alumni PPG Calon Guru / Prajabatan FKIP UNS</v>
      </c>
      <c r="U12" s="5" t="str">
        <f>IFERROR(__xludf.DUMMYFUNCTION("""COMPUTED_VALUE"""),"X902308362")</f>
        <v>X902308362</v>
      </c>
      <c r="V12" s="5" t="str">
        <f>IFERROR(__xludf.DUMMYFUNCTION("""COMPUTED_VALUE"""),"3.66")</f>
        <v>3.66</v>
      </c>
      <c r="W12" s="5" t="str">
        <f>IFERROR(__xludf.DUMMYFUNCTION("""COMPUTED_VALUE"""),"Pendidikan Biologi")</f>
        <v>Pendidikan Biologi</v>
      </c>
      <c r="X12" s="5" t="str">
        <f>IFERROR(__xludf.DUMMYFUNCTION("""COMPUTED_VALUE"""),"Universias Sebelas Maret (UNS)")</f>
        <v>Universias Sebelas Maret (UNS)</v>
      </c>
      <c r="Y12" s="5" t="str">
        <f>IFERROR(__xludf.DUMMYFUNCTION("""COMPUTED_VALUE"""),"X902308362")</f>
        <v>X902308362</v>
      </c>
      <c r="Z12" s="5"/>
      <c r="AA12" s="5"/>
      <c r="AB12" s="5"/>
    </row>
    <row r="13" hidden="1">
      <c r="A13" s="4">
        <f>IFERROR(__xludf.DUMMYFUNCTION("""COMPUTED_VALUE"""),46230.07072915509)</f>
        <v>46230.07073</v>
      </c>
      <c r="B13" s="5" t="str">
        <f>IFERROR(__xludf.DUMMYFUNCTION("""COMPUTED_VALUE"""),"asmildanurrahmawati@gmail.com")</f>
        <v>asmildanurrahmawati@gmail.com</v>
      </c>
      <c r="C13" s="5" t="str">
        <f>IFERROR(__xludf.DUMMYFUNCTION("""COMPUTED_VALUE"""),"Asmilda Nur Rahmawati S. Pd., Gr. ")</f>
        <v>Asmilda Nur Rahmawati S. Pd., Gr. </v>
      </c>
      <c r="D13" s="5">
        <f>IFERROR(__xludf.DUMMYFUNCTION("""COMPUTED_VALUE"""),7.000127861E9)</f>
        <v>7000127861</v>
      </c>
      <c r="E13" s="5" t="str">
        <f>IFERROR(__xludf.DUMMYFUNCTION("""COMPUTED_VALUE"""),"08999882330")</f>
        <v>08999882330</v>
      </c>
      <c r="F13" s="7">
        <f>IFERROR(__xludf.DUMMYFUNCTION("""COMPUTED_VALUE"""),36756.0)</f>
        <v>36756</v>
      </c>
      <c r="G13" s="5" t="str">
        <f>IFERROR(__xludf.DUMMYFUNCTION("""COMPUTED_VALUE"""),"Bimbingan dan konseling")</f>
        <v>Bimbingan dan konseling</v>
      </c>
      <c r="H13" s="5" t="str">
        <f>IFERROR(__xludf.DUMMYFUNCTION("""COMPUTED_VALUE"""),"UNS")</f>
        <v>UNS</v>
      </c>
      <c r="I13" s="5" t="str">
        <f>IFERROR(__xludf.DUMMYFUNCTION("""COMPUTED_VALUE"""),"Bimbingan dan Konseling")</f>
        <v>Bimbingan dan Konseling</v>
      </c>
      <c r="J13" s="5" t="str">
        <f>IFERROR(__xludf.DUMMYFUNCTION("""COMPUTED_VALUE"""),"PPG Prajabatan Gelombang 1 Tahun 2023")</f>
        <v>PPG Prajabatan Gelombang 1 Tahun 2023</v>
      </c>
      <c r="K13" s="5">
        <f>IFERROR(__xludf.DUMMYFUNCTION("""COMPUTED_VALUE"""),2024.0)</f>
        <v>2024</v>
      </c>
      <c r="L13" s="8" t="str">
        <f>IFERROR(__xludf.DUMMYFUNCTION("""COMPUTED_VALUE"""),"3,65")</f>
        <v>3,65</v>
      </c>
      <c r="M13" s="5" t="str">
        <f>IFERROR(__xludf.DUMMYFUNCTION("""COMPUTED_VALUE"""),"3,68")</f>
        <v>3,68</v>
      </c>
      <c r="N13" s="5" t="str">
        <f>IFERROR(__xludf.DUMMYFUNCTION("""COMPUTED_VALUE"""),"Kota Surakarta, Jawa Tengah")</f>
        <v>Kota Surakarta, Jawa Tengah</v>
      </c>
      <c r="O13" s="5" t="str">
        <f>IFERROR(__xludf.DUMMYFUNCTION("""COMPUTED_VALUE"""),"Tidak")</f>
        <v>Tidak</v>
      </c>
      <c r="P13" s="5" t="str">
        <f>IFERROR(__xludf.DUMMYFUNCTION("""COMPUTED_VALUE"""),"Tenaga pendampingan pembelajaran mata Pelajaran Bimbingan dan Konseling")</f>
        <v>Tenaga pendampingan pembelajaran mata Pelajaran Bimbingan dan Konseling</v>
      </c>
      <c r="Q13" s="5" t="str">
        <f>IFERROR(__xludf.DUMMYFUNCTION("""COMPUTED_VALUE"""),"Kabupaten Jepara, Jawa Tengah")</f>
        <v>Kabupaten Jepara, Jawa Tengah</v>
      </c>
      <c r="R13" s="11" t="str">
        <f>IFERROR(__xludf.DUMMYFUNCTION("""COMPUTED_VALUE"""),"https://drive.google.com/drive/folders/11lA10UXXoYhzvsfhUICgbtGtbGv8eSte")</f>
        <v>https://drive.google.com/drive/folders/11lA10UXXoYhzvsfhUICgbtGtbGv8eSte</v>
      </c>
      <c r="S13" s="11" t="str">
        <f>IFERROR(__xludf.DUMMYFUNCTION("""COMPUTED_VALUE"""),"https://drive.google.com/drive/folders/11lA10UXXoYhzvsfhUICgbtGtbGv8eSte")</f>
        <v>https://drive.google.com/drive/folders/11lA10UXXoYhzvsfhUICgbtGtbGv8eSte</v>
      </c>
      <c r="T13" s="5" t="str">
        <f>IFERROR(__xludf.DUMMYFUNCTION("""COMPUTED_VALUE"""),"Alumni PPG Calon Guru / Prajabatan FKIP UNS")</f>
        <v>Alumni PPG Calon Guru / Prajabatan FKIP UNS</v>
      </c>
      <c r="U13" s="5" t="str">
        <f>IFERROR(__xludf.DUMMYFUNCTION("""COMPUTED_VALUE"""),"X902308141")</f>
        <v>X902308141</v>
      </c>
      <c r="V13" s="5" t="str">
        <f>IFERROR(__xludf.DUMMYFUNCTION("""COMPUTED_VALUE"""),"K3118009")</f>
        <v>K3118009</v>
      </c>
      <c r="W13" s="5" t="str">
        <f>IFERROR(__xludf.DUMMYFUNCTION("""COMPUTED_VALUE"""),"Bimbingan dan konseling")</f>
        <v>Bimbingan dan konseling</v>
      </c>
      <c r="X13" s="5" t="str">
        <f>IFERROR(__xludf.DUMMYFUNCTION("""COMPUTED_VALUE"""),"Uns")</f>
        <v>Uns</v>
      </c>
      <c r="Y13" s="5" t="str">
        <f>IFERROR(__xludf.DUMMYFUNCTION("""COMPUTED_VALUE"""),"-")</f>
        <v>-</v>
      </c>
      <c r="Z13" s="5"/>
      <c r="AA13" s="5"/>
      <c r="AB13" s="5"/>
    </row>
    <row r="14" hidden="1">
      <c r="A14" s="4">
        <f>IFERROR(__xludf.DUMMYFUNCTION("""COMPUTED_VALUE"""),46230.31127060185)</f>
        <v>46230.31127</v>
      </c>
      <c r="B14" s="5" t="str">
        <f>IFERROR(__xludf.DUMMYFUNCTION("""COMPUTED_VALUE"""),"thaariqholland@student.uns.ac.id")</f>
        <v>thaariqholland@student.uns.ac.id</v>
      </c>
      <c r="C14" s="5" t="str">
        <f>IFERROR(__xludf.DUMMYFUNCTION("""COMPUTED_VALUE"""),"Muhammad Ath Thaariq Aziizi, S.Pd, Gr.")</f>
        <v>Muhammad Ath Thaariq Aziizi, S.Pd, Gr.</v>
      </c>
      <c r="D14" s="5">
        <f>IFERROR(__xludf.DUMMYFUNCTION("""COMPUTED_VALUE"""),7.000287279E9)</f>
        <v>7000287279</v>
      </c>
      <c r="E14" s="5" t="str">
        <f>IFERROR(__xludf.DUMMYFUNCTION("""COMPUTED_VALUE"""),"6281357514433")</f>
        <v>6281357514433</v>
      </c>
      <c r="F14" s="7">
        <f>IFERROR(__xludf.DUMMYFUNCTION("""COMPUTED_VALUE"""),36644.0)</f>
        <v>36644</v>
      </c>
      <c r="G14" s="5" t="str">
        <f>IFERROR(__xludf.DUMMYFUNCTION("""COMPUTED_VALUE"""),"S-1 Pendidikan Sejarah")</f>
        <v>S-1 Pendidikan Sejarah</v>
      </c>
      <c r="H14" s="5" t="str">
        <f>IFERROR(__xludf.DUMMYFUNCTION("""COMPUTED_VALUE"""),"Universitas Sebelas Maret")</f>
        <v>Universitas Sebelas Maret</v>
      </c>
      <c r="I14" s="5" t="str">
        <f>IFERROR(__xludf.DUMMYFUNCTION("""COMPUTED_VALUE"""),"Sejarah")</f>
        <v>Sejarah</v>
      </c>
      <c r="J14" s="5" t="str">
        <f>IFERROR(__xludf.DUMMYFUNCTION("""COMPUTED_VALUE"""),"PPG Calon Guru Gelombang 2 Tahun 2024")</f>
        <v>PPG Calon Guru Gelombang 2 Tahun 2024</v>
      </c>
      <c r="K14" s="5">
        <f>IFERROR(__xludf.DUMMYFUNCTION("""COMPUTED_VALUE"""),2025.0)</f>
        <v>2025</v>
      </c>
      <c r="L14" s="8" t="str">
        <f>IFERROR(__xludf.DUMMYFUNCTION("""COMPUTED_VALUE"""),"3.69")</f>
        <v>3.69</v>
      </c>
      <c r="M14" s="5" t="str">
        <f>IFERROR(__xludf.DUMMYFUNCTION("""COMPUTED_VALUE"""),"3.84")</f>
        <v>3.84</v>
      </c>
      <c r="N14" s="5" t="str">
        <f>IFERROR(__xludf.DUMMYFUNCTION("""COMPUTED_VALUE"""),"Kabupaten Karanganyar, Jawa Tengah")</f>
        <v>Kabupaten Karanganyar, Jawa Tengah</v>
      </c>
      <c r="O14" s="5" t="str">
        <f>IFERROR(__xludf.DUMMYFUNCTION("""COMPUTED_VALUE"""),"Tidak")</f>
        <v>Tidak</v>
      </c>
      <c r="P14" s="5" t="str">
        <f>IFERROR(__xludf.DUMMYFUNCTION("""COMPUTED_VALUE"""),"Tenaga pendampingan pembelajaran mata Pelajaran Ilmu Pengetahuan Sosial (IPS) untuk mengajar mata pelajaran Sosiologi, Ekonomi, Geografi, dan Sejarah")</f>
        <v>Tenaga pendampingan pembelajaran mata Pelajaran Ilmu Pengetahuan Sosial (IPS) untuk mengajar mata pelajaran Sosiologi, Ekonomi, Geografi, dan Sejarah</v>
      </c>
      <c r="Q14" s="5" t="str">
        <f>IFERROR(__xludf.DUMMYFUNCTION("""COMPUTED_VALUE"""),"Kabupaten Jepara, Jawa Tengah")</f>
        <v>Kabupaten Jepara, Jawa Tengah</v>
      </c>
      <c r="R14" s="11" t="str">
        <f>IFERROR(__xludf.DUMMYFUNCTION("""COMPUTED_VALUE"""),"https://uns.id/sertifpendidikanthaariq")</f>
        <v>https://uns.id/sertifpendidikanthaariq</v>
      </c>
      <c r="S14" s="11" t="str">
        <f>IFERROR(__xludf.DUMMYFUNCTION("""COMPUTED_VALUE"""),"https://uns.id/veditukinthaariq")</f>
        <v>https://uns.id/veditukinthaariq</v>
      </c>
      <c r="T14" s="5" t="str">
        <f>IFERROR(__xludf.DUMMYFUNCTION("""COMPUTED_VALUE"""),"Alumni PPG Calon Guru / Prajabatan FKIP UNS")</f>
        <v>Alumni PPG Calon Guru / Prajabatan FKIP UNS</v>
      </c>
      <c r="U14" s="5" t="str">
        <f>IFERROR(__xludf.DUMMYFUNCTION("""COMPUTED_VALUE"""),"X942408310")</f>
        <v>X942408310</v>
      </c>
      <c r="V14" s="5" t="str">
        <f>IFERROR(__xludf.DUMMYFUNCTION("""COMPUTED_VALUE"""),"K4419061")</f>
        <v>K4419061</v>
      </c>
      <c r="W14" s="5" t="str">
        <f>IFERROR(__xludf.DUMMYFUNCTION("""COMPUTED_VALUE"""),"Pendidikan Sejarah")</f>
        <v>Pendidikan Sejarah</v>
      </c>
      <c r="X14" s="5" t="str">
        <f>IFERROR(__xludf.DUMMYFUNCTION("""COMPUTED_VALUE"""),"Fakultas Ilmu Pendidikan dan Keguruan Universitas Sebelas Maret")</f>
        <v>Fakultas Ilmu Pendidikan dan Keguruan Universitas Sebelas Maret</v>
      </c>
      <c r="Y14" s="5" t="str">
        <f>IFERROR(__xludf.DUMMYFUNCTION("""COMPUTED_VALUE"""),"-")</f>
        <v>-</v>
      </c>
      <c r="Z14" s="5"/>
      <c r="AA14" s="5"/>
      <c r="AB14" s="5"/>
    </row>
    <row r="15" hidden="1">
      <c r="A15" s="4">
        <f>IFERROR(__xludf.DUMMYFUNCTION("""COMPUTED_VALUE"""),46232.40315420139)</f>
        <v>46232.40315</v>
      </c>
      <c r="B15" s="5" t="str">
        <f>IFERROR(__xludf.DUMMYFUNCTION("""COMPUTED_VALUE"""),"parifunm@gmail.com")</f>
        <v>parifunm@gmail.com</v>
      </c>
      <c r="C15" s="5" t="str">
        <f>IFERROR(__xludf.DUMMYFUNCTION("""COMPUTED_VALUE"""),"Parif, S.Pd., Gr.")</f>
        <v>Parif, S.Pd., Gr.</v>
      </c>
      <c r="D15" s="5">
        <f>IFERROR(__xludf.DUMMYFUNCTION("""COMPUTED_VALUE"""),7.000193855E9)</f>
        <v>7000193855</v>
      </c>
      <c r="E15" s="5" t="str">
        <f>IFERROR(__xludf.DUMMYFUNCTION("""COMPUTED_VALUE"""),"085340567074")</f>
        <v>085340567074</v>
      </c>
      <c r="F15" s="7">
        <f>IFERROR(__xludf.DUMMYFUNCTION("""COMPUTED_VALUE"""),36830.0)</f>
        <v>36830</v>
      </c>
      <c r="G15" s="5" t="str">
        <f>IFERROR(__xludf.DUMMYFUNCTION("""COMPUTED_VALUE"""),"Pendidikan Akuntansi")</f>
        <v>Pendidikan Akuntansi</v>
      </c>
      <c r="H15" s="5" t="str">
        <f>IFERROR(__xludf.DUMMYFUNCTION("""COMPUTED_VALUE"""),"Universitas Negeri Makassar")</f>
        <v>Universitas Negeri Makassar</v>
      </c>
      <c r="I15" s="5" t="str">
        <f>IFERROR(__xludf.DUMMYFUNCTION("""COMPUTED_VALUE"""),"Akuntansi dan Keuangan")</f>
        <v>Akuntansi dan Keuangan</v>
      </c>
      <c r="J15" s="5" t="str">
        <f>IFERROR(__xludf.DUMMYFUNCTION("""COMPUTED_VALUE"""),"PPG Calon Guru Gelombang 2 Tahun 2024")</f>
        <v>PPG Calon Guru Gelombang 2 Tahun 2024</v>
      </c>
      <c r="K15" s="5">
        <f>IFERROR(__xludf.DUMMYFUNCTION("""COMPUTED_VALUE"""),2025.0)</f>
        <v>2025</v>
      </c>
      <c r="L15" s="8" t="str">
        <f>IFERROR(__xludf.DUMMYFUNCTION("""COMPUTED_VALUE"""),"3.63")</f>
        <v>3.63</v>
      </c>
      <c r="M15" s="5" t="str">
        <f>IFERROR(__xludf.DUMMYFUNCTION("""COMPUTED_VALUE"""),"3.95")</f>
        <v>3.95</v>
      </c>
      <c r="N15" s="5" t="str">
        <f>IFERROR(__xludf.DUMMYFUNCTION("""COMPUTED_VALUE"""),"Kabupaten Maros")</f>
        <v>Kabupaten Maros</v>
      </c>
      <c r="O15" s="5" t="str">
        <f>IFERROR(__xludf.DUMMYFUNCTION("""COMPUTED_VALUE"""),"Tidak")</f>
        <v>Tidak</v>
      </c>
      <c r="P15" s="5" t="str">
        <f>IFERROR(__xludf.DUMMYFUNCTION("""COMPUTED_VALUE"""),"Tenaga pendampingan pembelajaran mata Pelajaran Ilmu Pengetahuan Sosial (IPS) untuk mengajar mata pelajaran Sosiologi, Ekonomi, Geografi, dan Sejarah")</f>
        <v>Tenaga pendampingan pembelajaran mata Pelajaran Ilmu Pengetahuan Sosial (IPS) untuk mengajar mata pelajaran Sosiologi, Ekonomi, Geografi, dan Sejarah</v>
      </c>
      <c r="Q15" s="5" t="str">
        <f>IFERROR(__xludf.DUMMYFUNCTION("""COMPUTED_VALUE"""),"Kabupaten Buton Tengah, Sulawesi Tenggara")</f>
        <v>Kabupaten Buton Tengah, Sulawesi Tenggara</v>
      </c>
      <c r="R15" s="5" t="str">
        <f>IFERROR(__xludf.DUMMYFUNCTION("""COMPUTED_VALUE"""),"-")</f>
        <v>-</v>
      </c>
      <c r="S15" s="11" t="str">
        <f>IFERROR(__xludf.DUMMYFUNCTION("""COMPUTED_VALUE"""),"https://drive.google.com/drive/folders/1GuUofoo8Ml4RxgfNRLC35L22Cqhy-kvo?usp=drive_link")</f>
        <v>https://drive.google.com/drive/folders/1GuUofoo8Ml4RxgfNRLC35L22Cqhy-kvo?usp=drive_link</v>
      </c>
      <c r="T15" s="5" t="str">
        <f>IFERROR(__xludf.DUMMYFUNCTION("""COMPUTED_VALUE"""),"Alumni PPG Calon Guru / Prajabatan FKIP UNS")</f>
        <v>Alumni PPG Calon Guru / Prajabatan FKIP UNS</v>
      </c>
      <c r="U15" s="5" t="str">
        <f>IFERROR(__xludf.DUMMYFUNCTION("""COMPUTED_VALUE"""),"X942408364")</f>
        <v>X942408364</v>
      </c>
      <c r="V15" s="5" t="str">
        <f>IFERROR(__xludf.DUMMYFUNCTION("""COMPUTED_VALUE"""),"1892041011")</f>
        <v>1892041011</v>
      </c>
      <c r="W15" s="5" t="str">
        <f>IFERROR(__xludf.DUMMYFUNCTION("""COMPUTED_VALUE"""),"Pendidikan Akuntansi")</f>
        <v>Pendidikan Akuntansi</v>
      </c>
      <c r="X15" s="5" t="str">
        <f>IFERROR(__xludf.DUMMYFUNCTION("""COMPUTED_VALUE"""),"Universitas Negeri Makassar")</f>
        <v>Universitas Negeri Makassar</v>
      </c>
      <c r="Y15" s="5" t="str">
        <f>IFERROR(__xludf.DUMMYFUNCTION("""COMPUTED_VALUE"""),"X942408364")</f>
        <v>X942408364</v>
      </c>
      <c r="Z15" s="5"/>
      <c r="AA15" s="5"/>
      <c r="AB15" s="5"/>
    </row>
    <row r="16" hidden="1">
      <c r="A16" s="4">
        <f>IFERROR(__xludf.DUMMYFUNCTION("""COMPUTED_VALUE"""),46231.63336821759)</f>
        <v>46231.63337</v>
      </c>
      <c r="B16" s="5" t="str">
        <f>IFERROR(__xludf.DUMMYFUNCTION("""COMPUTED_VALUE"""),"nuningwijayanti248@gmail.com")</f>
        <v>nuningwijayanti248@gmail.com</v>
      </c>
      <c r="C16" s="5" t="str">
        <f>IFERROR(__xludf.DUMMYFUNCTION("""COMPUTED_VALUE"""),"Nuning Wijayanti, S.Pd., Gr.")</f>
        <v>Nuning Wijayanti, S.Pd., Gr.</v>
      </c>
      <c r="D16" s="5">
        <f>IFERROR(__xludf.DUMMYFUNCTION("""COMPUTED_VALUE"""),7.000180386E9)</f>
        <v>7000180386</v>
      </c>
      <c r="E16" s="5" t="str">
        <f>IFERROR(__xludf.DUMMYFUNCTION("""COMPUTED_VALUE"""),"082323953038")</f>
        <v>082323953038</v>
      </c>
      <c r="F16" s="7">
        <f>IFERROR(__xludf.DUMMYFUNCTION("""COMPUTED_VALUE"""),37225.0)</f>
        <v>37225</v>
      </c>
      <c r="G16" s="5" t="str">
        <f>IFERROR(__xludf.DUMMYFUNCTION("""COMPUTED_VALUE"""),"S1 Pendidikan Bahasa dan Sastra Indonesia")</f>
        <v>S1 Pendidikan Bahasa dan Sastra Indonesia</v>
      </c>
      <c r="H16" s="5" t="str">
        <f>IFERROR(__xludf.DUMMYFUNCTION("""COMPUTED_VALUE"""),"Universitas Tidar")</f>
        <v>Universitas Tidar</v>
      </c>
      <c r="I16" s="5" t="str">
        <f>IFERROR(__xludf.DUMMYFUNCTION("""COMPUTED_VALUE"""),"Bahasa Indonesia")</f>
        <v>Bahasa Indonesia</v>
      </c>
      <c r="J16" s="5" t="str">
        <f>IFERROR(__xludf.DUMMYFUNCTION("""COMPUTED_VALUE"""),"PPG Prajabatan Gelombang 2 Tahun 2023")</f>
        <v>PPG Prajabatan Gelombang 2 Tahun 2023</v>
      </c>
      <c r="K16" s="5">
        <f>IFERROR(__xludf.DUMMYFUNCTION("""COMPUTED_VALUE"""),2024.0)</f>
        <v>2024</v>
      </c>
      <c r="L16" s="8" t="str">
        <f>IFERROR(__xludf.DUMMYFUNCTION("""COMPUTED_VALUE"""),"3,67")</f>
        <v>3,67</v>
      </c>
      <c r="M16" s="5" t="str">
        <f>IFERROR(__xludf.DUMMYFUNCTION("""COMPUTED_VALUE"""),"3,73")</f>
        <v>3,73</v>
      </c>
      <c r="N16" s="5" t="str">
        <f>IFERROR(__xludf.DUMMYFUNCTION("""COMPUTED_VALUE"""),"Boyolali, Jawa Tengah")</f>
        <v>Boyolali, Jawa Tengah</v>
      </c>
      <c r="O16" s="5" t="str">
        <f>IFERROR(__xludf.DUMMYFUNCTION("""COMPUTED_VALUE"""),"Tidak")</f>
        <v>Tidak</v>
      </c>
      <c r="P16" s="5" t="str">
        <f>IFERROR(__xludf.DUMMYFUNCTION("""COMPUTED_VALUE"""),"Tenaga pendampingan pembelajaran mata Pelajaran Bahasa Indonesia")</f>
        <v>Tenaga pendampingan pembelajaran mata Pelajaran Bahasa Indonesia</v>
      </c>
      <c r="Q16" s="5" t="str">
        <f>IFERROR(__xludf.DUMMYFUNCTION("""COMPUTED_VALUE"""),"Kabupaten Jepara, Jawa Tengah")</f>
        <v>Kabupaten Jepara, Jawa Tengah</v>
      </c>
      <c r="R16" s="11" t="str">
        <f>IFERROR(__xludf.DUMMYFUNCTION("""COMPUTED_VALUE"""),"https://drive.google.com/drive/folders/1PUlPUxJ9ULoWvGmLXEt0GU-YNtECwhXO")</f>
        <v>https://drive.google.com/drive/folders/1PUlPUxJ9ULoWvGmLXEt0GU-YNtECwhXO</v>
      </c>
      <c r="S16" s="11" t="str">
        <f>IFERROR(__xludf.DUMMYFUNCTION("""COMPUTED_VALUE"""),"https://drive.google.com/drive/folders/1cJkn_IoYOOXnOYMya1m1-G4ZZwiFqF5_")</f>
        <v>https://drive.google.com/drive/folders/1cJkn_IoYOOXnOYMya1m1-G4ZZwiFqF5_</v>
      </c>
      <c r="T16" s="5" t="str">
        <f>IFERROR(__xludf.DUMMYFUNCTION("""COMPUTED_VALUE"""),"Alumni PPG Calon Guru / Prajabatan FKIP UNS")</f>
        <v>Alumni PPG Calon Guru / Prajabatan FKIP UNS</v>
      </c>
      <c r="U16" s="5" t="str">
        <f>IFERROR(__xludf.DUMMYFUNCTION("""COMPUTED_VALUE"""),"X9023083681")</f>
        <v>X9023083681</v>
      </c>
      <c r="V16" s="5" t="str">
        <f>IFERROR(__xludf.DUMMYFUNCTION("""COMPUTED_VALUE"""),"1910301058")</f>
        <v>1910301058</v>
      </c>
      <c r="W16" s="5" t="str">
        <f>IFERROR(__xludf.DUMMYFUNCTION("""COMPUTED_VALUE"""),"Pendidikan Bahasa dan Sastra Indonesia")</f>
        <v>Pendidikan Bahasa dan Sastra Indonesia</v>
      </c>
      <c r="X16" s="5" t="str">
        <f>IFERROR(__xludf.DUMMYFUNCTION("""COMPUTED_VALUE"""),"Universitas Sebelas Maret ")</f>
        <v>Universitas Sebelas Maret </v>
      </c>
      <c r="Y16" s="5" t="str">
        <f>IFERROR(__xludf.DUMMYFUNCTION("""COMPUTED_VALUE"""),"X9023083681")</f>
        <v>X9023083681</v>
      </c>
      <c r="Z16" s="5"/>
      <c r="AA16" s="5"/>
      <c r="AB16" s="5"/>
    </row>
    <row r="17" hidden="1">
      <c r="A17" s="4">
        <f>IFERROR(__xludf.DUMMYFUNCTION("""COMPUTED_VALUE"""),46231.740353483794)</f>
        <v>46231.74035</v>
      </c>
      <c r="B17" s="5" t="str">
        <f>IFERROR(__xludf.DUMMYFUNCTION("""COMPUTED_VALUE"""),"ayum9003@gmail.com")</f>
        <v>ayum9003@gmail.com</v>
      </c>
      <c r="C17" s="5" t="str">
        <f>IFERROR(__xludf.DUMMYFUNCTION("""COMPUTED_VALUE"""),"Mita Ayu Wulandari. S.Pd.")</f>
        <v>Mita Ayu Wulandari. S.Pd.</v>
      </c>
      <c r="D17" s="5">
        <f>IFERROR(__xludf.DUMMYFUNCTION("""COMPUTED_VALUE"""),7.000115177E9)</f>
        <v>7000115177</v>
      </c>
      <c r="E17" s="5" t="str">
        <f>IFERROR(__xludf.DUMMYFUNCTION("""COMPUTED_VALUE"""),"085238383337")</f>
        <v>085238383337</v>
      </c>
      <c r="F17" s="7">
        <f>IFERROR(__xludf.DUMMYFUNCTION("""COMPUTED_VALUE"""),35061.0)</f>
        <v>35061</v>
      </c>
      <c r="G17" s="5" t="str">
        <f>IFERROR(__xludf.DUMMYFUNCTION("""COMPUTED_VALUE"""),"Pendidikan Bahasa dan Sastra Indonesia ")</f>
        <v>Pendidikan Bahasa dan Sastra Indonesia </v>
      </c>
      <c r="H17" s="5" t="str">
        <f>IFERROR(__xludf.DUMMYFUNCTION("""COMPUTED_VALUE"""),"Universitas Halu Oleo")</f>
        <v>Universitas Halu Oleo</v>
      </c>
      <c r="I17" s="5" t="str">
        <f>IFERROR(__xludf.DUMMYFUNCTION("""COMPUTED_VALUE"""),"Bahasa Indonesia")</f>
        <v>Bahasa Indonesia</v>
      </c>
      <c r="J17" s="5" t="str">
        <f>IFERROR(__xludf.DUMMYFUNCTION("""COMPUTED_VALUE"""),"PPG Prajabatan Gelombang 1 Tahun 2023")</f>
        <v>PPG Prajabatan Gelombang 1 Tahun 2023</v>
      </c>
      <c r="K17" s="5">
        <f>IFERROR(__xludf.DUMMYFUNCTION("""COMPUTED_VALUE"""),2024.0)</f>
        <v>2024</v>
      </c>
      <c r="L17" s="8" t="str">
        <f>IFERROR(__xludf.DUMMYFUNCTION("""COMPUTED_VALUE"""),"3.38")</f>
        <v>3.38</v>
      </c>
      <c r="M17" s="5" t="str">
        <f>IFERROR(__xludf.DUMMYFUNCTION("""COMPUTED_VALUE"""),"4.00")</f>
        <v>4.00</v>
      </c>
      <c r="N17" s="5" t="str">
        <f>IFERROR(__xludf.DUMMYFUNCTION("""COMPUTED_VALUE"""),"Kota Kendari, Sulawesi Tenggara")</f>
        <v>Kota Kendari, Sulawesi Tenggara</v>
      </c>
      <c r="O17" s="5" t="str">
        <f>IFERROR(__xludf.DUMMYFUNCTION("""COMPUTED_VALUE"""),"Tidak")</f>
        <v>Tidak</v>
      </c>
      <c r="P17" s="5" t="str">
        <f>IFERROR(__xludf.DUMMYFUNCTION("""COMPUTED_VALUE"""),"Tenaga pendampingan pembelajaran mata Pelajaran Bahasa Indonesia")</f>
        <v>Tenaga pendampingan pembelajaran mata Pelajaran Bahasa Indonesia</v>
      </c>
      <c r="Q17" s="5" t="str">
        <f>IFERROR(__xludf.DUMMYFUNCTION("""COMPUTED_VALUE"""),"Kabupaten Buton Tengah, Sulawesi Tenggara")</f>
        <v>Kabupaten Buton Tengah, Sulawesi Tenggara</v>
      </c>
      <c r="R17" s="11" t="str">
        <f>IFERROR(__xludf.DUMMYFUNCTION("""COMPUTED_VALUE"""),"https://drive.google.com/drive/folders/12b_894tcCUKoJy5WHk7I7pof-VbaAG9v?usp=sharing")</f>
        <v>https://drive.google.com/drive/folders/12b_894tcCUKoJy5WHk7I7pof-VbaAG9v?usp=sharing</v>
      </c>
      <c r="S17" s="11" t="str">
        <f>IFERROR(__xludf.DUMMYFUNCTION("""COMPUTED_VALUE"""),"https://drive.google.com/file/d/16I25Hub_4HCCCCFxaPj0dOUzgE7zysB3/view?usp=sharing")</f>
        <v>https://drive.google.com/file/d/16I25Hub_4HCCCCFxaPj0dOUzgE7zysB3/view?usp=sharing</v>
      </c>
      <c r="T17" s="5" t="str">
        <f>IFERROR(__xludf.DUMMYFUNCTION("""COMPUTED_VALUE"""),"Alumni PPG Calon Guru / Prajabatan FKIP UHO")</f>
        <v>Alumni PPG Calon Guru / Prajabatan FKIP UHO</v>
      </c>
      <c r="U17" s="5"/>
      <c r="V17" s="5"/>
      <c r="W17" s="5"/>
      <c r="X17" s="5"/>
      <c r="Y17" s="5" t="str">
        <f>IFERROR(__xludf.DUMMYFUNCTION("""COMPUTED_VALUE"""),"A3S223077")</f>
        <v>A3S223077</v>
      </c>
      <c r="Z17" s="5"/>
      <c r="AA17" s="5"/>
      <c r="AB17" s="5"/>
    </row>
    <row r="18" hidden="1">
      <c r="A18" s="4">
        <f>IFERROR(__xludf.DUMMYFUNCTION("""COMPUTED_VALUE"""),46230.79670269675)</f>
        <v>46230.7967</v>
      </c>
      <c r="B18" s="5" t="str">
        <f>IFERROR(__xludf.DUMMYFUNCTION("""COMPUTED_VALUE"""),"whhanatthahiraha8@gmail.com")</f>
        <v>whhanatthahiraha8@gmail.com</v>
      </c>
      <c r="C18" s="5" t="str">
        <f>IFERROR(__xludf.DUMMYFUNCTION("""COMPUTED_VALUE"""),"WH. HANAT THAHIRAH A., S.Pd, Gr.")</f>
        <v>WH. HANAT THAHIRAH A., S.Pd, Gr.</v>
      </c>
      <c r="D18" s="5"/>
      <c r="E18" s="5" t="str">
        <f>IFERROR(__xludf.DUMMYFUNCTION("""COMPUTED_VALUE"""),"082355139889")</f>
        <v>082355139889</v>
      </c>
      <c r="F18" s="7">
        <f>IFERROR(__xludf.DUMMYFUNCTION("""COMPUTED_VALUE"""),37031.0)</f>
        <v>37031</v>
      </c>
      <c r="G18" s="5" t="str">
        <f>IFERROR(__xludf.DUMMYFUNCTION("""COMPUTED_VALUE"""),"Pendidikan Biologi")</f>
        <v>Pendidikan Biologi</v>
      </c>
      <c r="H18" s="5" t="str">
        <f>IFERROR(__xludf.DUMMYFUNCTION("""COMPUTED_VALUE"""),"Universitas Halu Oleo")</f>
        <v>Universitas Halu Oleo</v>
      </c>
      <c r="I18" s="5" t="str">
        <f>IFERROR(__xludf.DUMMYFUNCTION("""COMPUTED_VALUE"""),"Pendidikan Guru Sekolah Dasar (PGSD)")</f>
        <v>Pendidikan Guru Sekolah Dasar (PGSD)</v>
      </c>
      <c r="J18" s="5" t="str">
        <f>IFERROR(__xludf.DUMMYFUNCTION("""COMPUTED_VALUE"""),"PPG Calon Guru Gelombang 2 Tahun 2024")</f>
        <v>PPG Calon Guru Gelombang 2 Tahun 2024</v>
      </c>
      <c r="K18" s="5">
        <f>IFERROR(__xludf.DUMMYFUNCTION("""COMPUTED_VALUE"""),2025.0)</f>
        <v>2025</v>
      </c>
      <c r="L18" s="8" t="str">
        <f>IFERROR(__xludf.DUMMYFUNCTION("""COMPUTED_VALUE"""),"3.42")</f>
        <v>3.42</v>
      </c>
      <c r="M18" s="5" t="str">
        <f>IFERROR(__xludf.DUMMYFUNCTION("""COMPUTED_VALUE"""),"4.00")</f>
        <v>4.00</v>
      </c>
      <c r="N18" s="5" t="str">
        <f>IFERROR(__xludf.DUMMYFUNCTION("""COMPUTED_VALUE"""),"Kota Kendari, Sulawesi Tenggara")</f>
        <v>Kota Kendari, Sulawesi Tenggara</v>
      </c>
      <c r="O18" s="5" t="str">
        <f>IFERROR(__xludf.DUMMYFUNCTION("""COMPUTED_VALUE"""),"Tidak")</f>
        <v>Tidak</v>
      </c>
      <c r="P18" s="5" t="str">
        <f>IFERROR(__xludf.DUMMYFUNCTION("""COMPUTED_VALUE"""),"Tenaga pendampingan pembelajaran mata Pelajaran Ilmu Pengetahuan Alam (IPA) untuk mengajar mata pelajaran Biologi, Kimia, Fisika")</f>
        <v>Tenaga pendampingan pembelajaran mata Pelajaran Ilmu Pengetahuan Alam (IPA) untuk mengajar mata pelajaran Biologi, Kimia, Fisika</v>
      </c>
      <c r="Q18" s="5" t="str">
        <f>IFERROR(__xludf.DUMMYFUNCTION("""COMPUTED_VALUE"""),"Kabupaten Buton Tengah, Sulawesi Tenggara")</f>
        <v>Kabupaten Buton Tengah, Sulawesi Tenggara</v>
      </c>
      <c r="R18" s="11" t="str">
        <f>IFERROR(__xludf.DUMMYFUNCTION("""COMPUTED_VALUE"""),"https://drive.google.com/folderview?id=1-H0dgyCTkBx1Sx2sbwB_7BZN52kyclaR")</f>
        <v>https://drive.google.com/folderview?id=1-H0dgyCTkBx1Sx2sbwB_7BZN52kyclaR</v>
      </c>
      <c r="S18" s="11" t="str">
        <f>IFERROR(__xludf.DUMMYFUNCTION("""COMPUTED_VALUE"""),"https://drive.google.com/folderview?id=1-GJrqYOfO4bnWQzG1X4FXH_EjpFWvBSi")</f>
        <v>https://drive.google.com/folderview?id=1-GJrqYOfO4bnWQzG1X4FXH_EjpFWvBSi</v>
      </c>
      <c r="T18" s="5" t="str">
        <f>IFERROR(__xludf.DUMMYFUNCTION("""COMPUTED_VALUE"""),"Alumni PPG Calon Guru / Prajabatan FKIP UHO")</f>
        <v>Alumni PPG Calon Guru / Prajabatan FKIP UHO</v>
      </c>
      <c r="U18" s="5"/>
      <c r="V18" s="5"/>
      <c r="W18" s="5"/>
      <c r="X18" s="5"/>
      <c r="Y18" s="5" t="str">
        <f>IFERROR(__xludf.DUMMYFUNCTION("""COMPUTED_VALUE"""),"A3S224310")</f>
        <v>A3S224310</v>
      </c>
      <c r="Z18" s="5"/>
      <c r="AA18" s="5"/>
      <c r="AB18" s="5"/>
    </row>
    <row r="19" hidden="1">
      <c r="A19" s="4">
        <f>IFERROR(__xludf.DUMMYFUNCTION("""COMPUTED_VALUE"""),46230.88597214121)</f>
        <v>46230.88597</v>
      </c>
      <c r="B19" s="5" t="str">
        <f>IFERROR(__xludf.DUMMYFUNCTION("""COMPUTED_VALUE"""),"azizahfajriatul@gmail.com")</f>
        <v>azizahfajriatul@gmail.com</v>
      </c>
      <c r="C19" s="5" t="str">
        <f>IFERROR(__xludf.DUMMYFUNCTION("""COMPUTED_VALUE"""),"Fajriatul 'Azizah")</f>
        <v>Fajriatul 'Azizah</v>
      </c>
      <c r="D19" s="5">
        <f>IFERROR(__xludf.DUMMYFUNCTION("""COMPUTED_VALUE"""),7.000058324E9)</f>
        <v>7000058324</v>
      </c>
      <c r="E19" s="5" t="str">
        <f>IFERROR(__xludf.DUMMYFUNCTION("""COMPUTED_VALUE"""),"085743571470")</f>
        <v>085743571470</v>
      </c>
      <c r="F19" s="7">
        <f>IFERROR(__xludf.DUMMYFUNCTION("""COMPUTED_VALUE"""),34712.0)</f>
        <v>34712</v>
      </c>
      <c r="G19" s="5" t="str">
        <f>IFERROR(__xludf.DUMMYFUNCTION("""COMPUTED_VALUE"""),"Akuntansi")</f>
        <v>Akuntansi</v>
      </c>
      <c r="H19" s="5" t="str">
        <f>IFERROR(__xludf.DUMMYFUNCTION("""COMPUTED_VALUE"""),"Universitas Muhammadiyah Magelang")</f>
        <v>Universitas Muhammadiyah Magelang</v>
      </c>
      <c r="I19" s="5" t="str">
        <f>IFERROR(__xludf.DUMMYFUNCTION("""COMPUTED_VALUE"""),"Akuntansi dan Keuangan")</f>
        <v>Akuntansi dan Keuangan</v>
      </c>
      <c r="J19" s="5" t="str">
        <f>IFERROR(__xludf.DUMMYFUNCTION("""COMPUTED_VALUE"""),"PPG Calon Guru Gelombang 2 Tahun 2024")</f>
        <v>PPG Calon Guru Gelombang 2 Tahun 2024</v>
      </c>
      <c r="K19" s="5">
        <f>IFERROR(__xludf.DUMMYFUNCTION("""COMPUTED_VALUE"""),2025.0)</f>
        <v>2025</v>
      </c>
      <c r="L19" s="8" t="str">
        <f>IFERROR(__xludf.DUMMYFUNCTION("""COMPUTED_VALUE"""),"3.82")</f>
        <v>3.82</v>
      </c>
      <c r="M19" s="5" t="str">
        <f>IFERROR(__xludf.DUMMYFUNCTION("""COMPUTED_VALUE"""),"3.98")</f>
        <v>3.98</v>
      </c>
      <c r="N19" s="5" t="str">
        <f>IFERROR(__xludf.DUMMYFUNCTION("""COMPUTED_VALUE"""),"Kabupaten Magelang")</f>
        <v>Kabupaten Magelang</v>
      </c>
      <c r="O19" s="5" t="str">
        <f>IFERROR(__xludf.DUMMYFUNCTION("""COMPUTED_VALUE"""),"Tidak")</f>
        <v>Tidak</v>
      </c>
      <c r="P19" s="5" t="str">
        <f>IFERROR(__xludf.DUMMYFUNCTION("""COMPUTED_VALUE"""),"Tenaga pendampingan pembelajaran mata Pelajaran Ilmu Pengetahuan Sosial (IPS) untuk mengajar mata pelajaran Sosiologi, Ekonomi, Geografi, dan Sejarah")</f>
        <v>Tenaga pendampingan pembelajaran mata Pelajaran Ilmu Pengetahuan Sosial (IPS) untuk mengajar mata pelajaran Sosiologi, Ekonomi, Geografi, dan Sejarah</v>
      </c>
      <c r="Q19" s="5" t="str">
        <f>IFERROR(__xludf.DUMMYFUNCTION("""COMPUTED_VALUE"""),"Kabupaten Jepara, Jawa Tengah")</f>
        <v>Kabupaten Jepara, Jawa Tengah</v>
      </c>
      <c r="R19" s="11" t="str">
        <f>IFERROR(__xludf.DUMMYFUNCTION("""COMPUTED_VALUE"""),"https://drive.google.com/drive/folders/1m91u-ixafYRtV4PP1DwSgpzZITA4pMTK?usp=sharing")</f>
        <v>https://drive.google.com/drive/folders/1m91u-ixafYRtV4PP1DwSgpzZITA4pMTK?usp=sharing</v>
      </c>
      <c r="S19" s="11" t="str">
        <f>IFERROR(__xludf.DUMMYFUNCTION("""COMPUTED_VALUE"""),"https://drive.google.com/file/d/1ZM2qaVqkQD-_tnv9zBhxAM7nrL9WyS0c/view?usp=drive_link")</f>
        <v>https://drive.google.com/file/d/1ZM2qaVqkQD-_tnv9zBhxAM7nrL9WyS0c/view?usp=drive_link</v>
      </c>
      <c r="T19" s="5" t="str">
        <f>IFERROR(__xludf.DUMMYFUNCTION("""COMPUTED_VALUE"""),"Alumni PPG Calon Guru / Prajabatan FKIP UNS")</f>
        <v>Alumni PPG Calon Guru / Prajabatan FKIP UNS</v>
      </c>
      <c r="U19" s="5" t="str">
        <f>IFERROR(__xludf.DUMMYFUNCTION("""COMPUTED_VALUE"""),"X942408172")</f>
        <v>X942408172</v>
      </c>
      <c r="V19" s="5" t="str">
        <f>IFERROR(__xludf.DUMMYFUNCTION("""COMPUTED_VALUE"""),"1601020011")</f>
        <v>1601020011</v>
      </c>
      <c r="W19" s="5" t="str">
        <f>IFERROR(__xludf.DUMMYFUNCTION("""COMPUTED_VALUE"""),"Akuntansi")</f>
        <v>Akuntansi</v>
      </c>
      <c r="X19" s="5" t="str">
        <f>IFERROR(__xludf.DUMMYFUNCTION("""COMPUTED_VALUE"""),"Universitas Sebelas Maret")</f>
        <v>Universitas Sebelas Maret</v>
      </c>
      <c r="Y19" s="5" t="str">
        <f>IFERROR(__xludf.DUMMYFUNCTION("""COMPUTED_VALUE"""),"X942408172")</f>
        <v>X942408172</v>
      </c>
      <c r="Z19" s="5"/>
      <c r="AA19" s="5"/>
      <c r="AB19" s="5"/>
    </row>
    <row r="20" hidden="1">
      <c r="A20" s="4">
        <f>IFERROR(__xludf.DUMMYFUNCTION("""COMPUTED_VALUE"""),46230.89981366898)</f>
        <v>46230.89981</v>
      </c>
      <c r="B20" s="5" t="str">
        <f>IFERROR(__xludf.DUMMYFUNCTION("""COMPUTED_VALUE"""),"afrilianto@student.uns.ac.id")</f>
        <v>afrilianto@student.uns.ac.id</v>
      </c>
      <c r="C20" s="5" t="str">
        <f>IFERROR(__xludf.DUMMYFUNCTION("""COMPUTED_VALUE"""),"Afri Lianto, S.Pd., Gr.")</f>
        <v>Afri Lianto, S.Pd., Gr.</v>
      </c>
      <c r="D20" s="5">
        <f>IFERROR(__xludf.DUMMYFUNCTION("""COMPUTED_VALUE"""),7.000158269E9)</f>
        <v>7000158269</v>
      </c>
      <c r="E20" s="5" t="str">
        <f>IFERROR(__xludf.DUMMYFUNCTION("""COMPUTED_VALUE"""),"085740702984")</f>
        <v>085740702984</v>
      </c>
      <c r="F20" s="7">
        <f>IFERROR(__xludf.DUMMYFUNCTION("""COMPUTED_VALUE"""),36262.0)</f>
        <v>36262</v>
      </c>
      <c r="G20" s="5" t="str">
        <f>IFERROR(__xludf.DUMMYFUNCTION("""COMPUTED_VALUE"""),"S-1")</f>
        <v>S-1</v>
      </c>
      <c r="H20" s="5" t="str">
        <f>IFERROR(__xludf.DUMMYFUNCTION("""COMPUTED_VALUE"""),"Universitas Negeri Yogyakarta")</f>
        <v>Universitas Negeri Yogyakarta</v>
      </c>
      <c r="I20" s="5" t="str">
        <f>IFERROR(__xludf.DUMMYFUNCTION("""COMPUTED_VALUE"""),"Pendidikan Jasmani, Olahraga, dan Kesehatan (PJOK)")</f>
        <v>Pendidikan Jasmani, Olahraga, dan Kesehatan (PJOK)</v>
      </c>
      <c r="J20" s="5" t="str">
        <f>IFERROR(__xludf.DUMMYFUNCTION("""COMPUTED_VALUE"""),"PPG Prajabatan Gelombang 1 Tahun 2023")</f>
        <v>PPG Prajabatan Gelombang 1 Tahun 2023</v>
      </c>
      <c r="K20" s="5">
        <f>IFERROR(__xludf.DUMMYFUNCTION("""COMPUTED_VALUE"""),2024.0)</f>
        <v>2024</v>
      </c>
      <c r="L20" s="8" t="str">
        <f>IFERROR(__xludf.DUMMYFUNCTION("""COMPUTED_VALUE"""),"3.55")</f>
        <v>3.55</v>
      </c>
      <c r="M20" s="5" t="str">
        <f>IFERROR(__xludf.DUMMYFUNCTION("""COMPUTED_VALUE"""),"3.98")</f>
        <v>3.98</v>
      </c>
      <c r="N20" s="5" t="str">
        <f>IFERROR(__xludf.DUMMYFUNCTION("""COMPUTED_VALUE"""),"Desa Krenceng, Rt 02 Rw 01 Kec.Kejobong, Kab.Purbingga, Jawa Tengah")</f>
        <v>Desa Krenceng, Rt 02 Rw 01 Kec.Kejobong, Kab.Purbingga, Jawa Tengah</v>
      </c>
      <c r="O20" s="5" t="str">
        <f>IFERROR(__xludf.DUMMYFUNCTION("""COMPUTED_VALUE"""),"Tidak")</f>
        <v>Tidak</v>
      </c>
      <c r="P20" s="5" t="str">
        <f>IFERROR(__xludf.DUMMYFUNCTION("""COMPUTED_VALUE"""),"Tenaga pendampingan pembelajaran mata Pelajaran Penjasorkes")</f>
        <v>Tenaga pendampingan pembelajaran mata Pelajaran Penjasorkes</v>
      </c>
      <c r="Q20" s="5" t="str">
        <f>IFERROR(__xludf.DUMMYFUNCTION("""COMPUTED_VALUE"""),"Kabupaten Jepara, Jawa Tengah")</f>
        <v>Kabupaten Jepara, Jawa Tengah</v>
      </c>
      <c r="R20" s="11" t="str">
        <f>IFERROR(__xludf.DUMMYFUNCTION("""COMPUTED_VALUE"""),"https://drive.google.com/drive/folders/1qirwr70MFDx3AkmSPCtOXtF91TmXq43v")</f>
        <v>https://drive.google.com/drive/folders/1qirwr70MFDx3AkmSPCtOXtF91TmXq43v</v>
      </c>
      <c r="S20" s="11" t="str">
        <f>IFERROR(__xludf.DUMMYFUNCTION("""COMPUTED_VALUE"""),"https://drive.google.com/drive/folders/1PzS9P01UHo8ahunVVv6jD4ARfGViRjOG")</f>
        <v>https://drive.google.com/drive/folders/1PzS9P01UHo8ahunVVv6jD4ARfGViRjOG</v>
      </c>
      <c r="T20" s="5" t="str">
        <f>IFERROR(__xludf.DUMMYFUNCTION("""COMPUTED_VALUE"""),"Alumni PPG Calon Guru / Prajabatan FKIP UNS")</f>
        <v>Alumni PPG Calon Guru / Prajabatan FKIP UNS</v>
      </c>
      <c r="U20" s="5" t="str">
        <f>IFERROR(__xludf.DUMMYFUNCTION("""COMPUTED_VALUE"""),"X902308022")</f>
        <v>X902308022</v>
      </c>
      <c r="V20" s="5" t="str">
        <f>IFERROR(__xludf.DUMMYFUNCTION("""COMPUTED_VALUE"""),"-")</f>
        <v>-</v>
      </c>
      <c r="W20" s="5" t="str">
        <f>IFERROR(__xludf.DUMMYFUNCTION("""COMPUTED_VALUE"""),"-")</f>
        <v>-</v>
      </c>
      <c r="X20" s="5" t="str">
        <f>IFERROR(__xludf.DUMMYFUNCTION("""COMPUTED_VALUE"""),"-")</f>
        <v>-</v>
      </c>
      <c r="Y20" s="5" t="str">
        <f>IFERROR(__xludf.DUMMYFUNCTION("""COMPUTED_VALUE"""),"-")</f>
        <v>-</v>
      </c>
      <c r="Z20" s="5"/>
      <c r="AA20" s="5"/>
      <c r="AB20" s="5"/>
    </row>
    <row r="21" hidden="1">
      <c r="A21" s="4">
        <f>IFERROR(__xludf.DUMMYFUNCTION("""COMPUTED_VALUE"""),46230.948714479164)</f>
        <v>46230.94871</v>
      </c>
      <c r="B21" s="5" t="str">
        <f>IFERROR(__xludf.DUMMYFUNCTION("""COMPUTED_VALUE"""),"ppg.lailamuniroh92@program.belajar.id")</f>
        <v>ppg.lailamuniroh92@program.belajar.id</v>
      </c>
      <c r="C21" s="5" t="str">
        <f>IFERROR(__xludf.DUMMYFUNCTION("""COMPUTED_VALUE"""),"Laila Magfirul Muniroh, S.Pd,. Gr")</f>
        <v>Laila Magfirul Muniroh, S.Pd,. Gr</v>
      </c>
      <c r="D21" s="5">
        <f>IFERROR(__xludf.DUMMYFUNCTION("""COMPUTED_VALUE"""),7.000133033E9)</f>
        <v>7000133033</v>
      </c>
      <c r="E21" s="5" t="str">
        <f>IFERROR(__xludf.DUMMYFUNCTION("""COMPUTED_VALUE"""),"082138175793")</f>
        <v>082138175793</v>
      </c>
      <c r="F21" s="7">
        <f>IFERROR(__xludf.DUMMYFUNCTION("""COMPUTED_VALUE"""),36520.0)</f>
        <v>36520</v>
      </c>
      <c r="G21" s="5" t="str">
        <f>IFERROR(__xludf.DUMMYFUNCTION("""COMPUTED_VALUE"""),"Pendidikan Sejarah")</f>
        <v>Pendidikan Sejarah</v>
      </c>
      <c r="H21" s="5" t="str">
        <f>IFERROR(__xludf.DUMMYFUNCTION("""COMPUTED_VALUE"""),"Universitas Sebelas Maret")</f>
        <v>Universitas Sebelas Maret</v>
      </c>
      <c r="I21" s="5" t="str">
        <f>IFERROR(__xludf.DUMMYFUNCTION("""COMPUTED_VALUE"""),"Sejarah")</f>
        <v>Sejarah</v>
      </c>
      <c r="J21" s="5" t="str">
        <f>IFERROR(__xludf.DUMMYFUNCTION("""COMPUTED_VALUE"""),"PPG Prajabatan Gelombang 2 Tahun 2023")</f>
        <v>PPG Prajabatan Gelombang 2 Tahun 2023</v>
      </c>
      <c r="K21" s="5">
        <f>IFERROR(__xludf.DUMMYFUNCTION("""COMPUTED_VALUE"""),2024.0)</f>
        <v>2024</v>
      </c>
      <c r="L21" s="8" t="str">
        <f>IFERROR(__xludf.DUMMYFUNCTION("""COMPUTED_VALUE"""),"3.71")</f>
        <v>3.71</v>
      </c>
      <c r="M21" s="5" t="str">
        <f>IFERROR(__xludf.DUMMYFUNCTION("""COMPUTED_VALUE"""),"3.98")</f>
        <v>3.98</v>
      </c>
      <c r="N21" s="5" t="str">
        <f>IFERROR(__xludf.DUMMYFUNCTION("""COMPUTED_VALUE"""),"Kota Surakarta, Jawa Tengah")</f>
        <v>Kota Surakarta, Jawa Tengah</v>
      </c>
      <c r="O21" s="5" t="str">
        <f>IFERROR(__xludf.DUMMYFUNCTION("""COMPUTED_VALUE"""),"Tidak")</f>
        <v>Tidak</v>
      </c>
      <c r="P21" s="5" t="str">
        <f>IFERROR(__xludf.DUMMYFUNCTION("""COMPUTED_VALUE"""),"Tenaga pendampingan pembelajaran mata Pelajaran Ilmu Pengetahuan Sosial (IPS) untuk mengajar mata pelajaran Sosiologi, Ekonomi, Geografi, dan Sejarah")</f>
        <v>Tenaga pendampingan pembelajaran mata Pelajaran Ilmu Pengetahuan Sosial (IPS) untuk mengajar mata pelajaran Sosiologi, Ekonomi, Geografi, dan Sejarah</v>
      </c>
      <c r="Q21" s="5" t="str">
        <f>IFERROR(__xludf.DUMMYFUNCTION("""COMPUTED_VALUE"""),"Kabupaten Jepara, Jawa Tengah")</f>
        <v>Kabupaten Jepara, Jawa Tengah</v>
      </c>
      <c r="R21" s="11" t="str">
        <f>IFERROR(__xludf.DUMMYFUNCTION("""COMPUTED_VALUE"""),"https://drive.google.com/drive/folders/1qtGqu3dQCug1Ta3kijfkP0VPhlHpTTpT?usp=drive_link")</f>
        <v>https://drive.google.com/drive/folders/1qtGqu3dQCug1Ta3kijfkP0VPhlHpTTpT?usp=drive_link</v>
      </c>
      <c r="S21" s="11" t="str">
        <f>IFERROR(__xludf.DUMMYFUNCTION("""COMPUTED_VALUE"""),"https://drive.google.com/drive/folders/19wdv2SGiikjLmsRGeg6Us3PtGVYARdEH?usp=sharing")</f>
        <v>https://drive.google.com/drive/folders/19wdv2SGiikjLmsRGeg6Us3PtGVYARdEH?usp=sharing</v>
      </c>
      <c r="T21" s="5" t="str">
        <f>IFERROR(__xludf.DUMMYFUNCTION("""COMPUTED_VALUE"""),"Alumni PPG Calon Guru / Prajabatan FKIP UNS")</f>
        <v>Alumni PPG Calon Guru / Prajabatan FKIP UNS</v>
      </c>
      <c r="U21" s="5" t="str">
        <f>IFERROR(__xludf.DUMMYFUNCTION("""COMPUTED_VALUE"""),"X9023083600")</f>
        <v>X9023083600</v>
      </c>
      <c r="V21" s="5" t="str">
        <f>IFERROR(__xludf.DUMMYFUNCTION("""COMPUTED_VALUE"""),"K4418039")</f>
        <v>K4418039</v>
      </c>
      <c r="W21" s="5" t="str">
        <f>IFERROR(__xludf.DUMMYFUNCTION("""COMPUTED_VALUE"""),"Pendidikan Sejarah")</f>
        <v>Pendidikan Sejarah</v>
      </c>
      <c r="X21" s="5" t="str">
        <f>IFERROR(__xludf.DUMMYFUNCTION("""COMPUTED_VALUE"""),"Universitas Sebelas Maret")</f>
        <v>Universitas Sebelas Maret</v>
      </c>
      <c r="Y21" s="5" t="str">
        <f>IFERROR(__xludf.DUMMYFUNCTION("""COMPUTED_VALUE"""),"X9023083600")</f>
        <v>X9023083600</v>
      </c>
      <c r="Z21" s="5"/>
      <c r="AA21" s="5"/>
      <c r="AB21" s="5"/>
    </row>
    <row r="22" hidden="1">
      <c r="A22" s="4">
        <f>IFERROR(__xludf.DUMMYFUNCTION("""COMPUTED_VALUE"""),46231.161095115734)</f>
        <v>46231.1611</v>
      </c>
      <c r="B22" s="5" t="str">
        <f>IFERROR(__xludf.DUMMYFUNCTION("""COMPUTED_VALUE"""),"ppg.imronkamaludin02@program.belajar.id")</f>
        <v>ppg.imronkamaludin02@program.belajar.id</v>
      </c>
      <c r="C22" s="5" t="str">
        <f>IFERROR(__xludf.DUMMYFUNCTION("""COMPUTED_VALUE"""),"Imron Arya Kamaludin, S.Pd., Gr.")</f>
        <v>Imron Arya Kamaludin, S.Pd., Gr.</v>
      </c>
      <c r="D22" s="5">
        <f>IFERROR(__xludf.DUMMYFUNCTION("""COMPUTED_VALUE"""),7.00012434E9)</f>
        <v>7000124340</v>
      </c>
      <c r="E22" s="5" t="str">
        <f>IFERROR(__xludf.DUMMYFUNCTION("""COMPUTED_VALUE"""),"085712992243")</f>
        <v>085712992243</v>
      </c>
      <c r="F22" s="7">
        <f>IFERROR(__xludf.DUMMYFUNCTION("""COMPUTED_VALUE"""),36584.0)</f>
        <v>36584</v>
      </c>
      <c r="G22" s="5" t="str">
        <f>IFERROR(__xludf.DUMMYFUNCTION("""COMPUTED_VALUE"""),"S1 Pendidikan Biologi")</f>
        <v>S1 Pendidikan Biologi</v>
      </c>
      <c r="H22" s="5" t="str">
        <f>IFERROR(__xludf.DUMMYFUNCTION("""COMPUTED_VALUE"""),"Universitas Tidar")</f>
        <v>Universitas Tidar</v>
      </c>
      <c r="I22" s="5" t="str">
        <f>IFERROR(__xludf.DUMMYFUNCTION("""COMPUTED_VALUE"""),"Ilmu Pengetahuan Alam (IPA)")</f>
        <v>Ilmu Pengetahuan Alam (IPA)</v>
      </c>
      <c r="J22" s="5" t="str">
        <f>IFERROR(__xludf.DUMMYFUNCTION("""COMPUTED_VALUE"""),"PPG Prajabatan Gelombang 1 Tahun 2023")</f>
        <v>PPG Prajabatan Gelombang 1 Tahun 2023</v>
      </c>
      <c r="K22" s="5">
        <f>IFERROR(__xludf.DUMMYFUNCTION("""COMPUTED_VALUE"""),2024.0)</f>
        <v>2024</v>
      </c>
      <c r="L22" s="8" t="str">
        <f>IFERROR(__xludf.DUMMYFUNCTION("""COMPUTED_VALUE"""),"3.63")</f>
        <v>3.63</v>
      </c>
      <c r="M22" s="5" t="str">
        <f>IFERROR(__xludf.DUMMYFUNCTION("""COMPUTED_VALUE"""),"3.98")</f>
        <v>3.98</v>
      </c>
      <c r="N22" s="5" t="str">
        <f>IFERROR(__xludf.DUMMYFUNCTION("""COMPUTED_VALUE"""),"Kabupaten Kebumen, Jawa Tengah")</f>
        <v>Kabupaten Kebumen, Jawa Tengah</v>
      </c>
      <c r="O22" s="5" t="str">
        <f>IFERROR(__xludf.DUMMYFUNCTION("""COMPUTED_VALUE"""),"Tidak")</f>
        <v>Tidak</v>
      </c>
      <c r="P22" s="5" t="str">
        <f>IFERROR(__xludf.DUMMYFUNCTION("""COMPUTED_VALUE"""),"Tenaga pendampingan pembelajaran mata Pelajaran Ilmu Pengetahuan Alam (IPA) untuk mengajar mata pelajaran Biologi, Kimia, Fisika")</f>
        <v>Tenaga pendampingan pembelajaran mata Pelajaran Ilmu Pengetahuan Alam (IPA) untuk mengajar mata pelajaran Biologi, Kimia, Fisika</v>
      </c>
      <c r="Q22" s="5" t="str">
        <f>IFERROR(__xludf.DUMMYFUNCTION("""COMPUTED_VALUE"""),"Kabupaten Jepara, Jawa Tengah")</f>
        <v>Kabupaten Jepara, Jawa Tengah</v>
      </c>
      <c r="R22" s="11" t="str">
        <f>IFERROR(__xludf.DUMMYFUNCTION("""COMPUTED_VALUE"""),"https://drive.google.com/drive/folders/1L5fpaS1ICiKr9JtvjgoxgIawdl_9z-EH?usp=sharing")</f>
        <v>https://drive.google.com/drive/folders/1L5fpaS1ICiKr9JtvjgoxgIawdl_9z-EH?usp=sharing</v>
      </c>
      <c r="S22" s="11" t="str">
        <f>IFERROR(__xludf.DUMMYFUNCTION("""COMPUTED_VALUE"""),"https://drive.google.com/drive/folders/18L-lFRallenmFr2eSdMYor8T3gFby5iv?usp=sharing")</f>
        <v>https://drive.google.com/drive/folders/18L-lFRallenmFr2eSdMYor8T3gFby5iv?usp=sharing</v>
      </c>
      <c r="T22" s="5" t="str">
        <f>IFERROR(__xludf.DUMMYFUNCTION("""COMPUTED_VALUE"""),"Alumni PPG Calon Guru / Prajabatan FKIP UNS")</f>
        <v>Alumni PPG Calon Guru / Prajabatan FKIP UNS</v>
      </c>
      <c r="U22" s="5" t="str">
        <f>IFERROR(__xludf.DUMMYFUNCTION("""COMPUTED_VALUE"""),"X902308432")</f>
        <v>X902308432</v>
      </c>
      <c r="V22" s="5" t="str">
        <f>IFERROR(__xludf.DUMMYFUNCTION("""COMPUTED_VALUE"""),"-")</f>
        <v>-</v>
      </c>
      <c r="W22" s="5" t="str">
        <f>IFERROR(__xludf.DUMMYFUNCTION("""COMPUTED_VALUE"""),"-")</f>
        <v>-</v>
      </c>
      <c r="X22" s="5" t="str">
        <f>IFERROR(__xludf.DUMMYFUNCTION("""COMPUTED_VALUE"""),"-")</f>
        <v>-</v>
      </c>
      <c r="Y22" s="5" t="str">
        <f>IFERROR(__xludf.DUMMYFUNCTION("""COMPUTED_VALUE"""),"-")</f>
        <v>-</v>
      </c>
      <c r="Z22" s="5"/>
      <c r="AA22" s="5"/>
      <c r="AB22" s="5"/>
    </row>
    <row r="23" hidden="1">
      <c r="A23" s="4">
        <f>IFERROR(__xludf.DUMMYFUNCTION("""COMPUTED_VALUE"""),46231.3670880787)</f>
        <v>46231.36709</v>
      </c>
      <c r="B23" s="5" t="str">
        <f>IFERROR(__xludf.DUMMYFUNCTION("""COMPUTED_VALUE"""),"rizqi.nurfitriani@student.uns.ac.id")</f>
        <v>rizqi.nurfitriani@student.uns.ac.id</v>
      </c>
      <c r="C23" s="5" t="str">
        <f>IFERROR(__xludf.DUMMYFUNCTION("""COMPUTED_VALUE"""),"Rizqi Nur Fitriani ")</f>
        <v>Rizqi Nur Fitriani </v>
      </c>
      <c r="D23" s="5">
        <f>IFERROR(__xludf.DUMMYFUNCTION("""COMPUTED_VALUE"""),7.000128901E9)</f>
        <v>7000128901</v>
      </c>
      <c r="E23" s="5" t="str">
        <f>IFERROR(__xludf.DUMMYFUNCTION("""COMPUTED_VALUE"""),"082329681100")</f>
        <v>082329681100</v>
      </c>
      <c r="F23" s="7">
        <f>IFERROR(__xludf.DUMMYFUNCTION("""COMPUTED_VALUE"""),36613.0)</f>
        <v>36613</v>
      </c>
      <c r="G23" s="5" t="str">
        <f>IFERROR(__xludf.DUMMYFUNCTION("""COMPUTED_VALUE"""),"Pendidikan Fisika ")</f>
        <v>Pendidikan Fisika </v>
      </c>
      <c r="H23" s="5" t="str">
        <f>IFERROR(__xludf.DUMMYFUNCTION("""COMPUTED_VALUE"""),"Universitas Sebelas Maret ")</f>
        <v>Universitas Sebelas Maret </v>
      </c>
      <c r="I23" s="5" t="str">
        <f>IFERROR(__xludf.DUMMYFUNCTION("""COMPUTED_VALUE"""),"Ilmu Pengetahuan Alam (IPA)")</f>
        <v>Ilmu Pengetahuan Alam (IPA)</v>
      </c>
      <c r="J23" s="5" t="str">
        <f>IFERROR(__xludf.DUMMYFUNCTION("""COMPUTED_VALUE"""),"PPG Prajabatan Gelombang 1 Tahun 2023")</f>
        <v>PPG Prajabatan Gelombang 1 Tahun 2023</v>
      </c>
      <c r="K23" s="5">
        <f>IFERROR(__xludf.DUMMYFUNCTION("""COMPUTED_VALUE"""),2024.0)</f>
        <v>2024</v>
      </c>
      <c r="L23" s="8" t="str">
        <f>IFERROR(__xludf.DUMMYFUNCTION("""COMPUTED_VALUE"""),"3.62")</f>
        <v>3.62</v>
      </c>
      <c r="M23" s="5" t="str">
        <f>IFERROR(__xludf.DUMMYFUNCTION("""COMPUTED_VALUE"""),"3.96")</f>
        <v>3.96</v>
      </c>
      <c r="N23" s="5" t="str">
        <f>IFERROR(__xludf.DUMMYFUNCTION("""COMPUTED_VALUE"""),"Kabupaten Pati")</f>
        <v>Kabupaten Pati</v>
      </c>
      <c r="O23" s="5" t="str">
        <f>IFERROR(__xludf.DUMMYFUNCTION("""COMPUTED_VALUE"""),"Tidak")</f>
        <v>Tidak</v>
      </c>
      <c r="P23" s="5" t="str">
        <f>IFERROR(__xludf.DUMMYFUNCTION("""COMPUTED_VALUE"""),"Tenaga pendampingan pembelajaran mata Pelajaran Ilmu Pengetahuan Alam (IPA) untuk mengajar mata pelajaran Biologi, Kimia, Fisika")</f>
        <v>Tenaga pendampingan pembelajaran mata Pelajaran Ilmu Pengetahuan Alam (IPA) untuk mengajar mata pelajaran Biologi, Kimia, Fisika</v>
      </c>
      <c r="Q23" s="5" t="str">
        <f>IFERROR(__xludf.DUMMYFUNCTION("""COMPUTED_VALUE"""),"Kabupaten Jepara, Jawa Tengah")</f>
        <v>Kabupaten Jepara, Jawa Tengah</v>
      </c>
      <c r="R23" s="11" t="str">
        <f>IFERROR(__xludf.DUMMYFUNCTION("""COMPUTED_VALUE"""),"https://drive.google.com/drive/folders/13-I7mBQQA8ynEqdL74VxwPk3mvJOc4i4")</f>
        <v>https://drive.google.com/drive/folders/13-I7mBQQA8ynEqdL74VxwPk3mvJOc4i4</v>
      </c>
      <c r="S23" s="11" t="str">
        <f>IFERROR(__xludf.DUMMYFUNCTION("""COMPUTED_VALUE"""),"https://drive.google.com/drive/folders/1lbHZOdolmlsxx6yX2iLAARnS1OT7OdSP")</f>
        <v>https://drive.google.com/drive/folders/1lbHZOdolmlsxx6yX2iLAARnS1OT7OdSP</v>
      </c>
      <c r="T23" s="5" t="str">
        <f>IFERROR(__xludf.DUMMYFUNCTION("""COMPUTED_VALUE"""),"Alumni PPG Calon Guru / Prajabatan FKIP UNS")</f>
        <v>Alumni PPG Calon Guru / Prajabatan FKIP UNS</v>
      </c>
      <c r="U23" s="5" t="str">
        <f>IFERROR(__xludf.DUMMYFUNCTION("""COMPUTED_VALUE"""),"X902308789")</f>
        <v>X902308789</v>
      </c>
      <c r="V23" s="5" t="str">
        <f>IFERROR(__xludf.DUMMYFUNCTION("""COMPUTED_VALUE"""),"K2318059")</f>
        <v>K2318059</v>
      </c>
      <c r="W23" s="5" t="str">
        <f>IFERROR(__xludf.DUMMYFUNCTION("""COMPUTED_VALUE"""),"Pendidikan fisika")</f>
        <v>Pendidikan fisika</v>
      </c>
      <c r="X23" s="5" t="str">
        <f>IFERROR(__xludf.DUMMYFUNCTION("""COMPUTED_VALUE"""),"UNS ")</f>
        <v>UNS </v>
      </c>
      <c r="Y23" s="5" t="str">
        <f>IFERROR(__xludf.DUMMYFUNCTION("""COMPUTED_VALUE"""),"-")</f>
        <v>-</v>
      </c>
      <c r="Z23" s="5"/>
      <c r="AA23" s="5"/>
      <c r="AB23" s="5"/>
    </row>
    <row r="24" hidden="1">
      <c r="A24" s="4">
        <f>IFERROR(__xludf.DUMMYFUNCTION("""COMPUTED_VALUE"""),46231.4385213426)</f>
        <v>46231.43852</v>
      </c>
      <c r="B24" s="5" t="str">
        <f>IFERROR(__xludf.DUMMYFUNCTION("""COMPUTED_VALUE"""),"nilasafitri3@gmail.com")</f>
        <v>nilasafitri3@gmail.com</v>
      </c>
      <c r="C24" s="5" t="str">
        <f>IFERROR(__xludf.DUMMYFUNCTION("""COMPUTED_VALUE"""),"Nila Safitri, S.Pd., Gr.")</f>
        <v>Nila Safitri, S.Pd., Gr.</v>
      </c>
      <c r="D24" s="5">
        <f>IFERROR(__xludf.DUMMYFUNCTION("""COMPUTED_VALUE"""),7.000130658E9)</f>
        <v>7000130658</v>
      </c>
      <c r="E24" s="5" t="str">
        <f>IFERROR(__xludf.DUMMYFUNCTION("""COMPUTED_VALUE"""),"082324551642")</f>
        <v>082324551642</v>
      </c>
      <c r="F24" s="7">
        <f>IFERROR(__xludf.DUMMYFUNCTION("""COMPUTED_VALUE"""),36237.0)</f>
        <v>36237</v>
      </c>
      <c r="G24" s="5" t="str">
        <f>IFERROR(__xludf.DUMMYFUNCTION("""COMPUTED_VALUE"""),"Pendidikan Bahasa Jawa ")</f>
        <v>Pendidikan Bahasa Jawa </v>
      </c>
      <c r="H24" s="5" t="str">
        <f>IFERROR(__xludf.DUMMYFUNCTION("""COMPUTED_VALUE"""),"UNIVERSITAS SEBELAS MARET")</f>
        <v>UNIVERSITAS SEBELAS MARET</v>
      </c>
      <c r="I24" s="5" t="str">
        <f>IFERROR(__xludf.DUMMYFUNCTION("""COMPUTED_VALUE"""),"Bahasa Jawa")</f>
        <v>Bahasa Jawa</v>
      </c>
      <c r="J24" s="5" t="str">
        <f>IFERROR(__xludf.DUMMYFUNCTION("""COMPUTED_VALUE"""),"PPG Prajabatan Gelombang 1 Tahun 2023")</f>
        <v>PPG Prajabatan Gelombang 1 Tahun 2023</v>
      </c>
      <c r="K24" s="5">
        <f>IFERROR(__xludf.DUMMYFUNCTION("""COMPUTED_VALUE"""),2024.0)</f>
        <v>2024</v>
      </c>
      <c r="L24" s="8" t="str">
        <f>IFERROR(__xludf.DUMMYFUNCTION("""COMPUTED_VALUE"""),"3.74")</f>
        <v>3.74</v>
      </c>
      <c r="M24" s="5" t="str">
        <f>IFERROR(__xludf.DUMMYFUNCTION("""COMPUTED_VALUE"""),"4.00")</f>
        <v>4.00</v>
      </c>
      <c r="N24" s="5" t="str">
        <f>IFERROR(__xludf.DUMMYFUNCTION("""COMPUTED_VALUE"""),"Karanganyar, Jawa Tengah")</f>
        <v>Karanganyar, Jawa Tengah</v>
      </c>
      <c r="O24" s="5" t="str">
        <f>IFERROR(__xludf.DUMMYFUNCTION("""COMPUTED_VALUE"""),"Tidak")</f>
        <v>Tidak</v>
      </c>
      <c r="P24" s="5" t="str">
        <f>IFERROR(__xludf.DUMMYFUNCTION("""COMPUTED_VALUE"""),"Tenaga pendampingan pembelajaran mata Pelajaran Seni, Budaya, dan Prakarya")</f>
        <v>Tenaga pendampingan pembelajaran mata Pelajaran Seni, Budaya, dan Prakarya</v>
      </c>
      <c r="Q24" s="5" t="str">
        <f>IFERROR(__xludf.DUMMYFUNCTION("""COMPUTED_VALUE"""),"Kabupaten Jepara, Jawa Tengah")</f>
        <v>Kabupaten Jepara, Jawa Tengah</v>
      </c>
      <c r="R24" s="11" t="str">
        <f>IFERROR(__xludf.DUMMYFUNCTION("""COMPUTED_VALUE"""),"https://drive.google.com/drive/folders/1adI29tKHJKq3bur8xGZSWfHHrhJWKmVY")</f>
        <v>https://drive.google.com/drive/folders/1adI29tKHJKq3bur8xGZSWfHHrhJWKmVY</v>
      </c>
      <c r="S24" s="11" t="str">
        <f>IFERROR(__xludf.DUMMYFUNCTION("""COMPUTED_VALUE"""),"https://drive.google.com/drive/folders/1IBUHZ570KJFy5CmkAqk3hdSbP9e0B9cp")</f>
        <v>https://drive.google.com/drive/folders/1IBUHZ570KJFy5CmkAqk3hdSbP9e0B9cp</v>
      </c>
      <c r="T24" s="5" t="str">
        <f>IFERROR(__xludf.DUMMYFUNCTION("""COMPUTED_VALUE"""),"Alumni PPG Calon Guru / Prajabatan FKIP UNS")</f>
        <v>Alumni PPG Calon Guru / Prajabatan FKIP UNS</v>
      </c>
      <c r="U24" s="5" t="str">
        <f>IFERROR(__xludf.DUMMYFUNCTION("""COMPUTED_VALUE"""),"X902308627")</f>
        <v>X902308627</v>
      </c>
      <c r="V24" s="5" t="str">
        <f>IFERROR(__xludf.DUMMYFUNCTION("""COMPUTED_VALUE"""),"K4217052")</f>
        <v>K4217052</v>
      </c>
      <c r="W24" s="5" t="str">
        <f>IFERROR(__xludf.DUMMYFUNCTION("""COMPUTED_VALUE"""),"Pendidikan Bahasa Jawa")</f>
        <v>Pendidikan Bahasa Jawa</v>
      </c>
      <c r="X24" s="5" t="str">
        <f>IFERROR(__xludf.DUMMYFUNCTION("""COMPUTED_VALUE"""),"UNIVERSITAS SEBELAS MARET")</f>
        <v>UNIVERSITAS SEBELAS MARET</v>
      </c>
      <c r="Y24" s="5" t="str">
        <f>IFERROR(__xludf.DUMMYFUNCTION("""COMPUTED_VALUE"""),"-")</f>
        <v>-</v>
      </c>
      <c r="Z24" s="5"/>
      <c r="AA24" s="5"/>
      <c r="AB24" s="5"/>
    </row>
    <row r="25" hidden="1">
      <c r="A25" s="4">
        <f>IFERROR(__xludf.DUMMYFUNCTION("""COMPUTED_VALUE"""),46231.535577152776)</f>
        <v>46231.53558</v>
      </c>
      <c r="B25" s="5" t="str">
        <f>IFERROR(__xludf.DUMMYFUNCTION("""COMPUTED_VALUE"""),"firdaauliashalihah@gmail.com")</f>
        <v>firdaauliashalihah@gmail.com</v>
      </c>
      <c r="C25" s="5" t="str">
        <f>IFERROR(__xludf.DUMMYFUNCTION("""COMPUTED_VALUE"""),"Firda Aulia Shalihah, S.Pd., Gr.")</f>
        <v>Firda Aulia Shalihah, S.Pd., Gr.</v>
      </c>
      <c r="D25" s="5">
        <f>IFERROR(__xludf.DUMMYFUNCTION("""COMPUTED_VALUE"""),7.000237077E9)</f>
        <v>7000237077</v>
      </c>
      <c r="E25" s="5" t="str">
        <f>IFERROR(__xludf.DUMMYFUNCTION("""COMPUTED_VALUE"""),"0838-9183-0300")</f>
        <v>0838-9183-0300</v>
      </c>
      <c r="F25" s="7">
        <f>IFERROR(__xludf.DUMMYFUNCTION("""COMPUTED_VALUE"""),36124.0)</f>
        <v>36124</v>
      </c>
      <c r="G25" s="5" t="str">
        <f>IFERROR(__xludf.DUMMYFUNCTION("""COMPUTED_VALUE"""),"Pendidikan Bahasa dan Sastra Indonesia")</f>
        <v>Pendidikan Bahasa dan Sastra Indonesia</v>
      </c>
      <c r="H25" s="5" t="str">
        <f>IFERROR(__xludf.DUMMYFUNCTION("""COMPUTED_VALUE"""),"Universitas Jember")</f>
        <v>Universitas Jember</v>
      </c>
      <c r="I25" s="5" t="str">
        <f>IFERROR(__xludf.DUMMYFUNCTION("""COMPUTED_VALUE"""),"Bahasa Indonesia")</f>
        <v>Bahasa Indonesia</v>
      </c>
      <c r="J25" s="5" t="str">
        <f>IFERROR(__xludf.DUMMYFUNCTION("""COMPUTED_VALUE"""),"PPG Calon Guru Gelombang 2 Tahun 2024")</f>
        <v>PPG Calon Guru Gelombang 2 Tahun 2024</v>
      </c>
      <c r="K25" s="5">
        <f>IFERROR(__xludf.DUMMYFUNCTION("""COMPUTED_VALUE"""),2025.0)</f>
        <v>2025</v>
      </c>
      <c r="L25" s="8" t="str">
        <f>IFERROR(__xludf.DUMMYFUNCTION("""COMPUTED_VALUE"""),"3.82")</f>
        <v>3.82</v>
      </c>
      <c r="M25" s="5" t="str">
        <f>IFERROR(__xludf.DUMMYFUNCTION("""COMPUTED_VALUE"""),"3.96")</f>
        <v>3.96</v>
      </c>
      <c r="N25" s="5" t="str">
        <f>IFERROR(__xludf.DUMMYFUNCTION("""COMPUTED_VALUE"""),"Kabupaten Bondowoso, Jawa Timur")</f>
        <v>Kabupaten Bondowoso, Jawa Timur</v>
      </c>
      <c r="O25" s="5" t="str">
        <f>IFERROR(__xludf.DUMMYFUNCTION("""COMPUTED_VALUE"""),"Tidak")</f>
        <v>Tidak</v>
      </c>
      <c r="P25" s="5" t="str">
        <f>IFERROR(__xludf.DUMMYFUNCTION("""COMPUTED_VALUE"""),"Tenaga pendampingan pembelajaran mata Pelajaran Bahasa Indonesia")</f>
        <v>Tenaga pendampingan pembelajaran mata Pelajaran Bahasa Indonesia</v>
      </c>
      <c r="Q25" s="5" t="str">
        <f>IFERROR(__xludf.DUMMYFUNCTION("""COMPUTED_VALUE"""),"Kabupaten Jepara, Jawa Tengah")</f>
        <v>Kabupaten Jepara, Jawa Tengah</v>
      </c>
      <c r="R25" s="11" t="str">
        <f>IFERROR(__xludf.DUMMYFUNCTION("""COMPUTED_VALUE"""),"https://drive.google.com/drive/folders/1tEAq9LnaQpzTD0-eTxuLY8gkiO9MuXKQ?usp=sharing")</f>
        <v>https://drive.google.com/drive/folders/1tEAq9LnaQpzTD0-eTxuLY8gkiO9MuXKQ?usp=sharing</v>
      </c>
      <c r="S25" s="11" t="str">
        <f>IFERROR(__xludf.DUMMYFUNCTION("""COMPUTED_VALUE"""),"https://drive.google.com/file/d/14HJ3UJHAzqXiOJWas24_Koh5HDncUtR-/view?usp=sharing")</f>
        <v>https://drive.google.com/file/d/14HJ3UJHAzqXiOJWas24_Koh5HDncUtR-/view?usp=sharing</v>
      </c>
      <c r="T25" s="5" t="str">
        <f>IFERROR(__xludf.DUMMYFUNCTION("""COMPUTED_VALUE"""),"Alumni S1 FKIP UNS yang telah lulus PPG Calon Guru/Prajabatan bukan di FKIP UNS")</f>
        <v>Alumni S1 FKIP UNS yang telah lulus PPG Calon Guru/Prajabatan bukan di FKIP UNS</v>
      </c>
      <c r="U25" s="5"/>
      <c r="V25" s="5" t="str">
        <f>IFERROR(__xludf.DUMMYFUNCTION("""COMPUTED_VALUE"""),"160210402005")</f>
        <v>160210402005</v>
      </c>
      <c r="W25" s="5" t="str">
        <f>IFERROR(__xludf.DUMMYFUNCTION("""COMPUTED_VALUE"""),"Pendidikan Bahasa dan Sastra Indonesia")</f>
        <v>Pendidikan Bahasa dan Sastra Indonesia</v>
      </c>
      <c r="X25" s="5" t="str">
        <f>IFERROR(__xludf.DUMMYFUNCTION("""COMPUTED_VALUE"""),"Universitas Jember")</f>
        <v>Universitas Jember</v>
      </c>
      <c r="Y25" s="5" t="str">
        <f>IFERROR(__xludf.DUMMYFUNCTION("""COMPUTED_VALUE"""),"240211920199")</f>
        <v>240211920199</v>
      </c>
      <c r="Z25" s="5"/>
      <c r="AA25" s="5"/>
      <c r="AB25" s="5"/>
    </row>
    <row r="26" hidden="1">
      <c r="A26" s="4">
        <f>IFERROR(__xludf.DUMMYFUNCTION("""COMPUTED_VALUE"""),46231.53763591435)</f>
        <v>46231.53764</v>
      </c>
      <c r="B26" s="5" t="str">
        <f>IFERROR(__xludf.DUMMYFUNCTION("""COMPUTED_VALUE"""),"nur116775@gmail.com")</f>
        <v>nur116775@gmail.com</v>
      </c>
      <c r="C26" s="5" t="str">
        <f>IFERROR(__xludf.DUMMYFUNCTION("""COMPUTED_VALUE"""),"Nur Awaliyah, S.Pd")</f>
        <v>Nur Awaliyah, S.Pd</v>
      </c>
      <c r="D26" s="5">
        <f>IFERROR(__xludf.DUMMYFUNCTION("""COMPUTED_VALUE"""),7.000046967E9)</f>
        <v>7000046967</v>
      </c>
      <c r="E26" s="5" t="str">
        <f>IFERROR(__xludf.DUMMYFUNCTION("""COMPUTED_VALUE"""),"08813904359")</f>
        <v>08813904359</v>
      </c>
      <c r="F26" s="7">
        <f>IFERROR(__xludf.DUMMYFUNCTION("""COMPUTED_VALUE"""),35739.0)</f>
        <v>35739</v>
      </c>
      <c r="G26" s="5" t="str">
        <f>IFERROR(__xludf.DUMMYFUNCTION("""COMPUTED_VALUE"""),"S1 Tadris Bahasa Inggris")</f>
        <v>S1 Tadris Bahasa Inggris</v>
      </c>
      <c r="H26" s="5" t="str">
        <f>IFERROR(__xludf.DUMMYFUNCTION("""COMPUTED_VALUE"""),"Universitas Islam Negeri Salatiga")</f>
        <v>Universitas Islam Negeri Salatiga</v>
      </c>
      <c r="I26" s="5" t="str">
        <f>IFERROR(__xludf.DUMMYFUNCTION("""COMPUTED_VALUE"""),"Bahasa Inggris")</f>
        <v>Bahasa Inggris</v>
      </c>
      <c r="J26" s="5" t="str">
        <f>IFERROR(__xludf.DUMMYFUNCTION("""COMPUTED_VALUE"""),"PPG Prajabatan Gelombang 2 Tahun 2022")</f>
        <v>PPG Prajabatan Gelombang 2 Tahun 2022</v>
      </c>
      <c r="K26" s="5">
        <f>IFERROR(__xludf.DUMMYFUNCTION("""COMPUTED_VALUE"""),2023.0)</f>
        <v>2023</v>
      </c>
      <c r="L26" s="8" t="str">
        <f>IFERROR(__xludf.DUMMYFUNCTION("""COMPUTED_VALUE"""),"3.74")</f>
        <v>3.74</v>
      </c>
      <c r="M26" s="5" t="str">
        <f>IFERROR(__xludf.DUMMYFUNCTION("""COMPUTED_VALUE"""),"-")</f>
        <v>-</v>
      </c>
      <c r="N26" s="5" t="str">
        <f>IFERROR(__xludf.DUMMYFUNCTION("""COMPUTED_VALUE"""),"Kota Salatiga, Jawa Tengah")</f>
        <v>Kota Salatiga, Jawa Tengah</v>
      </c>
      <c r="O26" s="5" t="str">
        <f>IFERROR(__xludf.DUMMYFUNCTION("""COMPUTED_VALUE"""),"Tidak")</f>
        <v>Tidak</v>
      </c>
      <c r="P26" s="5" t="str">
        <f>IFERROR(__xludf.DUMMYFUNCTION("""COMPUTED_VALUE"""),"Tenaga pendampingan pembelajaran mata Pelajaran Bahasa Inggris")</f>
        <v>Tenaga pendampingan pembelajaran mata Pelajaran Bahasa Inggris</v>
      </c>
      <c r="Q26" s="5" t="str">
        <f>IFERROR(__xludf.DUMMYFUNCTION("""COMPUTED_VALUE"""),"Kabupaten Jepara, Jawa Tengah")</f>
        <v>Kabupaten Jepara, Jawa Tengah</v>
      </c>
      <c r="R26" s="11" t="str">
        <f>IFERROR(__xludf.DUMMYFUNCTION("""COMPUTED_VALUE"""),"https://drive.google.com/drive/folders/1k_AcGyq3Q6qsc9WEwa0jYfv1W0X4zc2g?usp=sharing")</f>
        <v>https://drive.google.com/drive/folders/1k_AcGyq3Q6qsc9WEwa0jYfv1W0X4zc2g?usp=sharing</v>
      </c>
      <c r="S26" s="11" t="str">
        <f>IFERROR(__xludf.DUMMYFUNCTION("""COMPUTED_VALUE"""),"https://drive.google.com/drive/folders/1hp2AsPIKeEgMhUWbzwgDRHlp34wSTNCN?usp=sharing")</f>
        <v>https://drive.google.com/drive/folders/1hp2AsPIKeEgMhUWbzwgDRHlp34wSTNCN?usp=sharing</v>
      </c>
      <c r="T26" s="5" t="str">
        <f>IFERROR(__xludf.DUMMYFUNCTION("""COMPUTED_VALUE"""),"Alumni S1 FKIP UNS yang telah lulus PPG Calon Guru/Prajabatan bukan di FKIP UNS")</f>
        <v>Alumni S1 FKIP UNS yang telah lulus PPG Calon Guru/Prajabatan bukan di FKIP UNS</v>
      </c>
      <c r="U26" s="5"/>
      <c r="V26" s="5" t="str">
        <f>IFERROR(__xludf.DUMMYFUNCTION("""COMPUTED_VALUE"""),"23030150077")</f>
        <v>23030150077</v>
      </c>
      <c r="W26" s="5" t="str">
        <f>IFERROR(__xludf.DUMMYFUNCTION("""COMPUTED_VALUE"""),"S1 Tadris Bahasa Inggris")</f>
        <v>S1 Tadris Bahasa Inggris</v>
      </c>
      <c r="X26" s="5" t="str">
        <f>IFERROR(__xludf.DUMMYFUNCTION("""COMPUTED_VALUE"""),"Universitas Negeri Semarang")</f>
        <v>Universitas Negeri Semarang</v>
      </c>
      <c r="Y26" s="5" t="str">
        <f>IFERROR(__xludf.DUMMYFUNCTION("""COMPUTED_VALUE"""),"2201022236")</f>
        <v>2201022236</v>
      </c>
      <c r="Z26" s="5"/>
      <c r="AA26" s="5"/>
      <c r="AB26" s="5"/>
    </row>
    <row r="27" hidden="1">
      <c r="A27" s="4">
        <f>IFERROR(__xludf.DUMMYFUNCTION("""COMPUTED_VALUE"""),46231.54861077546)</f>
        <v>46231.54861</v>
      </c>
      <c r="B27" s="5" t="str">
        <f>IFERROR(__xludf.DUMMYFUNCTION("""COMPUTED_VALUE"""),"imamsetiawan101010@gmail.com")</f>
        <v>imamsetiawan101010@gmail.com</v>
      </c>
      <c r="C27" s="5" t="str">
        <f>IFERROR(__xludf.DUMMYFUNCTION("""COMPUTED_VALUE"""),"Imam Setiawan, S.Pd., Gr., M.Pd.")</f>
        <v>Imam Setiawan, S.Pd., Gr., M.Pd.</v>
      </c>
      <c r="D27" s="5">
        <f>IFERROR(__xludf.DUMMYFUNCTION("""COMPUTED_VALUE"""),7.000157175E9)</f>
        <v>7000157175</v>
      </c>
      <c r="E27" s="5" t="str">
        <f>IFERROR(__xludf.DUMMYFUNCTION("""COMPUTED_VALUE"""),"085159559810")</f>
        <v>085159559810</v>
      </c>
      <c r="F27" s="7">
        <f>IFERROR(__xludf.DUMMYFUNCTION("""COMPUTED_VALUE"""),36078.0)</f>
        <v>36078</v>
      </c>
      <c r="G27" s="5" t="str">
        <f>IFERROR(__xludf.DUMMYFUNCTION("""COMPUTED_VALUE"""),"Pendidikan Biologi ")</f>
        <v>Pendidikan Biologi </v>
      </c>
      <c r="H27" s="5" t="str">
        <f>IFERROR(__xludf.DUMMYFUNCTION("""COMPUTED_VALUE"""),"UMS")</f>
        <v>UMS</v>
      </c>
      <c r="I27" s="5" t="str">
        <f>IFERROR(__xludf.DUMMYFUNCTION("""COMPUTED_VALUE"""),"Ilmu Pengetahuan Alam (IPA)")</f>
        <v>Ilmu Pengetahuan Alam (IPA)</v>
      </c>
      <c r="J27" s="5" t="str">
        <f>IFERROR(__xludf.DUMMYFUNCTION("""COMPUTED_VALUE"""),"PPG Prajabatan Gelombang 1 Tahun 2023")</f>
        <v>PPG Prajabatan Gelombang 1 Tahun 2023</v>
      </c>
      <c r="K27" s="5">
        <f>IFERROR(__xludf.DUMMYFUNCTION("""COMPUTED_VALUE"""),2024.0)</f>
        <v>2024</v>
      </c>
      <c r="L27" s="8" t="str">
        <f>IFERROR(__xludf.DUMMYFUNCTION("""COMPUTED_VALUE"""),"3.38")</f>
        <v>3.38</v>
      </c>
      <c r="M27" s="5" t="str">
        <f>IFERROR(__xludf.DUMMYFUNCTION("""COMPUTED_VALUE"""),"3.94")</f>
        <v>3.94</v>
      </c>
      <c r="N27" s="5" t="str">
        <f>IFERROR(__xludf.DUMMYFUNCTION("""COMPUTED_VALUE"""),"Boyolali, Jawa Tengah ")</f>
        <v>Boyolali, Jawa Tengah </v>
      </c>
      <c r="O27" s="5" t="str">
        <f>IFERROR(__xludf.DUMMYFUNCTION("""COMPUTED_VALUE"""),"Tidak")</f>
        <v>Tidak</v>
      </c>
      <c r="P27" s="5" t="str">
        <f>IFERROR(__xludf.DUMMYFUNCTION("""COMPUTED_VALUE"""),"Tenaga pendampingan pembelajaran mata Pelajaran Ilmu Pengetahuan Alam (IPA) untuk mengajar mata pelajaran Biologi, Kimia, Fisika")</f>
        <v>Tenaga pendampingan pembelajaran mata Pelajaran Ilmu Pengetahuan Alam (IPA) untuk mengajar mata pelajaran Biologi, Kimia, Fisika</v>
      </c>
      <c r="Q27" s="5" t="str">
        <f>IFERROR(__xludf.DUMMYFUNCTION("""COMPUTED_VALUE"""),"Kabupaten Jepara, Jawa Tengah")</f>
        <v>Kabupaten Jepara, Jawa Tengah</v>
      </c>
      <c r="R27" s="11" t="str">
        <f>IFERROR(__xludf.DUMMYFUNCTION("""COMPUTED_VALUE"""),"https://drive.google.com/drive/folders/1gZ-dtO59v_zpZMFk_rlSncfOBy3CNMlI")</f>
        <v>https://drive.google.com/drive/folders/1gZ-dtO59v_zpZMFk_rlSncfOBy3CNMlI</v>
      </c>
      <c r="S27" s="11" t="str">
        <f>IFERROR(__xludf.DUMMYFUNCTION("""COMPUTED_VALUE"""),"https://drive.google.com/drive/folders/1ziBRYwAgtkkyPnTwpaQQlUVLoINNFHrH")</f>
        <v>https://drive.google.com/drive/folders/1ziBRYwAgtkkyPnTwpaQQlUVLoINNFHrH</v>
      </c>
      <c r="T27" s="5" t="str">
        <f>IFERROR(__xludf.DUMMYFUNCTION("""COMPUTED_VALUE"""),"Alumni PPG Calon Guru / Prajabatan FKIP UNS")</f>
        <v>Alumni PPG Calon Guru / Prajabatan FKIP UNS</v>
      </c>
      <c r="U27" s="5" t="str">
        <f>IFERROR(__xludf.DUMMYFUNCTION("""COMPUTED_VALUE"""),"X902308431")</f>
        <v>X902308431</v>
      </c>
      <c r="V27" s="5" t="str">
        <f>IFERROR(__xludf.DUMMYFUNCTION("""COMPUTED_VALUE"""),"A420170009")</f>
        <v>A420170009</v>
      </c>
      <c r="W27" s="5" t="str">
        <f>IFERROR(__xludf.DUMMYFUNCTION("""COMPUTED_VALUE"""),"Pendidikan Biologi ")</f>
        <v>Pendidikan Biologi </v>
      </c>
      <c r="X27" s="5" t="str">
        <f>IFERROR(__xludf.DUMMYFUNCTION("""COMPUTED_VALUE"""),"UNS")</f>
        <v>UNS</v>
      </c>
      <c r="Y27" s="5" t="str">
        <f>IFERROR(__xludf.DUMMYFUNCTION("""COMPUTED_VALUE"""),"X902308431")</f>
        <v>X902308431</v>
      </c>
      <c r="Z27" s="5"/>
      <c r="AA27" s="5"/>
      <c r="AB27" s="5"/>
    </row>
    <row r="28" hidden="1">
      <c r="A28" s="4">
        <f>IFERROR(__xludf.DUMMYFUNCTION("""COMPUTED_VALUE"""),46231.566069942135)</f>
        <v>46231.56607</v>
      </c>
      <c r="B28" s="5" t="str">
        <f>IFERROR(__xludf.DUMMYFUNCTION("""COMPUTED_VALUE"""),"mustofanuril71@gmail.com")</f>
        <v>mustofanuril71@gmail.com</v>
      </c>
      <c r="C28" s="5" t="str">
        <f>IFERROR(__xludf.DUMMYFUNCTION("""COMPUTED_VALUE"""),"NURIL MUSTOFA, S.E., Gr.")</f>
        <v>NURIL MUSTOFA, S.E., Gr.</v>
      </c>
      <c r="D28" s="5">
        <f>IFERROR(__xludf.DUMMYFUNCTION("""COMPUTED_VALUE"""),7.000330445E9)</f>
        <v>7000330445</v>
      </c>
      <c r="E28" s="5" t="str">
        <f>IFERROR(__xludf.DUMMYFUNCTION("""COMPUTED_VALUE"""),"08996579665")</f>
        <v>08996579665</v>
      </c>
      <c r="F28" s="7">
        <f>IFERROR(__xludf.DUMMYFUNCTION("""COMPUTED_VALUE"""),37538.0)</f>
        <v>37538</v>
      </c>
      <c r="G28" s="5" t="str">
        <f>IFERROR(__xludf.DUMMYFUNCTION("""COMPUTED_VALUE"""),"Akuntansi")</f>
        <v>Akuntansi</v>
      </c>
      <c r="H28" s="5" t="str">
        <f>IFERROR(__xludf.DUMMYFUNCTION("""COMPUTED_VALUE"""),"Universitas Negeri Semarang")</f>
        <v>Universitas Negeri Semarang</v>
      </c>
      <c r="I28" s="5" t="str">
        <f>IFERROR(__xludf.DUMMYFUNCTION("""COMPUTED_VALUE"""),"Akuntansi dan Keuangan")</f>
        <v>Akuntansi dan Keuangan</v>
      </c>
      <c r="J28" s="5" t="str">
        <f>IFERROR(__xludf.DUMMYFUNCTION("""COMPUTED_VALUE"""),"PPG Calon Guru Gelombang 2 Tahun 2024")</f>
        <v>PPG Calon Guru Gelombang 2 Tahun 2024</v>
      </c>
      <c r="K28" s="5">
        <f>IFERROR(__xludf.DUMMYFUNCTION("""COMPUTED_VALUE"""),2025.0)</f>
        <v>2025</v>
      </c>
      <c r="L28" s="8" t="str">
        <f>IFERROR(__xludf.DUMMYFUNCTION("""COMPUTED_VALUE"""),"3.77")</f>
        <v>3.77</v>
      </c>
      <c r="M28" s="5" t="str">
        <f>IFERROR(__xludf.DUMMYFUNCTION("""COMPUTED_VALUE"""),"3.95")</f>
        <v>3.95</v>
      </c>
      <c r="N28" s="5" t="str">
        <f>IFERROR(__xludf.DUMMYFUNCTION("""COMPUTED_VALUE"""),"Kabupaten Jepara, Jawa Tengah")</f>
        <v>Kabupaten Jepara, Jawa Tengah</v>
      </c>
      <c r="O28" s="5" t="str">
        <f>IFERROR(__xludf.DUMMYFUNCTION("""COMPUTED_VALUE"""),"Tidak")</f>
        <v>Tidak</v>
      </c>
      <c r="P28" s="5" t="str">
        <f>IFERROR(__xludf.DUMMYFUNCTION("""COMPUTED_VALUE"""),"Tenaga pendampingan pembelajaran mata Pelajaran Ilmu Pengetahuan Sosial (IPS) untuk mengajar mata pelajaran Sosiologi, Ekonomi, Geografi, dan Sejarah")</f>
        <v>Tenaga pendampingan pembelajaran mata Pelajaran Ilmu Pengetahuan Sosial (IPS) untuk mengajar mata pelajaran Sosiologi, Ekonomi, Geografi, dan Sejarah</v>
      </c>
      <c r="Q28" s="5" t="str">
        <f>IFERROR(__xludf.DUMMYFUNCTION("""COMPUTED_VALUE"""),"Kabupaten Jepara, Jawa Tengah")</f>
        <v>Kabupaten Jepara, Jawa Tengah</v>
      </c>
      <c r="R28" s="11" t="str">
        <f>IFERROR(__xludf.DUMMYFUNCTION("""COMPUTED_VALUE"""),"https://drive.google.com/drive/folders/1bnp3dRme-Dr3vc9InIaUR0cB0yXpXWIB?usp=sharing")</f>
        <v>https://drive.google.com/drive/folders/1bnp3dRme-Dr3vc9InIaUR0cB0yXpXWIB?usp=sharing</v>
      </c>
      <c r="S28" s="11" t="str">
        <f>IFERROR(__xludf.DUMMYFUNCTION("""COMPUTED_VALUE"""),"https://drive.google.com/drive/folders/18O0MONVMBSmYlQuiTTTxKi2Ty4RuE13V?usp=sharing")</f>
        <v>https://drive.google.com/drive/folders/18O0MONVMBSmYlQuiTTTxKi2Ty4RuE13V?usp=sharing</v>
      </c>
      <c r="T28" s="5" t="str">
        <f>IFERROR(__xludf.DUMMYFUNCTION("""COMPUTED_VALUE"""),"Alumni PPG Calon Guru / Prajabatan FKIP UNS")</f>
        <v>Alumni PPG Calon Guru / Prajabatan FKIP UNS</v>
      </c>
      <c r="U28" s="5" t="str">
        <f>IFERROR(__xludf.DUMMYFUNCTION("""COMPUTED_VALUE"""),"X942408355")</f>
        <v>X942408355</v>
      </c>
      <c r="V28" s="5" t="str">
        <f>IFERROR(__xludf.DUMMYFUNCTION("""COMPUTED_VALUE"""),"-")</f>
        <v>-</v>
      </c>
      <c r="W28" s="5" t="str">
        <f>IFERROR(__xludf.DUMMYFUNCTION("""COMPUTED_VALUE"""),"-")</f>
        <v>-</v>
      </c>
      <c r="X28" s="5" t="str">
        <f>IFERROR(__xludf.DUMMYFUNCTION("""COMPUTED_VALUE"""),"-")</f>
        <v>-</v>
      </c>
      <c r="Y28" s="5" t="str">
        <f>IFERROR(__xludf.DUMMYFUNCTION("""COMPUTED_VALUE"""),"-")</f>
        <v>-</v>
      </c>
      <c r="Z28" s="5"/>
      <c r="AA28" s="5"/>
      <c r="AB28" s="5"/>
    </row>
    <row r="29" hidden="1">
      <c r="A29" s="4">
        <f>IFERROR(__xludf.DUMMYFUNCTION("""COMPUTED_VALUE"""),46231.608606539354)</f>
        <v>46231.60861</v>
      </c>
      <c r="B29" s="5" t="str">
        <f>IFERROR(__xludf.DUMMYFUNCTION("""COMPUTED_VALUE"""),"allikafh12@gmail.com")</f>
        <v>allikafh12@gmail.com</v>
      </c>
      <c r="C29" s="5" t="str">
        <f>IFERROR(__xludf.DUMMYFUNCTION("""COMPUTED_VALUE"""),"Allika Fadiyah Hasna, S.Pd., Gr")</f>
        <v>Allika Fadiyah Hasna, S.Pd., Gr</v>
      </c>
      <c r="D29" s="5">
        <f>IFERROR(__xludf.DUMMYFUNCTION("""COMPUTED_VALUE"""),7.000166435E9)</f>
        <v>7000166435</v>
      </c>
      <c r="E29" s="5" t="str">
        <f>IFERROR(__xludf.DUMMYFUNCTION("""COMPUTED_VALUE"""),"0895422101144")</f>
        <v>0895422101144</v>
      </c>
      <c r="F29" s="7">
        <f>IFERROR(__xludf.DUMMYFUNCTION("""COMPUTED_VALUE"""),36893.0)</f>
        <v>36893</v>
      </c>
      <c r="G29" s="5" t="str">
        <f>IFERROR(__xludf.DUMMYFUNCTION("""COMPUTED_VALUE"""),"Pendidikan Bahasa dan Sastra Indonesia")</f>
        <v>Pendidikan Bahasa dan Sastra Indonesia</v>
      </c>
      <c r="H29" s="5" t="str">
        <f>IFERROR(__xludf.DUMMYFUNCTION("""COMPUTED_VALUE"""),"STKIP NU INDRAMAYU")</f>
        <v>STKIP NU INDRAMAYU</v>
      </c>
      <c r="I29" s="5" t="str">
        <f>IFERROR(__xludf.DUMMYFUNCTION("""COMPUTED_VALUE"""),"Bahasa Indonesia")</f>
        <v>Bahasa Indonesia</v>
      </c>
      <c r="J29" s="5" t="str">
        <f>IFERROR(__xludf.DUMMYFUNCTION("""COMPUTED_VALUE"""),"PPG Prajabatan Gelombang 2 Tahun 2023")</f>
        <v>PPG Prajabatan Gelombang 2 Tahun 2023</v>
      </c>
      <c r="K29" s="5">
        <f>IFERROR(__xludf.DUMMYFUNCTION("""COMPUTED_VALUE"""),2024.0)</f>
        <v>2024</v>
      </c>
      <c r="L29" s="8" t="str">
        <f>IFERROR(__xludf.DUMMYFUNCTION("""COMPUTED_VALUE"""),"3,71")</f>
        <v>3,71</v>
      </c>
      <c r="M29" s="5" t="str">
        <f>IFERROR(__xludf.DUMMYFUNCTION("""COMPUTED_VALUE"""),"4")</f>
        <v>4</v>
      </c>
      <c r="N29" s="5" t="str">
        <f>IFERROR(__xludf.DUMMYFUNCTION("""COMPUTED_VALUE"""),"Jepara, Jawa Tengah")</f>
        <v>Jepara, Jawa Tengah</v>
      </c>
      <c r="O29" s="5" t="str">
        <f>IFERROR(__xludf.DUMMYFUNCTION("""COMPUTED_VALUE"""),"Tidak")</f>
        <v>Tidak</v>
      </c>
      <c r="P29" s="5" t="str">
        <f>IFERROR(__xludf.DUMMYFUNCTION("""COMPUTED_VALUE"""),"Tenaga pendampingan pembelajaran mata Pelajaran Bahasa Indonesia")</f>
        <v>Tenaga pendampingan pembelajaran mata Pelajaran Bahasa Indonesia</v>
      </c>
      <c r="Q29" s="5" t="str">
        <f>IFERROR(__xludf.DUMMYFUNCTION("""COMPUTED_VALUE"""),"Kabupaten Jepara, Jawa Tengah")</f>
        <v>Kabupaten Jepara, Jawa Tengah</v>
      </c>
      <c r="R29" s="11" t="str">
        <f>IFERROR(__xludf.DUMMYFUNCTION("""COMPUTED_VALUE"""),"https://drive.google.com/drive/folders/1udkPKpK1nytH6b-EDpdcT6Od2JddCBv0?usp=drive_link")</f>
        <v>https://drive.google.com/drive/folders/1udkPKpK1nytH6b-EDpdcT6Od2JddCBv0?usp=drive_link</v>
      </c>
      <c r="S29" s="11" t="str">
        <f>IFERROR(__xludf.DUMMYFUNCTION("""COMPUTED_VALUE"""),"https://drive.google.com/file/d/1Eaqx9EWaqZ9QKFvtgEjSf1OH0v-fotPS/view?usp=drive_link")</f>
        <v>https://drive.google.com/file/d/1Eaqx9EWaqZ9QKFvtgEjSf1OH0v-fotPS/view?usp=drive_link</v>
      </c>
      <c r="T29" s="5" t="str">
        <f>IFERROR(__xludf.DUMMYFUNCTION("""COMPUTED_VALUE"""),"Alumni PPG Calon Guru / Prajabatan FKIP UNS")</f>
        <v>Alumni PPG Calon Guru / Prajabatan FKIP UNS</v>
      </c>
      <c r="U29" s="5" t="str">
        <f>IFERROR(__xludf.DUMMYFUNCTION("""COMPUTED_VALUE"""),"X9023083406")</f>
        <v>X9023083406</v>
      </c>
      <c r="V29" s="5" t="str">
        <f>IFERROR(__xludf.DUMMYFUNCTION("""COMPUTED_VALUE"""),"1888201031")</f>
        <v>1888201031</v>
      </c>
      <c r="W29" s="5" t="str">
        <f>IFERROR(__xludf.DUMMYFUNCTION("""COMPUTED_VALUE"""),"Pendidikan Bahasa dan Sastra Indonesia")</f>
        <v>Pendidikan Bahasa dan Sastra Indonesia</v>
      </c>
      <c r="X29" s="5" t="str">
        <f>IFERROR(__xludf.DUMMYFUNCTION("""COMPUTED_VALUE"""),"Universitas Sebelas Maret")</f>
        <v>Universitas Sebelas Maret</v>
      </c>
      <c r="Y29" s="5" t="str">
        <f>IFERROR(__xludf.DUMMYFUNCTION("""COMPUTED_VALUE"""),"X9023083406")</f>
        <v>X9023083406</v>
      </c>
      <c r="Z29" s="5"/>
      <c r="AA29" s="5"/>
      <c r="AB29" s="5"/>
    </row>
    <row r="30" hidden="1">
      <c r="A30" s="4">
        <f>IFERROR(__xludf.DUMMYFUNCTION("""COMPUTED_VALUE"""),46231.73962476852)</f>
        <v>46231.73962</v>
      </c>
      <c r="B30" s="5" t="str">
        <f>IFERROR(__xludf.DUMMYFUNCTION("""COMPUTED_VALUE"""),"mroyyan2001@gmail.com")</f>
        <v>mroyyan2001@gmail.com</v>
      </c>
      <c r="C30" s="5" t="str">
        <f>IFERROR(__xludf.DUMMYFUNCTION("""COMPUTED_VALUE"""),"Muhammad Royyan, S.Pd.,Gr.")</f>
        <v>Muhammad Royyan, S.Pd.,Gr.</v>
      </c>
      <c r="D30" s="5">
        <f>IFERROR(__xludf.DUMMYFUNCTION("""COMPUTED_VALUE"""),7.000291731E9)</f>
        <v>7000291731</v>
      </c>
      <c r="E30" s="5" t="str">
        <f>IFERROR(__xludf.DUMMYFUNCTION("""COMPUTED_VALUE"""),"085602502916")</f>
        <v>085602502916</v>
      </c>
      <c r="F30" s="7">
        <f>IFERROR(__xludf.DUMMYFUNCTION("""COMPUTED_VALUE"""),37099.0)</f>
        <v>37099</v>
      </c>
      <c r="G30" s="5" t="str">
        <f>IFERROR(__xludf.DUMMYFUNCTION("""COMPUTED_VALUE"""),"Pendidikan Informatika")</f>
        <v>Pendidikan Informatika</v>
      </c>
      <c r="H30" s="5" t="str">
        <f>IFERROR(__xludf.DUMMYFUNCTION("""COMPUTED_VALUE"""),"Universitas Ivet Semarang")</f>
        <v>Universitas Ivet Semarang</v>
      </c>
      <c r="I30" s="5" t="str">
        <f>IFERROR(__xludf.DUMMYFUNCTION("""COMPUTED_VALUE"""),"Informatika")</f>
        <v>Informatika</v>
      </c>
      <c r="J30" s="5" t="str">
        <f>IFERROR(__xludf.DUMMYFUNCTION("""COMPUTED_VALUE"""),"PPG Calon Guru Gelombang 2 Tahun 2024")</f>
        <v>PPG Calon Guru Gelombang 2 Tahun 2024</v>
      </c>
      <c r="K30" s="5">
        <f>IFERROR(__xludf.DUMMYFUNCTION("""COMPUTED_VALUE"""),2025.0)</f>
        <v>2025</v>
      </c>
      <c r="L30" s="8" t="str">
        <f>IFERROR(__xludf.DUMMYFUNCTION("""COMPUTED_VALUE"""),"3.8")</f>
        <v>3.8</v>
      </c>
      <c r="M30" s="5" t="str">
        <f>IFERROR(__xludf.DUMMYFUNCTION("""COMPUTED_VALUE"""),"3.98")</f>
        <v>3.98</v>
      </c>
      <c r="N30" s="5" t="str">
        <f>IFERROR(__xludf.DUMMYFUNCTION("""COMPUTED_VALUE"""),"Kabupaten Boyolali, Jawa Tengah")</f>
        <v>Kabupaten Boyolali, Jawa Tengah</v>
      </c>
      <c r="O30" s="5" t="str">
        <f>IFERROR(__xludf.DUMMYFUNCTION("""COMPUTED_VALUE"""),"Tidak")</f>
        <v>Tidak</v>
      </c>
      <c r="P30" s="5" t="str">
        <f>IFERROR(__xludf.DUMMYFUNCTION("""COMPUTED_VALUE"""),"Tenaga pendampingan pembelajaran mata pelajaran TIK")</f>
        <v>Tenaga pendampingan pembelajaran mata pelajaran TIK</v>
      </c>
      <c r="Q30" s="5" t="str">
        <f>IFERROR(__xludf.DUMMYFUNCTION("""COMPUTED_VALUE"""),"Kabupaten Jepara, Jawa Tengah")</f>
        <v>Kabupaten Jepara, Jawa Tengah</v>
      </c>
      <c r="R30" s="11" t="str">
        <f>IFERROR(__xludf.DUMMYFUNCTION("""COMPUTED_VALUE"""),"https://drive.google.com/drive/folders/106d7lnYeq5BLtiUnJLXPSLeoEJCTNUMm")</f>
        <v>https://drive.google.com/drive/folders/106d7lnYeq5BLtiUnJLXPSLeoEJCTNUMm</v>
      </c>
      <c r="S30" s="11" t="str">
        <f>IFERROR(__xludf.DUMMYFUNCTION("""COMPUTED_VALUE"""),"https://drive.google.com/drive/folders/1PQQxwZNzVypS3yGp4a0HX6Wmibz9ALEQ")</f>
        <v>https://drive.google.com/drive/folders/1PQQxwZNzVypS3yGp4a0HX6Wmibz9ALEQ</v>
      </c>
      <c r="T30" s="5" t="str">
        <f>IFERROR(__xludf.DUMMYFUNCTION("""COMPUTED_VALUE"""),"Alumni PPG Calon Guru / Prajabatan FKIP UNS")</f>
        <v>Alumni PPG Calon Guru / Prajabatan FKIP UNS</v>
      </c>
      <c r="U30" s="5" t="str">
        <f>IFERROR(__xludf.DUMMYFUNCTION("""COMPUTED_VALUE"""),"X942408324")</f>
        <v>X942408324</v>
      </c>
      <c r="V30" s="5" t="str">
        <f>IFERROR(__xludf.DUMMYFUNCTION("""COMPUTED_VALUE"""),"-")</f>
        <v>-</v>
      </c>
      <c r="W30" s="5" t="str">
        <f>IFERROR(__xludf.DUMMYFUNCTION("""COMPUTED_VALUE"""),"-")</f>
        <v>-</v>
      </c>
      <c r="X30" s="5" t="str">
        <f>IFERROR(__xludf.DUMMYFUNCTION("""COMPUTED_VALUE"""),"-")</f>
        <v>-</v>
      </c>
      <c r="Y30" s="5" t="str">
        <f>IFERROR(__xludf.DUMMYFUNCTION("""COMPUTED_VALUE"""),"-")</f>
        <v>-</v>
      </c>
      <c r="Z30" s="5"/>
      <c r="AA30" s="5"/>
      <c r="AB30" s="5"/>
    </row>
    <row r="31" hidden="1">
      <c r="A31" s="4">
        <f>IFERROR(__xludf.DUMMYFUNCTION("""COMPUTED_VALUE"""),46231.75788883102)</f>
        <v>46231.75789</v>
      </c>
      <c r="B31" s="5" t="str">
        <f>IFERROR(__xludf.DUMMYFUNCTION("""COMPUTED_VALUE"""),"rosliana.1113@guru.smp.belajar.id")</f>
        <v>rosliana.1113@guru.smp.belajar.id</v>
      </c>
      <c r="C31" s="5" t="str">
        <f>IFERROR(__xludf.DUMMYFUNCTION("""COMPUTED_VALUE"""),"Rosliana,S.Pd")</f>
        <v>Rosliana,S.Pd</v>
      </c>
      <c r="D31" s="5">
        <f>IFERROR(__xludf.DUMMYFUNCTION("""COMPUTED_VALUE"""),2.02200123884E11)</f>
        <v>202200123884</v>
      </c>
      <c r="E31" s="5" t="str">
        <f>IFERROR(__xludf.DUMMYFUNCTION("""COMPUTED_VALUE"""),"085395341807")</f>
        <v>085395341807</v>
      </c>
      <c r="F31" s="7">
        <f>IFERROR(__xludf.DUMMYFUNCTION("""COMPUTED_VALUE"""),34981.0)</f>
        <v>34981</v>
      </c>
      <c r="G31" s="5" t="str">
        <f>IFERROR(__xludf.DUMMYFUNCTION("""COMPUTED_VALUE"""),"Pendidikan Matematika")</f>
        <v>Pendidikan Matematika</v>
      </c>
      <c r="H31" s="5" t="str">
        <f>IFERROR(__xludf.DUMMYFUNCTION("""COMPUTED_VALUE"""),"Universitas Islam Negeri Alauddin Makassar")</f>
        <v>Universitas Islam Negeri Alauddin Makassar</v>
      </c>
      <c r="I31" s="5" t="str">
        <f>IFERROR(__xludf.DUMMYFUNCTION("""COMPUTED_VALUE"""),"Matematika")</f>
        <v>Matematika</v>
      </c>
      <c r="J31" s="5" t="str">
        <f>IFERROR(__xludf.DUMMYFUNCTION("""COMPUTED_VALUE"""),"PPG Calon Guru Gelombang 2 Tahun 2024")</f>
        <v>PPG Calon Guru Gelombang 2 Tahun 2024</v>
      </c>
      <c r="K31" s="5">
        <f>IFERROR(__xludf.DUMMYFUNCTION("""COMPUTED_VALUE"""),2025.0)</f>
        <v>2025</v>
      </c>
      <c r="L31" s="8" t="str">
        <f>IFERROR(__xludf.DUMMYFUNCTION("""COMPUTED_VALUE"""),"3.71")</f>
        <v>3.71</v>
      </c>
      <c r="M31" s="5" t="str">
        <f>IFERROR(__xludf.DUMMYFUNCTION("""COMPUTED_VALUE"""),"4.00")</f>
        <v>4.00</v>
      </c>
      <c r="N31" s="5" t="str">
        <f>IFERROR(__xludf.DUMMYFUNCTION("""COMPUTED_VALUE"""),"Kota Kendari, Sulawesi Tenggara")</f>
        <v>Kota Kendari, Sulawesi Tenggara</v>
      </c>
      <c r="O31" s="5" t="str">
        <f>IFERROR(__xludf.DUMMYFUNCTION("""COMPUTED_VALUE"""),"Tidak")</f>
        <v>Tidak</v>
      </c>
      <c r="P31" s="5" t="str">
        <f>IFERROR(__xludf.DUMMYFUNCTION("""COMPUTED_VALUE"""),"Tenaga pendampingan pembelajaran mata Pelajaran Matematika (umum)")</f>
        <v>Tenaga pendampingan pembelajaran mata Pelajaran Matematika (umum)</v>
      </c>
      <c r="Q31" s="5" t="str">
        <f>IFERROR(__xludf.DUMMYFUNCTION("""COMPUTED_VALUE"""),"Kabupaten Buton Tengah, Sulawesi Tenggara")</f>
        <v>Kabupaten Buton Tengah, Sulawesi Tenggara</v>
      </c>
      <c r="R31" s="5" t="str">
        <f>IFERROR(__xludf.DUMMYFUNCTION("""COMPUTED_VALUE"""),"-")</f>
        <v>-</v>
      </c>
      <c r="S31" s="11" t="str">
        <f>IFERROR(__xludf.DUMMYFUNCTION("""COMPUTED_VALUE"""),"https://drive.google.com/drive/folders/1yVRF9S8gmJh2aANEg8KX6ndxm6WfzhOc?usp=sharing")</f>
        <v>https://drive.google.com/drive/folders/1yVRF9S8gmJh2aANEg8KX6ndxm6WfzhOc?usp=sharing</v>
      </c>
      <c r="T31" s="5" t="str">
        <f>IFERROR(__xludf.DUMMYFUNCTION("""COMPUTED_VALUE"""),"Alumni PPG Calon Guru / Prajabatan FKIP UHO")</f>
        <v>Alumni PPG Calon Guru / Prajabatan FKIP UHO</v>
      </c>
      <c r="U31" s="5"/>
      <c r="V31" s="5"/>
      <c r="W31" s="5"/>
      <c r="X31" s="5"/>
      <c r="Y31" s="5" t="str">
        <f>IFERROR(__xludf.DUMMYFUNCTION("""COMPUTED_VALUE"""),"A3S224280")</f>
        <v>A3S224280</v>
      </c>
      <c r="Z31" s="5"/>
      <c r="AA31" s="5"/>
      <c r="AB31" s="5"/>
    </row>
    <row r="32" hidden="1">
      <c r="A32" s="4">
        <f>IFERROR(__xludf.DUMMYFUNCTION("""COMPUTED_VALUE"""),46231.84451763889)</f>
        <v>46231.84452</v>
      </c>
      <c r="B32" s="5" t="str">
        <f>IFERROR(__xludf.DUMMYFUNCTION("""COMPUTED_VALUE"""),"susiir1009@gmail.com")</f>
        <v>susiir1009@gmail.com</v>
      </c>
      <c r="C32" s="5" t="str">
        <f>IFERROR(__xludf.DUMMYFUNCTION("""COMPUTED_VALUE"""),"Susi Susanti, S.Pd.,Gr")</f>
        <v>Susi Susanti, S.Pd.,Gr</v>
      </c>
      <c r="D32" s="5">
        <f>IFERROR(__xludf.DUMMYFUNCTION("""COMPUTED_VALUE"""),7.000239728E9)</f>
        <v>7000239728</v>
      </c>
      <c r="E32" s="5" t="str">
        <f>IFERROR(__xludf.DUMMYFUNCTION("""COMPUTED_VALUE"""),"085256386808")</f>
        <v>085256386808</v>
      </c>
      <c r="F32" s="7">
        <f>IFERROR(__xludf.DUMMYFUNCTION("""COMPUTED_VALUE"""),37214.0)</f>
        <v>37214</v>
      </c>
      <c r="G32" s="5" t="str">
        <f>IFERROR(__xludf.DUMMYFUNCTION("""COMPUTED_VALUE"""),"Tadris matematika ")</f>
        <v>Tadris matematika </v>
      </c>
      <c r="H32" s="5" t="str">
        <f>IFERROR(__xludf.DUMMYFUNCTION("""COMPUTED_VALUE"""),"Institut Agama Islam Negeri (IAIN) Kendari")</f>
        <v>Institut Agama Islam Negeri (IAIN) Kendari</v>
      </c>
      <c r="I32" s="5" t="str">
        <f>IFERROR(__xludf.DUMMYFUNCTION("""COMPUTED_VALUE"""),"Matematika")</f>
        <v>Matematika</v>
      </c>
      <c r="J32" s="5" t="str">
        <f>IFERROR(__xludf.DUMMYFUNCTION("""COMPUTED_VALUE"""),"PPG Calon Guru Gelombang 2 Tahun 2024")</f>
        <v>PPG Calon Guru Gelombang 2 Tahun 2024</v>
      </c>
      <c r="K32" s="5">
        <f>IFERROR(__xludf.DUMMYFUNCTION("""COMPUTED_VALUE"""),2025.0)</f>
        <v>2025</v>
      </c>
      <c r="L32" s="8" t="str">
        <f>IFERROR(__xludf.DUMMYFUNCTION("""COMPUTED_VALUE"""),"3.59")</f>
        <v>3.59</v>
      </c>
      <c r="M32" s="5" t="str">
        <f>IFERROR(__xludf.DUMMYFUNCTION("""COMPUTED_VALUE"""),"4.00")</f>
        <v>4.00</v>
      </c>
      <c r="N32" s="5" t="str">
        <f>IFERROR(__xludf.DUMMYFUNCTION("""COMPUTED_VALUE"""),"Konawe Utara, Sulawesi Tenggara")</f>
        <v>Konawe Utara, Sulawesi Tenggara</v>
      </c>
      <c r="O32" s="5" t="str">
        <f>IFERROR(__xludf.DUMMYFUNCTION("""COMPUTED_VALUE"""),"Tidak")</f>
        <v>Tidak</v>
      </c>
      <c r="P32" s="5" t="str">
        <f>IFERROR(__xludf.DUMMYFUNCTION("""COMPUTED_VALUE"""),"Tenaga pendampingan pembelajaran mata Pelajaran Matematika (umum)")</f>
        <v>Tenaga pendampingan pembelajaran mata Pelajaran Matematika (umum)</v>
      </c>
      <c r="Q32" s="5" t="str">
        <f>IFERROR(__xludf.DUMMYFUNCTION("""COMPUTED_VALUE"""),"Kabupaten Buton Tengah, Sulawesi Tenggara")</f>
        <v>Kabupaten Buton Tengah, Sulawesi Tenggara</v>
      </c>
      <c r="R32" s="5" t="str">
        <f>IFERROR(__xludf.DUMMYFUNCTION("""COMPUTED_VALUE"""),"-")</f>
        <v>-</v>
      </c>
      <c r="S32" s="11" t="str">
        <f>IFERROR(__xludf.DUMMYFUNCTION("""COMPUTED_VALUE"""),"https://drive.google.com/file/d/1L2HeacFitfJzYYLnhEHSiZpRNZi6DIfH/view?usp=drivesdk")</f>
        <v>https://drive.google.com/file/d/1L2HeacFitfJzYYLnhEHSiZpRNZi6DIfH/view?usp=drivesdk</v>
      </c>
      <c r="T32" s="5" t="str">
        <f>IFERROR(__xludf.DUMMYFUNCTION("""COMPUTED_VALUE"""),"Alumni PPG Calon Guru / Prajabatan FKIP UHO")</f>
        <v>Alumni PPG Calon Guru / Prajabatan FKIP UHO</v>
      </c>
      <c r="U32" s="5"/>
      <c r="V32" s="5"/>
      <c r="W32" s="5"/>
      <c r="X32" s="5"/>
      <c r="Y32" s="5" t="str">
        <f>IFERROR(__xludf.DUMMYFUNCTION("""COMPUTED_VALUE"""),"A3S224286")</f>
        <v>A3S224286</v>
      </c>
      <c r="Z32" s="5"/>
      <c r="AA32" s="5"/>
      <c r="AB32" s="5"/>
    </row>
    <row r="33" hidden="1">
      <c r="A33" s="4">
        <f>IFERROR(__xludf.DUMMYFUNCTION("""COMPUTED_VALUE"""),46231.84842071759)</f>
        <v>46231.84842</v>
      </c>
      <c r="B33" s="5" t="str">
        <f>IFERROR(__xludf.DUMMYFUNCTION("""COMPUTED_VALUE"""),"sartikasarti161@gmail.com")</f>
        <v>sartikasarti161@gmail.com</v>
      </c>
      <c r="C33" s="5" t="str">
        <f>IFERROR(__xludf.DUMMYFUNCTION("""COMPUTED_VALUE"""),"Sartika,S.Pd., Gr.")</f>
        <v>Sartika,S.Pd., Gr.</v>
      </c>
      <c r="D33" s="5">
        <f>IFERROR(__xludf.DUMMYFUNCTION("""COMPUTED_VALUE"""),7.000143754E9)</f>
        <v>7000143754</v>
      </c>
      <c r="E33" s="5" t="str">
        <f>IFERROR(__xludf.DUMMYFUNCTION("""COMPUTED_VALUE"""),"085395374324")</f>
        <v>085395374324</v>
      </c>
      <c r="F33" s="7">
        <f>IFERROR(__xludf.DUMMYFUNCTION("""COMPUTED_VALUE"""),36870.0)</f>
        <v>36870</v>
      </c>
      <c r="G33" s="5" t="str">
        <f>IFERROR(__xludf.DUMMYFUNCTION("""COMPUTED_VALUE"""),"Pendidikan Bahasa dan Sastra Indonesia ")</f>
        <v>Pendidikan Bahasa dan Sastra Indonesia </v>
      </c>
      <c r="H33" s="5" t="str">
        <f>IFERROR(__xludf.DUMMYFUNCTION("""COMPUTED_VALUE"""),"Universitas Halu Oleo")</f>
        <v>Universitas Halu Oleo</v>
      </c>
      <c r="I33" s="5" t="str">
        <f>IFERROR(__xludf.DUMMYFUNCTION("""COMPUTED_VALUE"""),"Bahasa Indonesia")</f>
        <v>Bahasa Indonesia</v>
      </c>
      <c r="J33" s="5" t="str">
        <f>IFERROR(__xludf.DUMMYFUNCTION("""COMPUTED_VALUE"""),"PPG Prajabatan Gelombang 1 Tahun 2023")</f>
        <v>PPG Prajabatan Gelombang 1 Tahun 2023</v>
      </c>
      <c r="K33" s="5">
        <f>IFERROR(__xludf.DUMMYFUNCTION("""COMPUTED_VALUE"""),2024.0)</f>
        <v>2024</v>
      </c>
      <c r="L33" s="8" t="str">
        <f>IFERROR(__xludf.DUMMYFUNCTION("""COMPUTED_VALUE"""),"3.58")</f>
        <v>3.58</v>
      </c>
      <c r="M33" s="5" t="str">
        <f>IFERROR(__xludf.DUMMYFUNCTION("""COMPUTED_VALUE"""),"4.00")</f>
        <v>4.00</v>
      </c>
      <c r="N33" s="5" t="str">
        <f>IFERROR(__xludf.DUMMYFUNCTION("""COMPUTED_VALUE"""),"Kabupaten Muna, Sulawesi Tenggara ")</f>
        <v>Kabupaten Muna, Sulawesi Tenggara </v>
      </c>
      <c r="O33" s="5" t="str">
        <f>IFERROR(__xludf.DUMMYFUNCTION("""COMPUTED_VALUE"""),"Tidak")</f>
        <v>Tidak</v>
      </c>
      <c r="P33" s="5" t="str">
        <f>IFERROR(__xludf.DUMMYFUNCTION("""COMPUTED_VALUE"""),"Tenaga pendampingan pembelajaran mata Pelajaran Bahasa Indonesia")</f>
        <v>Tenaga pendampingan pembelajaran mata Pelajaran Bahasa Indonesia</v>
      </c>
      <c r="Q33" s="5" t="str">
        <f>IFERROR(__xludf.DUMMYFUNCTION("""COMPUTED_VALUE"""),"Kabupaten Buton Tengah, Sulawesi Tenggara")</f>
        <v>Kabupaten Buton Tengah, Sulawesi Tenggara</v>
      </c>
      <c r="R33" s="5" t="str">
        <f>IFERROR(__xludf.DUMMYFUNCTION("""COMPUTED_VALUE"""),"-")</f>
        <v>-</v>
      </c>
      <c r="S33" s="11" t="str">
        <f>IFERROR(__xludf.DUMMYFUNCTION("""COMPUTED_VALUE"""),"https://drive.google.com/file/d/11wzIy8pLPUhf9NFE6RP2ma53wXYu3e4C/view?usp=drivesdk")</f>
        <v>https://drive.google.com/file/d/11wzIy8pLPUhf9NFE6RP2ma53wXYu3e4C/view?usp=drivesdk</v>
      </c>
      <c r="T33" s="5" t="str">
        <f>IFERROR(__xludf.DUMMYFUNCTION("""COMPUTED_VALUE"""),"Alumni PPG Calon Guru / Prajabatan FKIP UHO")</f>
        <v>Alumni PPG Calon Guru / Prajabatan FKIP UHO</v>
      </c>
      <c r="U33" s="5"/>
      <c r="V33" s="5"/>
      <c r="W33" s="5"/>
      <c r="X33" s="5"/>
      <c r="Y33" s="5" t="str">
        <f>IFERROR(__xludf.DUMMYFUNCTION("""COMPUTED_VALUE"""),"A3S223076")</f>
        <v>A3S223076</v>
      </c>
      <c r="Z33" s="5"/>
      <c r="AA33" s="5"/>
      <c r="AB33" s="5"/>
    </row>
    <row r="34" hidden="1">
      <c r="A34" s="4">
        <f>IFERROR(__xludf.DUMMYFUNCTION("""COMPUTED_VALUE"""),46231.85709331019)</f>
        <v>46231.85709</v>
      </c>
      <c r="B34" s="5" t="str">
        <f>IFERROR(__xludf.DUMMYFUNCTION("""COMPUTED_VALUE"""),"fitawardani1301@gmail.com")</f>
        <v>fitawardani1301@gmail.com</v>
      </c>
      <c r="C34" s="5" t="str">
        <f>IFERROR(__xludf.DUMMYFUNCTION("""COMPUTED_VALUE"""),"Fita Wardani, S.Pd., Gr.")</f>
        <v>Fita Wardani, S.Pd., Gr.</v>
      </c>
      <c r="D34" s="5">
        <f>IFERROR(__xludf.DUMMYFUNCTION("""COMPUTED_VALUE"""),7.000145964E9)</f>
        <v>7000145964</v>
      </c>
      <c r="E34" s="5" t="str">
        <f>IFERROR(__xludf.DUMMYFUNCTION("""COMPUTED_VALUE"""),"081938900154")</f>
        <v>081938900154</v>
      </c>
      <c r="F34" s="7">
        <f>IFERROR(__xludf.DUMMYFUNCTION("""COMPUTED_VALUE"""),36538.0)</f>
        <v>36538</v>
      </c>
      <c r="G34" s="5" t="str">
        <f>IFERROR(__xludf.DUMMYFUNCTION("""COMPUTED_VALUE"""),"Pendidikan Bahasa dan Sastra Indonesia")</f>
        <v>Pendidikan Bahasa dan Sastra Indonesia</v>
      </c>
      <c r="H34" s="5" t="str">
        <f>IFERROR(__xludf.DUMMYFUNCTION("""COMPUTED_VALUE"""),"Universitas Halu Oleo")</f>
        <v>Universitas Halu Oleo</v>
      </c>
      <c r="I34" s="5" t="str">
        <f>IFERROR(__xludf.DUMMYFUNCTION("""COMPUTED_VALUE"""),"Bahasa Indonesia")</f>
        <v>Bahasa Indonesia</v>
      </c>
      <c r="J34" s="5" t="str">
        <f>IFERROR(__xludf.DUMMYFUNCTION("""COMPUTED_VALUE"""),"PPG Prajabatan Gelombang 1 Tahun 2023")</f>
        <v>PPG Prajabatan Gelombang 1 Tahun 2023</v>
      </c>
      <c r="K34" s="5">
        <f>IFERROR(__xludf.DUMMYFUNCTION("""COMPUTED_VALUE"""),2024.0)</f>
        <v>2024</v>
      </c>
      <c r="L34" s="8" t="str">
        <f>IFERROR(__xludf.DUMMYFUNCTION("""COMPUTED_VALUE"""),"3.46")</f>
        <v>3.46</v>
      </c>
      <c r="M34" s="5" t="str">
        <f>IFERROR(__xludf.DUMMYFUNCTION("""COMPUTED_VALUE"""),"4.00")</f>
        <v>4.00</v>
      </c>
      <c r="N34" s="5" t="str">
        <f>IFERROR(__xludf.DUMMYFUNCTION("""COMPUTED_VALUE"""),"Kabupaten Muna, Sulawesi Tenggara")</f>
        <v>Kabupaten Muna, Sulawesi Tenggara</v>
      </c>
      <c r="O34" s="5" t="str">
        <f>IFERROR(__xludf.DUMMYFUNCTION("""COMPUTED_VALUE"""),"Tidak")</f>
        <v>Tidak</v>
      </c>
      <c r="P34" s="5" t="str">
        <f>IFERROR(__xludf.DUMMYFUNCTION("""COMPUTED_VALUE"""),"Tenaga pendampingan pembelajaran mata Pelajaran Bahasa Indonesia")</f>
        <v>Tenaga pendampingan pembelajaran mata Pelajaran Bahasa Indonesia</v>
      </c>
      <c r="Q34" s="5" t="str">
        <f>IFERROR(__xludf.DUMMYFUNCTION("""COMPUTED_VALUE"""),"Kabupaten Buton Tengah, Sulawesi Tenggara")</f>
        <v>Kabupaten Buton Tengah, Sulawesi Tenggara</v>
      </c>
      <c r="R34" s="5" t="str">
        <f>IFERROR(__xludf.DUMMYFUNCTION("""COMPUTED_VALUE"""),"-")</f>
        <v>-</v>
      </c>
      <c r="S34" s="11" t="str">
        <f>IFERROR(__xludf.DUMMYFUNCTION("""COMPUTED_VALUE"""),"https://drive.google.com/drive/folders/1SNu-qFtK02OmLkQZ1AWo5DDVTH46tRqo")</f>
        <v>https://drive.google.com/drive/folders/1SNu-qFtK02OmLkQZ1AWo5DDVTH46tRqo</v>
      </c>
      <c r="T34" s="5" t="str">
        <f>IFERROR(__xludf.DUMMYFUNCTION("""COMPUTED_VALUE"""),"Alumni PPG Calon Guru / Prajabatan FKIP UHO")</f>
        <v>Alumni PPG Calon Guru / Prajabatan FKIP UHO</v>
      </c>
      <c r="U34" s="5"/>
      <c r="V34" s="5"/>
      <c r="W34" s="5"/>
      <c r="X34" s="5"/>
      <c r="Y34" s="5" t="str">
        <f>IFERROR(__xludf.DUMMYFUNCTION("""COMPUTED_VALUE"""),"A3S223069")</f>
        <v>A3S223069</v>
      </c>
      <c r="Z34" s="5"/>
      <c r="AA34" s="5"/>
      <c r="AB34" s="5"/>
    </row>
    <row r="35" hidden="1">
      <c r="A35" s="4">
        <f>IFERROR(__xludf.DUMMYFUNCTION("""COMPUTED_VALUE"""),46231.8693347338)</f>
        <v>46231.86933</v>
      </c>
      <c r="B35" s="5" t="str">
        <f>IFERROR(__xludf.DUMMYFUNCTION("""COMPUTED_VALUE"""),"ppg.adityahasan00828@program.belajar.id")</f>
        <v>ppg.adityahasan00828@program.belajar.id</v>
      </c>
      <c r="C35" s="5" t="str">
        <f>IFERROR(__xludf.DUMMYFUNCTION("""COMPUTED_VALUE"""),"Aditya Maulana Hasan, S.Pd., Gr.")</f>
        <v>Aditya Maulana Hasan, S.Pd., Gr.</v>
      </c>
      <c r="D35" s="5">
        <f>IFERROR(__xludf.DUMMYFUNCTION("""COMPUTED_VALUE"""),7.00014757E9)</f>
        <v>7000147570</v>
      </c>
      <c r="E35" s="5" t="str">
        <f>IFERROR(__xludf.DUMMYFUNCTION("""COMPUTED_VALUE"""),"088809402034")</f>
        <v>088809402034</v>
      </c>
      <c r="F35" s="7">
        <f>IFERROR(__xludf.DUMMYFUNCTION("""COMPUTED_VALUE"""),36759.0)</f>
        <v>36759</v>
      </c>
      <c r="G35" s="5" t="str">
        <f>IFERROR(__xludf.DUMMYFUNCTION("""COMPUTED_VALUE"""),"S-1 Pendidikan Pancasila dan Kewarganegaraan (PPKn)")</f>
        <v>S-1 Pendidikan Pancasila dan Kewarganegaraan (PPKn)</v>
      </c>
      <c r="H35" s="5" t="str">
        <f>IFERROR(__xludf.DUMMYFUNCTION("""COMPUTED_VALUE"""),"Universitas Slamet Riyadi Surakarta")</f>
        <v>Universitas Slamet Riyadi Surakarta</v>
      </c>
      <c r="I35" s="5" t="str">
        <f>IFERROR(__xludf.DUMMYFUNCTION("""COMPUTED_VALUE"""),"Pendidikan Pancasila dan Kewarganegaraan (PKn)")</f>
        <v>Pendidikan Pancasila dan Kewarganegaraan (PKn)</v>
      </c>
      <c r="J35" s="5" t="str">
        <f>IFERROR(__xludf.DUMMYFUNCTION("""COMPUTED_VALUE"""),"PPG Prajabatan Gelombang 2 Tahun 2023")</f>
        <v>PPG Prajabatan Gelombang 2 Tahun 2023</v>
      </c>
      <c r="K35" s="5">
        <f>IFERROR(__xludf.DUMMYFUNCTION("""COMPUTED_VALUE"""),2024.0)</f>
        <v>2024</v>
      </c>
      <c r="L35" s="8" t="str">
        <f>IFERROR(__xludf.DUMMYFUNCTION("""COMPUTED_VALUE"""),"3.93")</f>
        <v>3.93</v>
      </c>
      <c r="M35" s="5" t="str">
        <f>IFERROR(__xludf.DUMMYFUNCTION("""COMPUTED_VALUE"""),"3.91")</f>
        <v>3.91</v>
      </c>
      <c r="N35" s="5" t="str">
        <f>IFERROR(__xludf.DUMMYFUNCTION("""COMPUTED_VALUE"""),"Surakarta, Jawa Tengah")</f>
        <v>Surakarta, Jawa Tengah</v>
      </c>
      <c r="O35" s="5" t="str">
        <f>IFERROR(__xludf.DUMMYFUNCTION("""COMPUTED_VALUE"""),"Tidak")</f>
        <v>Tidak</v>
      </c>
      <c r="P35" s="5" t="str">
        <f>IFERROR(__xludf.DUMMYFUNCTION("""COMPUTED_VALUE"""),"Tenaga pendampingan pembelajaran mata Pelajaran Pendidikan Pancasila")</f>
        <v>Tenaga pendampingan pembelajaran mata Pelajaran Pendidikan Pancasila</v>
      </c>
      <c r="Q35" s="5" t="str">
        <f>IFERROR(__xludf.DUMMYFUNCTION("""COMPUTED_VALUE"""),"Kabupaten Jepara, Jawa Tengah")</f>
        <v>Kabupaten Jepara, Jawa Tengah</v>
      </c>
      <c r="R35" s="11" t="str">
        <f>IFERROR(__xludf.DUMMYFUNCTION("""COMPUTED_VALUE"""),"https://drive.google.com/drive/folders/1KQEjYEuRliiWwNZ-UeRxx7vH3kFna984?usp=drive_link")</f>
        <v>https://drive.google.com/drive/folders/1KQEjYEuRliiWwNZ-UeRxx7vH3kFna984?usp=drive_link</v>
      </c>
      <c r="S35" s="11" t="str">
        <f>IFERROR(__xludf.DUMMYFUNCTION("""COMPUTED_VALUE"""),"https://drive.google.com/file/d/1zV2figavABF53g88ty1zBwjNJ4TwwTWj/view?usp=drivesdk")</f>
        <v>https://drive.google.com/file/d/1zV2figavABF53g88ty1zBwjNJ4TwwTWj/view?usp=drivesdk</v>
      </c>
      <c r="T35" s="5" t="str">
        <f>IFERROR(__xludf.DUMMYFUNCTION("""COMPUTED_VALUE"""),"Alumni PPG Calon Guru / Prajabatan FKIP UNS")</f>
        <v>Alumni PPG Calon Guru / Prajabatan FKIP UNS</v>
      </c>
      <c r="U35" s="5" t="str">
        <f>IFERROR(__xludf.DUMMYFUNCTION("""COMPUTED_VALUE"""),"X9023083372")</f>
        <v>X9023083372</v>
      </c>
      <c r="V35" s="5" t="str">
        <f>IFERROR(__xludf.DUMMYFUNCTION("""COMPUTED_VALUE"""),"19510009")</f>
        <v>19510009</v>
      </c>
      <c r="W35" s="5" t="str">
        <f>IFERROR(__xludf.DUMMYFUNCTION("""COMPUTED_VALUE"""),"Universitas Slamet Riyadi Surakarta")</f>
        <v>Universitas Slamet Riyadi Surakarta</v>
      </c>
      <c r="X35" s="5" t="str">
        <f>IFERROR(__xludf.DUMMYFUNCTION("""COMPUTED_VALUE"""),"Universitas Sebelas Maret Surakarta (UNS)")</f>
        <v>Universitas Sebelas Maret Surakarta (UNS)</v>
      </c>
      <c r="Y35" s="5" t="str">
        <f>IFERROR(__xludf.DUMMYFUNCTION("""COMPUTED_VALUE"""),"-")</f>
        <v>-</v>
      </c>
      <c r="Z35" s="5"/>
      <c r="AA35" s="5"/>
      <c r="AB35" s="5"/>
    </row>
    <row r="36" hidden="1">
      <c r="A36" s="4">
        <f>IFERROR(__xludf.DUMMYFUNCTION("""COMPUTED_VALUE"""),46231.87480743056)</f>
        <v>46231.87481</v>
      </c>
      <c r="B36" s="5" t="str">
        <f>IFERROR(__xludf.DUMMYFUNCTION("""COMPUTED_VALUE"""),"tiwikhapsari55@gmail.com")</f>
        <v>tiwikhapsari55@gmail.com</v>
      </c>
      <c r="C36" s="5" t="str">
        <f>IFERROR(__xludf.DUMMYFUNCTION("""COMPUTED_VALUE"""),"Nur Pratiwi Yuga Hapsari, S.Pd,.Gr")</f>
        <v>Nur Pratiwi Yuga Hapsari, S.Pd,.Gr</v>
      </c>
      <c r="D36" s="5">
        <f>IFERROR(__xludf.DUMMYFUNCTION("""COMPUTED_VALUE"""),2.02500039736E11)</f>
        <v>202500039736</v>
      </c>
      <c r="E36" s="5" t="str">
        <f>IFERROR(__xludf.DUMMYFUNCTION("""COMPUTED_VALUE"""),"081393894231")</f>
        <v>081393894231</v>
      </c>
      <c r="F36" s="7">
        <f>IFERROR(__xludf.DUMMYFUNCTION("""COMPUTED_VALUE"""),35987.0)</f>
        <v>35987</v>
      </c>
      <c r="G36" s="5" t="str">
        <f>IFERROR(__xludf.DUMMYFUNCTION("""COMPUTED_VALUE"""),"Pendidikan Ekonomi")</f>
        <v>Pendidikan Ekonomi</v>
      </c>
      <c r="H36" s="5" t="str">
        <f>IFERROR(__xludf.DUMMYFUNCTION("""COMPUTED_VALUE"""),"Universitas Sebelas Maret ")</f>
        <v>Universitas Sebelas Maret </v>
      </c>
      <c r="I36" s="5" t="str">
        <f>IFERROR(__xludf.DUMMYFUNCTION("""COMPUTED_VALUE"""),"Ekonomi")</f>
        <v>Ekonomi</v>
      </c>
      <c r="J36" s="5" t="str">
        <f>IFERROR(__xludf.DUMMYFUNCTION("""COMPUTED_VALUE"""),"PPG Prajabatan Gelombang 2 Tahun 2022")</f>
        <v>PPG Prajabatan Gelombang 2 Tahun 2022</v>
      </c>
      <c r="K36" s="5">
        <f>IFERROR(__xludf.DUMMYFUNCTION("""COMPUTED_VALUE"""),2023.0)</f>
        <v>2023</v>
      </c>
      <c r="L36" s="8" t="str">
        <f>IFERROR(__xludf.DUMMYFUNCTION("""COMPUTED_VALUE"""),"3.46")</f>
        <v>3.46</v>
      </c>
      <c r="M36" s="5" t="str">
        <f>IFERROR(__xludf.DUMMYFUNCTION("""COMPUTED_VALUE"""),"3.85")</f>
        <v>3.85</v>
      </c>
      <c r="N36" s="5" t="str">
        <f>IFERROR(__xludf.DUMMYFUNCTION("""COMPUTED_VALUE"""),"Surakarta, Jawa Tengah")</f>
        <v>Surakarta, Jawa Tengah</v>
      </c>
      <c r="O36" s="5" t="str">
        <f>IFERROR(__xludf.DUMMYFUNCTION("""COMPUTED_VALUE"""),"Tidak")</f>
        <v>Tidak</v>
      </c>
      <c r="P36" s="5" t="str">
        <f>IFERROR(__xludf.DUMMYFUNCTION("""COMPUTED_VALUE"""),"Tenaga pendampingan pembelajaran mata Pelajaran Ilmu Pengetahuan Sosial (IPS) untuk mengajar mata pelajaran Sosiologi, Ekonomi, Geografi, dan Sejarah")</f>
        <v>Tenaga pendampingan pembelajaran mata Pelajaran Ilmu Pengetahuan Sosial (IPS) untuk mengajar mata pelajaran Sosiologi, Ekonomi, Geografi, dan Sejarah</v>
      </c>
      <c r="Q36" s="5" t="str">
        <f>IFERROR(__xludf.DUMMYFUNCTION("""COMPUTED_VALUE"""),"Kabupaten Jepara, Jawa Tengah")</f>
        <v>Kabupaten Jepara, Jawa Tengah</v>
      </c>
      <c r="R36" s="11" t="str">
        <f>IFERROR(__xludf.DUMMYFUNCTION("""COMPUTED_VALUE"""),"https://drive.google.com/drive/folders/1Eg6r0rlH0F6MAdubmYPJPFh87S0nvJrm")</f>
        <v>https://drive.google.com/drive/folders/1Eg6r0rlH0F6MAdubmYPJPFh87S0nvJrm</v>
      </c>
      <c r="S36" s="11" t="str">
        <f>IFERROR(__xludf.DUMMYFUNCTION("""COMPUTED_VALUE"""),"https://drive.google.com/drive/folders/1ZemobWCxQpWbWK-4F6mIDlYPJB6PQgHU")</f>
        <v>https://drive.google.com/drive/folders/1ZemobWCxQpWbWK-4F6mIDlYPJB6PQgHU</v>
      </c>
      <c r="T36" s="5" t="str">
        <f>IFERROR(__xludf.DUMMYFUNCTION("""COMPUTED_VALUE"""),"Alumni S1 FKIP UNS yang telah lulus PPG Calon Guru/Prajabatan bukan di FKIP UNS")</f>
        <v>Alumni S1 FKIP UNS yang telah lulus PPG Calon Guru/Prajabatan bukan di FKIP UNS</v>
      </c>
      <c r="U36" s="5"/>
      <c r="V36" s="5" t="str">
        <f>IFERROR(__xludf.DUMMYFUNCTION("""COMPUTED_VALUE"""),"K7616051")</f>
        <v>K7616051</v>
      </c>
      <c r="W36" s="5" t="str">
        <f>IFERROR(__xludf.DUMMYFUNCTION("""COMPUTED_VALUE"""),"Pendidikan Ekonomi")</f>
        <v>Pendidikan Ekonomi</v>
      </c>
      <c r="X36" s="5" t="str">
        <f>IFERROR(__xludf.DUMMYFUNCTION("""COMPUTED_VALUE"""),"Universitas Sebelas Maret")</f>
        <v>Universitas Sebelas Maret</v>
      </c>
      <c r="Y36" s="5" t="str">
        <f>IFERROR(__xludf.DUMMYFUNCTION("""COMPUTED_VALUE"""),"X9022084096")</f>
        <v>X9022084096</v>
      </c>
      <c r="Z36" s="5"/>
      <c r="AA36" s="5"/>
      <c r="AB36" s="5"/>
    </row>
    <row r="37" hidden="1">
      <c r="A37" s="4">
        <f>IFERROR(__xludf.DUMMYFUNCTION("""COMPUTED_VALUE"""),46231.88089446759)</f>
        <v>46231.88089</v>
      </c>
      <c r="B37" s="5" t="str">
        <f>IFERROR(__xludf.DUMMYFUNCTION("""COMPUTED_VALUE"""),"peserta.06995@ppg.belajar.id")</f>
        <v>peserta.06995@ppg.belajar.id</v>
      </c>
      <c r="C37" s="5" t="str">
        <f>IFERROR(__xludf.DUMMYFUNCTION("""COMPUTED_VALUE"""),"Listia Nuraini, S.Pd.,Gr")</f>
        <v>Listia Nuraini, S.Pd.,Gr</v>
      </c>
      <c r="D37" s="5">
        <f>IFERROR(__xludf.DUMMYFUNCTION("""COMPUTED_VALUE"""),7.000116289E9)</f>
        <v>7000116289</v>
      </c>
      <c r="E37" s="5" t="str">
        <f>IFERROR(__xludf.DUMMYFUNCTION("""COMPUTED_VALUE"""),"085840043140")</f>
        <v>085840043140</v>
      </c>
      <c r="F37" s="7">
        <f>IFERROR(__xludf.DUMMYFUNCTION("""COMPUTED_VALUE"""),36432.0)</f>
        <v>36432</v>
      </c>
      <c r="G37" s="5" t="str">
        <f>IFERROR(__xludf.DUMMYFUNCTION("""COMPUTED_VALUE"""),"Pendidikan Teknologi Informasi")</f>
        <v>Pendidikan Teknologi Informasi</v>
      </c>
      <c r="H37" s="5" t="str">
        <f>IFERROR(__xludf.DUMMYFUNCTION("""COMPUTED_VALUE"""),"Universitas Teknologi Yogyakarta")</f>
        <v>Universitas Teknologi Yogyakarta</v>
      </c>
      <c r="I37" s="5" t="str">
        <f>IFERROR(__xludf.DUMMYFUNCTION("""COMPUTED_VALUE"""),"Informatika")</f>
        <v>Informatika</v>
      </c>
      <c r="J37" s="5" t="str">
        <f>IFERROR(__xludf.DUMMYFUNCTION("""COMPUTED_VALUE"""),"PPG Calon Guru Gelombang 2 Tahun 2024")</f>
        <v>PPG Calon Guru Gelombang 2 Tahun 2024</v>
      </c>
      <c r="K37" s="5">
        <f>IFERROR(__xludf.DUMMYFUNCTION("""COMPUTED_VALUE"""),2025.0)</f>
        <v>2025</v>
      </c>
      <c r="L37" s="8" t="str">
        <f>IFERROR(__xludf.DUMMYFUNCTION("""COMPUTED_VALUE"""),"3.92")</f>
        <v>3.92</v>
      </c>
      <c r="M37" s="5" t="str">
        <f>IFERROR(__xludf.DUMMYFUNCTION("""COMPUTED_VALUE"""),"3.97")</f>
        <v>3.97</v>
      </c>
      <c r="N37" s="5" t="str">
        <f>IFERROR(__xludf.DUMMYFUNCTION("""COMPUTED_VALUE"""),"Lampung selatan, Lampung")</f>
        <v>Lampung selatan, Lampung</v>
      </c>
      <c r="O37" s="5" t="str">
        <f>IFERROR(__xludf.DUMMYFUNCTION("""COMPUTED_VALUE"""),"Tidak")</f>
        <v>Tidak</v>
      </c>
      <c r="P37" s="5" t="str">
        <f>IFERROR(__xludf.DUMMYFUNCTION("""COMPUTED_VALUE"""),"Tenaga pendampingan pembelajaran mata pelajaran TIK")</f>
        <v>Tenaga pendampingan pembelajaran mata pelajaran TIK</v>
      </c>
      <c r="Q37" s="5" t="str">
        <f>IFERROR(__xludf.DUMMYFUNCTION("""COMPUTED_VALUE"""),"Kabupaten Jepara, Jawa Tengah")</f>
        <v>Kabupaten Jepara, Jawa Tengah</v>
      </c>
      <c r="R37" s="5" t="str">
        <f>IFERROR(__xludf.DUMMYFUNCTION("""COMPUTED_VALUE"""),"-")</f>
        <v>-</v>
      </c>
      <c r="S37" s="11" t="str">
        <f>IFERROR(__xludf.DUMMYFUNCTION("""COMPUTED_VALUE"""),"https://drive.google.com/drive/folders/19MRaOM80DF038NWPqHaqqcWNbEgyOpsX")</f>
        <v>https://drive.google.com/drive/folders/19MRaOM80DF038NWPqHaqqcWNbEgyOpsX</v>
      </c>
      <c r="T37" s="5" t="str">
        <f>IFERROR(__xludf.DUMMYFUNCTION("""COMPUTED_VALUE"""),"Alumni PPG Calon Guru / Prajabatan FKIP UNS")</f>
        <v>Alumni PPG Calon Guru / Prajabatan FKIP UNS</v>
      </c>
      <c r="U37" s="5" t="str">
        <f>IFERROR(__xludf.DUMMYFUNCTION("""COMPUTED_VALUE"""),"X942408276")</f>
        <v>X942408276</v>
      </c>
      <c r="V37" s="5" t="str">
        <f>IFERROR(__xludf.DUMMYFUNCTION("""COMPUTED_VALUE"""),"5171311001")</f>
        <v>5171311001</v>
      </c>
      <c r="W37" s="5" t="str">
        <f>IFERROR(__xludf.DUMMYFUNCTION("""COMPUTED_VALUE"""),"Pendidikan Teknologi Informasi")</f>
        <v>Pendidikan Teknologi Informasi</v>
      </c>
      <c r="X37" s="5" t="str">
        <f>IFERROR(__xludf.DUMMYFUNCTION("""COMPUTED_VALUE"""),"Universitas Sebelas Maret")</f>
        <v>Universitas Sebelas Maret</v>
      </c>
      <c r="Y37" s="5" t="str">
        <f>IFERROR(__xludf.DUMMYFUNCTION("""COMPUTED_VALUE"""),"X942408276")</f>
        <v>X942408276</v>
      </c>
      <c r="Z37" s="5"/>
      <c r="AA37" s="5"/>
      <c r="AB37" s="5"/>
    </row>
    <row r="38" hidden="1">
      <c r="A38" s="4">
        <f>IFERROR(__xludf.DUMMYFUNCTION("""COMPUTED_VALUE"""),46231.886918344906)</f>
        <v>46231.88692</v>
      </c>
      <c r="B38" s="5" t="str">
        <f>IFERROR(__xludf.DUMMYFUNCTION("""COMPUTED_VALUE"""),"chabibahnur7@gmail.com")</f>
        <v>chabibahnur7@gmail.com</v>
      </c>
      <c r="C38" s="5" t="str">
        <f>IFERROR(__xludf.DUMMYFUNCTION("""COMPUTED_VALUE"""),"Nurchabibah, S.Pd.")</f>
        <v>Nurchabibah, S.Pd.</v>
      </c>
      <c r="D38" s="5">
        <f>IFERROR(__xludf.DUMMYFUNCTION("""COMPUTED_VALUE"""),7.000019417E9)</f>
        <v>7000019417</v>
      </c>
      <c r="E38" s="5" t="str">
        <f>IFERROR(__xludf.DUMMYFUNCTION("""COMPUTED_VALUE"""),"085710424577")</f>
        <v>085710424577</v>
      </c>
      <c r="F38" s="7">
        <f>IFERROR(__xludf.DUMMYFUNCTION("""COMPUTED_VALUE"""),34964.0)</f>
        <v>34964</v>
      </c>
      <c r="G38" s="5" t="str">
        <f>IFERROR(__xludf.DUMMYFUNCTION("""COMPUTED_VALUE"""),"Pendidikan Geografi")</f>
        <v>Pendidikan Geografi</v>
      </c>
      <c r="H38" s="5" t="str">
        <f>IFERROR(__xludf.DUMMYFUNCTION("""COMPUTED_VALUE"""),"Universitas Negeri Semarang")</f>
        <v>Universitas Negeri Semarang</v>
      </c>
      <c r="I38" s="5" t="str">
        <f>IFERROR(__xludf.DUMMYFUNCTION("""COMPUTED_VALUE"""),"Geografi")</f>
        <v>Geografi</v>
      </c>
      <c r="J38" s="5" t="str">
        <f>IFERROR(__xludf.DUMMYFUNCTION("""COMPUTED_VALUE"""),"PPG Prajabatan Gelombang 1 Tahun 2022")</f>
        <v>PPG Prajabatan Gelombang 1 Tahun 2022</v>
      </c>
      <c r="K38" s="5">
        <f>IFERROR(__xludf.DUMMYFUNCTION("""COMPUTED_VALUE"""),2023.0)</f>
        <v>2023</v>
      </c>
      <c r="L38" s="8" t="str">
        <f>IFERROR(__xludf.DUMMYFUNCTION("""COMPUTED_VALUE"""),"3,45")</f>
        <v>3,45</v>
      </c>
      <c r="M38" s="5" t="str">
        <f>IFERROR(__xludf.DUMMYFUNCTION("""COMPUTED_VALUE"""),"3,94")</f>
        <v>3,94</v>
      </c>
      <c r="N38" s="5" t="str">
        <f>IFERROR(__xludf.DUMMYFUNCTION("""COMPUTED_VALUE"""),"Purworejo, Jawa Tengah")</f>
        <v>Purworejo, Jawa Tengah</v>
      </c>
      <c r="O38" s="5" t="str">
        <f>IFERROR(__xludf.DUMMYFUNCTION("""COMPUTED_VALUE"""),"Tidak")</f>
        <v>Tidak</v>
      </c>
      <c r="P38" s="5" t="str">
        <f>IFERROR(__xludf.DUMMYFUNCTION("""COMPUTED_VALUE"""),"Tenaga pendampingan pembelajaran mata Pelajaran Ilmu Pengetahuan Sosial (IPS) untuk mengajar mata pelajaran Sosiologi, Ekonomi, Geografi, dan Sejarah")</f>
        <v>Tenaga pendampingan pembelajaran mata Pelajaran Ilmu Pengetahuan Sosial (IPS) untuk mengajar mata pelajaran Sosiologi, Ekonomi, Geografi, dan Sejarah</v>
      </c>
      <c r="Q38" s="5" t="str">
        <f>IFERROR(__xludf.DUMMYFUNCTION("""COMPUTED_VALUE"""),"Kabupaten Jepara, Jawa Tengah")</f>
        <v>Kabupaten Jepara, Jawa Tengah</v>
      </c>
      <c r="R38" s="11" t="str">
        <f>IFERROR(__xludf.DUMMYFUNCTION("""COMPUTED_VALUE"""),"https://drive.google.com/drive/folders/18oRqAvm67ggqMfNCM47RhToEBBLw5A_4?usp=sharing")</f>
        <v>https://drive.google.com/drive/folders/18oRqAvm67ggqMfNCM47RhToEBBLw5A_4?usp=sharing</v>
      </c>
      <c r="S38" s="11" t="str">
        <f>IFERROR(__xludf.DUMMYFUNCTION("""COMPUTED_VALUE"""),"https://drive.google.com/drive/folders/1YHV5XDphM0hO8XmD0XXIw26hn__uS09N")</f>
        <v>https://drive.google.com/drive/folders/1YHV5XDphM0hO8XmD0XXIw26hn__uS09N</v>
      </c>
      <c r="T38" s="5" t="str">
        <f>IFERROR(__xludf.DUMMYFUNCTION("""COMPUTED_VALUE"""),"Alumni PPG Calon Guru / Prajabatan FKIP UNS")</f>
        <v>Alumni PPG Calon Guru / Prajabatan FKIP UNS</v>
      </c>
      <c r="U38" s="5" t="str">
        <f>IFERROR(__xludf.DUMMYFUNCTION("""COMPUTED_VALUE"""),"X9022082584")</f>
        <v>X9022082584</v>
      </c>
      <c r="V38" s="5" t="str">
        <f>IFERROR(__xludf.DUMMYFUNCTION("""COMPUTED_VALUE"""),"-")</f>
        <v>-</v>
      </c>
      <c r="W38" s="5" t="str">
        <f>IFERROR(__xludf.DUMMYFUNCTION("""COMPUTED_VALUE"""),"-")</f>
        <v>-</v>
      </c>
      <c r="X38" s="5" t="str">
        <f>IFERROR(__xludf.DUMMYFUNCTION("""COMPUTED_VALUE"""),"-")</f>
        <v>-</v>
      </c>
      <c r="Y38" s="5" t="str">
        <f>IFERROR(__xludf.DUMMYFUNCTION("""COMPUTED_VALUE"""),"-")</f>
        <v>-</v>
      </c>
      <c r="Z38" s="5"/>
      <c r="AA38" s="5"/>
      <c r="AB38" s="5"/>
    </row>
    <row r="39" hidden="1">
      <c r="A39" s="4">
        <f>IFERROR(__xludf.DUMMYFUNCTION("""COMPUTED_VALUE"""),46231.88617241898)</f>
        <v>46231.88617</v>
      </c>
      <c r="B39" s="5" t="str">
        <f>IFERROR(__xludf.DUMMYFUNCTION("""COMPUTED_VALUE"""),"ppg.sucityas99428@program.belajar.id")</f>
        <v>ppg.sucityas99428@program.belajar.id</v>
      </c>
      <c r="C39" s="5" t="str">
        <f>IFERROR(__xludf.DUMMYFUNCTION("""COMPUTED_VALUE"""),"Suci Suryaning Tyas S.Pd,Gr")</f>
        <v>Suci Suryaning Tyas S.Pd,Gr</v>
      </c>
      <c r="D39" s="5">
        <f>IFERROR(__xludf.DUMMYFUNCTION("""COMPUTED_VALUE"""),7.000181406E9)</f>
        <v>7000181406</v>
      </c>
      <c r="E39" s="5" t="str">
        <f>IFERROR(__xludf.DUMMYFUNCTION("""COMPUTED_VALUE"""),"085725604967")</f>
        <v>085725604967</v>
      </c>
      <c r="F39" s="7">
        <f>IFERROR(__xludf.DUMMYFUNCTION("""COMPUTED_VALUE"""),36253.0)</f>
        <v>36253</v>
      </c>
      <c r="G39" s="5" t="str">
        <f>IFERROR(__xludf.DUMMYFUNCTION("""COMPUTED_VALUE"""),"S1 Pendidikan Seni Tari")</f>
        <v>S1 Pendidikan Seni Tari</v>
      </c>
      <c r="H39" s="5" t="str">
        <f>IFERROR(__xludf.DUMMYFUNCTION("""COMPUTED_VALUE"""),"Universitas Negeri Semarang")</f>
        <v>Universitas Negeri Semarang</v>
      </c>
      <c r="I39" s="5" t="str">
        <f>IFERROR(__xludf.DUMMYFUNCTION("""COMPUTED_VALUE"""),"Seni Budaya")</f>
        <v>Seni Budaya</v>
      </c>
      <c r="J39" s="5" t="str">
        <f>IFERROR(__xludf.DUMMYFUNCTION("""COMPUTED_VALUE"""),"PPG Prajabatan Gelombang 2 Tahun 2023")</f>
        <v>PPG Prajabatan Gelombang 2 Tahun 2023</v>
      </c>
      <c r="K39" s="5">
        <f>IFERROR(__xludf.DUMMYFUNCTION("""COMPUTED_VALUE"""),2024.0)</f>
        <v>2024</v>
      </c>
      <c r="L39" s="8" t="str">
        <f>IFERROR(__xludf.DUMMYFUNCTION("""COMPUTED_VALUE"""),"3.49")</f>
        <v>3.49</v>
      </c>
      <c r="M39" s="5" t="str">
        <f>IFERROR(__xludf.DUMMYFUNCTION("""COMPUTED_VALUE"""),"3.87")</f>
        <v>3.87</v>
      </c>
      <c r="N39" s="5" t="str">
        <f>IFERROR(__xludf.DUMMYFUNCTION("""COMPUTED_VALUE"""),"Kecamatan Susukan, Kabupaten Semarang, Jawa Tengah")</f>
        <v>Kecamatan Susukan, Kabupaten Semarang, Jawa Tengah</v>
      </c>
      <c r="O39" s="5" t="str">
        <f>IFERROR(__xludf.DUMMYFUNCTION("""COMPUTED_VALUE"""),"Tidak")</f>
        <v>Tidak</v>
      </c>
      <c r="P39" s="5" t="str">
        <f>IFERROR(__xludf.DUMMYFUNCTION("""COMPUTED_VALUE"""),"Tenaga pendampingan pembelajaran mata Pelajaran Seni, Budaya, dan Prakarya")</f>
        <v>Tenaga pendampingan pembelajaran mata Pelajaran Seni, Budaya, dan Prakarya</v>
      </c>
      <c r="Q39" s="5" t="str">
        <f>IFERROR(__xludf.DUMMYFUNCTION("""COMPUTED_VALUE"""),"Kabupaten Jepara, Jawa Tengah")</f>
        <v>Kabupaten Jepara, Jawa Tengah</v>
      </c>
      <c r="R39" s="11" t="str">
        <f>IFERROR(__xludf.DUMMYFUNCTION("""COMPUTED_VALUE"""),"https://drive.google.com/drive/folders/1zgl0YiZyomWwF6BEe19h0ZLsRC-Uf7It")</f>
        <v>https://drive.google.com/drive/folders/1zgl0YiZyomWwF6BEe19h0ZLsRC-Uf7It</v>
      </c>
      <c r="S39" s="11" t="str">
        <f>IFERROR(__xludf.DUMMYFUNCTION("""COMPUTED_VALUE"""),"https://drive.google.com/file/d/1iq8cDdVfuoJxTaGIJK-5C0uFxCjY3984/view?usp=drivesdk")</f>
        <v>https://drive.google.com/file/d/1iq8cDdVfuoJxTaGIJK-5C0uFxCjY3984/view?usp=drivesdk</v>
      </c>
      <c r="T39" s="5" t="str">
        <f>IFERROR(__xludf.DUMMYFUNCTION("""COMPUTED_VALUE"""),"Alumni PPG Calon Guru / Prajabatan FKIP UNS")</f>
        <v>Alumni PPG Calon Guru / Prajabatan FKIP UNS</v>
      </c>
      <c r="U39" s="5" t="str">
        <f>IFERROR(__xludf.DUMMYFUNCTION("""COMPUTED_VALUE"""),"X9023083785")</f>
        <v>X9023083785</v>
      </c>
      <c r="V39" s="5" t="str">
        <f>IFERROR(__xludf.DUMMYFUNCTION("""COMPUTED_VALUE"""),"-")</f>
        <v>-</v>
      </c>
      <c r="W39" s="5" t="str">
        <f>IFERROR(__xludf.DUMMYFUNCTION("""COMPUTED_VALUE"""),"-")</f>
        <v>-</v>
      </c>
      <c r="X39" s="5" t="str">
        <f>IFERROR(__xludf.DUMMYFUNCTION("""COMPUTED_VALUE"""),"UNS")</f>
        <v>UNS</v>
      </c>
      <c r="Y39" s="5" t="str">
        <f>IFERROR(__xludf.DUMMYFUNCTION("""COMPUTED_VALUE"""),"-")</f>
        <v>-</v>
      </c>
      <c r="Z39" s="5"/>
      <c r="AA39" s="5"/>
      <c r="AB39" s="5"/>
    </row>
    <row r="40" hidden="1">
      <c r="A40" s="4">
        <f>IFERROR(__xludf.DUMMYFUNCTION("""COMPUTED_VALUE"""),46231.890759050926)</f>
        <v>46231.89076</v>
      </c>
      <c r="B40" s="5" t="str">
        <f>IFERROR(__xludf.DUMMYFUNCTION("""COMPUTED_VALUE"""),"senosetiyawan23@gmail.com")</f>
        <v>senosetiyawan23@gmail.com</v>
      </c>
      <c r="C40" s="5" t="str">
        <f>IFERROR(__xludf.DUMMYFUNCTION("""COMPUTED_VALUE"""),"Seno setiyawan")</f>
        <v>Seno setiyawan</v>
      </c>
      <c r="D40" s="5">
        <f>IFERROR(__xludf.DUMMYFUNCTION("""COMPUTED_VALUE"""),7.000110408E9)</f>
        <v>7000110408</v>
      </c>
      <c r="E40" s="5" t="str">
        <f>IFERROR(__xludf.DUMMYFUNCTION("""COMPUTED_VALUE"""),"085799588894")</f>
        <v>085799588894</v>
      </c>
      <c r="F40" s="7">
        <f>IFERROR(__xludf.DUMMYFUNCTION("""COMPUTED_VALUE"""),34873.0)</f>
        <v>34873</v>
      </c>
      <c r="G40" s="5" t="str">
        <f>IFERROR(__xludf.DUMMYFUNCTION("""COMPUTED_VALUE"""),"Matematika")</f>
        <v>Matematika</v>
      </c>
      <c r="H40" s="5" t="str">
        <f>IFERROR(__xludf.DUMMYFUNCTION("""COMPUTED_VALUE"""),"Universitas Sebelas Maret")</f>
        <v>Universitas Sebelas Maret</v>
      </c>
      <c r="I40" s="5" t="str">
        <f>IFERROR(__xludf.DUMMYFUNCTION("""COMPUTED_VALUE"""),"Matematika")</f>
        <v>Matematika</v>
      </c>
      <c r="J40" s="5" t="str">
        <f>IFERROR(__xludf.DUMMYFUNCTION("""COMPUTED_VALUE"""),"PPG Prajabatan Gelombang 2 Tahun 2023")</f>
        <v>PPG Prajabatan Gelombang 2 Tahun 2023</v>
      </c>
      <c r="K40" s="5">
        <f>IFERROR(__xludf.DUMMYFUNCTION("""COMPUTED_VALUE"""),2024.0)</f>
        <v>2024</v>
      </c>
      <c r="L40" s="8" t="str">
        <f>IFERROR(__xludf.DUMMYFUNCTION("""COMPUTED_VALUE"""),"3.11")</f>
        <v>3.11</v>
      </c>
      <c r="M40" s="5" t="str">
        <f>IFERROR(__xludf.DUMMYFUNCTION("""COMPUTED_VALUE"""),"3.90")</f>
        <v>3.90</v>
      </c>
      <c r="N40" s="5" t="str">
        <f>IFERROR(__xludf.DUMMYFUNCTION("""COMPUTED_VALUE"""),"Surakarta, Jawa Tengah")</f>
        <v>Surakarta, Jawa Tengah</v>
      </c>
      <c r="O40" s="5" t="str">
        <f>IFERROR(__xludf.DUMMYFUNCTION("""COMPUTED_VALUE"""),"Tidak")</f>
        <v>Tidak</v>
      </c>
      <c r="P40" s="5" t="str">
        <f>IFERROR(__xludf.DUMMYFUNCTION("""COMPUTED_VALUE"""),"Tenaga pendampingan pembelajaran mata Pelajaran Matematika (umum)")</f>
        <v>Tenaga pendampingan pembelajaran mata Pelajaran Matematika (umum)</v>
      </c>
      <c r="Q40" s="5" t="str">
        <f>IFERROR(__xludf.DUMMYFUNCTION("""COMPUTED_VALUE"""),"Kabupaten Jepara, Jawa Tengah")</f>
        <v>Kabupaten Jepara, Jawa Tengah</v>
      </c>
      <c r="R40" s="11" t="str">
        <f>IFERROR(__xludf.DUMMYFUNCTION("""COMPUTED_VALUE"""),"https://drive.google.com/drive/folders/17MT469v6DaHmpoLFdWBe241N_dObmepV?usp=drive_link")</f>
        <v>https://drive.google.com/drive/folders/17MT469v6DaHmpoLFdWBe241N_dObmepV?usp=drive_link</v>
      </c>
      <c r="S40" s="11" t="str">
        <f>IFERROR(__xludf.DUMMYFUNCTION("""COMPUTED_VALUE"""),"https://drive.google.com/drive/folders/17MT469v6DaHmpoLFdWBe241N_dObmepV?usp=drive_link")</f>
        <v>https://drive.google.com/drive/folders/17MT469v6DaHmpoLFdWBe241N_dObmepV?usp=drive_link</v>
      </c>
      <c r="T40" s="5" t="str">
        <f>IFERROR(__xludf.DUMMYFUNCTION("""COMPUTED_VALUE"""),"Alumni PPG Calon Guru / Prajabatan FKIP UNS")</f>
        <v>Alumni PPG Calon Guru / Prajabatan FKIP UNS</v>
      </c>
      <c r="U40" s="5" t="str">
        <f>IFERROR(__xludf.DUMMYFUNCTION("""COMPUTED_VALUE"""),"X9023083767")</f>
        <v>X9023083767</v>
      </c>
      <c r="V40" s="5" t="str">
        <f>IFERROR(__xludf.DUMMYFUNCTION("""COMPUTED_VALUE"""),"M0113045")</f>
        <v>M0113045</v>
      </c>
      <c r="W40" s="5" t="str">
        <f>IFERROR(__xludf.DUMMYFUNCTION("""COMPUTED_VALUE"""),"Matematika")</f>
        <v>Matematika</v>
      </c>
      <c r="X40" s="5" t="str">
        <f>IFERROR(__xludf.DUMMYFUNCTION("""COMPUTED_VALUE"""),"Universitas Sebelas Maret")</f>
        <v>Universitas Sebelas Maret</v>
      </c>
      <c r="Y40" s="5" t="str">
        <f>IFERROR(__xludf.DUMMYFUNCTION("""COMPUTED_VALUE"""),"-")</f>
        <v>-</v>
      </c>
      <c r="Z40" s="5"/>
      <c r="AA40" s="5"/>
      <c r="AB40" s="5"/>
    </row>
    <row r="41" hidden="1">
      <c r="A41" s="4">
        <f>IFERROR(__xludf.DUMMYFUNCTION("""COMPUTED_VALUE"""),46231.91060094908)</f>
        <v>46231.9106</v>
      </c>
      <c r="B41" s="5" t="str">
        <f>IFERROR(__xludf.DUMMYFUNCTION("""COMPUTED_VALUE"""),"yonekaoca16@gmail.com")</f>
        <v>yonekaoca16@gmail.com</v>
      </c>
      <c r="C41" s="5" t="str">
        <f>IFERROR(__xludf.DUMMYFUNCTION("""COMPUTED_VALUE"""),"Yoneka Noorca Erlangga, S. Pd., Gr.")</f>
        <v>Yoneka Noorca Erlangga, S. Pd., Gr.</v>
      </c>
      <c r="D41" s="5">
        <f>IFERROR(__xludf.DUMMYFUNCTION("""COMPUTED_VALUE"""),7.000229318E9)</f>
        <v>7000229318</v>
      </c>
      <c r="E41" s="5" t="str">
        <f>IFERROR(__xludf.DUMMYFUNCTION("""COMPUTED_VALUE"""),"085817348167")</f>
        <v>085817348167</v>
      </c>
      <c r="F41" s="7">
        <f>IFERROR(__xludf.DUMMYFUNCTION("""COMPUTED_VALUE"""),37119.0)</f>
        <v>37119</v>
      </c>
      <c r="G41" s="5" t="str">
        <f>IFERROR(__xludf.DUMMYFUNCTION("""COMPUTED_VALUE"""),"S-1 Pendidikan Sejarah")</f>
        <v>S-1 Pendidikan Sejarah</v>
      </c>
      <c r="H41" s="5" t="str">
        <f>IFERROR(__xludf.DUMMYFUNCTION("""COMPUTED_VALUE"""),"Universitas Sebelas Maret")</f>
        <v>Universitas Sebelas Maret</v>
      </c>
      <c r="I41" s="5" t="str">
        <f>IFERROR(__xludf.DUMMYFUNCTION("""COMPUTED_VALUE"""),"Sejarah")</f>
        <v>Sejarah</v>
      </c>
      <c r="J41" s="5" t="str">
        <f>IFERROR(__xludf.DUMMYFUNCTION("""COMPUTED_VALUE"""),"PPG Prajabatan Gelombang 1 Tahun 2024")</f>
        <v>PPG Prajabatan Gelombang 1 Tahun 2024</v>
      </c>
      <c r="K41" s="5">
        <f>IFERROR(__xludf.DUMMYFUNCTION("""COMPUTED_VALUE"""),2024.0)</f>
        <v>2024</v>
      </c>
      <c r="L41" s="8" t="str">
        <f>IFERROR(__xludf.DUMMYFUNCTION("""COMPUTED_VALUE"""),"3.70")</f>
        <v>3.70</v>
      </c>
      <c r="M41" s="5" t="str">
        <f>IFERROR(__xludf.DUMMYFUNCTION("""COMPUTED_VALUE"""),"4.00")</f>
        <v>4.00</v>
      </c>
      <c r="N41" s="5" t="str">
        <f>IFERROR(__xludf.DUMMYFUNCTION("""COMPUTED_VALUE"""),"Kabupaten Karanganyar, Jawa Tengah")</f>
        <v>Kabupaten Karanganyar, Jawa Tengah</v>
      </c>
      <c r="O41" s="5" t="str">
        <f>IFERROR(__xludf.DUMMYFUNCTION("""COMPUTED_VALUE"""),"Tidak")</f>
        <v>Tidak</v>
      </c>
      <c r="P41" s="5" t="str">
        <f>IFERROR(__xludf.DUMMYFUNCTION("""COMPUTED_VALUE"""),"Tenaga pendampingan pembelajaran mata Pelajaran Ilmu Pengetahuan Sosial (IPS) untuk mengajar mata pelajaran Sosiologi, Ekonomi, Geografi, dan Sejarah")</f>
        <v>Tenaga pendampingan pembelajaran mata Pelajaran Ilmu Pengetahuan Sosial (IPS) untuk mengajar mata pelajaran Sosiologi, Ekonomi, Geografi, dan Sejarah</v>
      </c>
      <c r="Q41" s="5" t="str">
        <f>IFERROR(__xludf.DUMMYFUNCTION("""COMPUTED_VALUE"""),"Kabupaten Jepara, Jawa Tengah")</f>
        <v>Kabupaten Jepara, Jawa Tengah</v>
      </c>
      <c r="R41" s="11" t="str">
        <f>IFERROR(__xludf.DUMMYFUNCTION("""COMPUTED_VALUE"""),"https://drive.google.com/file/d/1wDAZ_wDIjpdbkq8h7kXvWAEEOa7ESmDe/view?usp=drivesdk")</f>
        <v>https://drive.google.com/file/d/1wDAZ_wDIjpdbkq8h7kXvWAEEOa7ESmDe/view?usp=drivesdk</v>
      </c>
      <c r="S41" s="11" t="str">
        <f>IFERROR(__xludf.DUMMYFUNCTION("""COMPUTED_VALUE"""),"https://drive.google.com/file/d/1hhvZIEChyA9oW7HYA2tM058Q0lahrG6T/view?usp=sharing")</f>
        <v>https://drive.google.com/file/d/1hhvZIEChyA9oW7HYA2tM058Q0lahrG6T/view?usp=sharing</v>
      </c>
      <c r="T41" s="5" t="str">
        <f>IFERROR(__xludf.DUMMYFUNCTION("""COMPUTED_VALUE"""),"Alumni PPG Calon Guru / Prajabatan FKIP UNS")</f>
        <v>Alumni PPG Calon Guru / Prajabatan FKIP UNS</v>
      </c>
      <c r="U41" s="5" t="str">
        <f>IFERROR(__xludf.DUMMYFUNCTION("""COMPUTED_VALUE"""),"X942402465")</f>
        <v>X942402465</v>
      </c>
      <c r="V41" s="5" t="str">
        <f>IFERROR(__xludf.DUMMYFUNCTION("""COMPUTED_VALUE"""),"-")</f>
        <v>-</v>
      </c>
      <c r="W41" s="5" t="str">
        <f>IFERROR(__xludf.DUMMYFUNCTION("""COMPUTED_VALUE"""),"-")</f>
        <v>-</v>
      </c>
      <c r="X41" s="5" t="str">
        <f>IFERROR(__xludf.DUMMYFUNCTION("""COMPUTED_VALUE"""),"-")</f>
        <v>-</v>
      </c>
      <c r="Y41" s="5" t="str">
        <f>IFERROR(__xludf.DUMMYFUNCTION("""COMPUTED_VALUE"""),"-")</f>
        <v>-</v>
      </c>
      <c r="Z41" s="5"/>
      <c r="AA41" s="5"/>
      <c r="AB41" s="5"/>
    </row>
    <row r="42" hidden="1">
      <c r="A42" s="4">
        <f>IFERROR(__xludf.DUMMYFUNCTION("""COMPUTED_VALUE"""),46231.9111475)</f>
        <v>46231.91115</v>
      </c>
      <c r="B42" s="5" t="str">
        <f>IFERROR(__xludf.DUMMYFUNCTION("""COMPUTED_VALUE"""),"atnidwihasmarayekti@gmail.com")</f>
        <v>atnidwihasmarayekti@gmail.com</v>
      </c>
      <c r="C42" s="5" t="str">
        <f>IFERROR(__xludf.DUMMYFUNCTION("""COMPUTED_VALUE"""),"Atni Dwi Hasmara Yekti, S.Pd., Gr.")</f>
        <v>Atni Dwi Hasmara Yekti, S.Pd., Gr.</v>
      </c>
      <c r="D42" s="5">
        <f>IFERROR(__xludf.DUMMYFUNCTION("""COMPUTED_VALUE"""),7.00015249E9)</f>
        <v>7000152490</v>
      </c>
      <c r="E42" s="5" t="str">
        <f>IFERROR(__xludf.DUMMYFUNCTION("""COMPUTED_VALUE"""),"088980051908")</f>
        <v>088980051908</v>
      </c>
      <c r="F42" s="7">
        <f>IFERROR(__xludf.DUMMYFUNCTION("""COMPUTED_VALUE"""),36699.0)</f>
        <v>36699</v>
      </c>
      <c r="G42" s="5" t="str">
        <f>IFERROR(__xludf.DUMMYFUNCTION("""COMPUTED_VALUE"""),"Pendidikan Kimia")</f>
        <v>Pendidikan Kimia</v>
      </c>
      <c r="H42" s="5" t="str">
        <f>IFERROR(__xludf.DUMMYFUNCTION("""COMPUTED_VALUE"""),"Universitas Islam Indonesia")</f>
        <v>Universitas Islam Indonesia</v>
      </c>
      <c r="I42" s="5" t="str">
        <f>IFERROR(__xludf.DUMMYFUNCTION("""COMPUTED_VALUE"""),"Ilmu Pengetahuan Alam (IPA)")</f>
        <v>Ilmu Pengetahuan Alam (IPA)</v>
      </c>
      <c r="J42" s="5" t="str">
        <f>IFERROR(__xludf.DUMMYFUNCTION("""COMPUTED_VALUE"""),"PPG Prajabatan Gelombang 1 Tahun 2023")</f>
        <v>PPG Prajabatan Gelombang 1 Tahun 2023</v>
      </c>
      <c r="K42" s="5">
        <f>IFERROR(__xludf.DUMMYFUNCTION("""COMPUTED_VALUE"""),2024.0)</f>
        <v>2024</v>
      </c>
      <c r="L42" s="8" t="str">
        <f>IFERROR(__xludf.DUMMYFUNCTION("""COMPUTED_VALUE"""),"3.92")</f>
        <v>3.92</v>
      </c>
      <c r="M42" s="5" t="str">
        <f>IFERROR(__xludf.DUMMYFUNCTION("""COMPUTED_VALUE"""),"3.93")</f>
        <v>3.93</v>
      </c>
      <c r="N42" s="5" t="str">
        <f>IFERROR(__xludf.DUMMYFUNCTION("""COMPUTED_VALUE"""),"Kabupaten Purworejo, Jawa Tengah")</f>
        <v>Kabupaten Purworejo, Jawa Tengah</v>
      </c>
      <c r="O42" s="5" t="str">
        <f>IFERROR(__xludf.DUMMYFUNCTION("""COMPUTED_VALUE"""),"Tidak")</f>
        <v>Tidak</v>
      </c>
      <c r="P42" s="5" t="str">
        <f>IFERROR(__xludf.DUMMYFUNCTION("""COMPUTED_VALUE"""),"Tenaga pendampingan pembelajaran mata Pelajaran Ilmu Pengetahuan Alam (IPA) untuk mengajar mata pelajaran Biologi, Kimia, Fisika")</f>
        <v>Tenaga pendampingan pembelajaran mata Pelajaran Ilmu Pengetahuan Alam (IPA) untuk mengajar mata pelajaran Biologi, Kimia, Fisika</v>
      </c>
      <c r="Q42" s="5" t="str">
        <f>IFERROR(__xludf.DUMMYFUNCTION("""COMPUTED_VALUE"""),"Kabupaten Jepara, Jawa Tengah")</f>
        <v>Kabupaten Jepara, Jawa Tengah</v>
      </c>
      <c r="R42" s="11" t="str">
        <f>IFERROR(__xludf.DUMMYFUNCTION("""COMPUTED_VALUE"""),"https://drive.google.com/drive/folders/1mjoMheW0r7Ofaf4cfqv62KvsYys3__xT")</f>
        <v>https://drive.google.com/drive/folders/1mjoMheW0r7Ofaf4cfqv62KvsYys3__xT</v>
      </c>
      <c r="S42" s="11" t="str">
        <f>IFERROR(__xludf.DUMMYFUNCTION("""COMPUTED_VALUE"""),"https://drive.google.com/drive/folders/1mjoMheW0r7Ofaf4cfqv62KvsYys3__xT")</f>
        <v>https://drive.google.com/drive/folders/1mjoMheW0r7Ofaf4cfqv62KvsYys3__xT</v>
      </c>
      <c r="T42" s="5" t="str">
        <f>IFERROR(__xludf.DUMMYFUNCTION("""COMPUTED_VALUE"""),"Alumni PPG Calon Guru / Prajabatan FKIP UNS")</f>
        <v>Alumni PPG Calon Guru / Prajabatan FKIP UNS</v>
      </c>
      <c r="U42" s="5" t="str">
        <f>IFERROR(__xludf.DUMMYFUNCTION("""COMPUTED_VALUE"""),"X902308151")</f>
        <v>X902308151</v>
      </c>
      <c r="V42" s="5" t="str">
        <f>IFERROR(__xludf.DUMMYFUNCTION("""COMPUTED_VALUE"""),"-")</f>
        <v>-</v>
      </c>
      <c r="W42" s="5" t="str">
        <f>IFERROR(__xludf.DUMMYFUNCTION("""COMPUTED_VALUE"""),"-")</f>
        <v>-</v>
      </c>
      <c r="X42" s="5" t="str">
        <f>IFERROR(__xludf.DUMMYFUNCTION("""COMPUTED_VALUE"""),"-")</f>
        <v>-</v>
      </c>
      <c r="Y42" s="5" t="str">
        <f>IFERROR(__xludf.DUMMYFUNCTION("""COMPUTED_VALUE"""),"-")</f>
        <v>-</v>
      </c>
      <c r="Z42" s="5"/>
      <c r="AA42" s="5"/>
      <c r="AB42" s="5"/>
    </row>
    <row r="43" hidden="1">
      <c r="A43" s="4">
        <f>IFERROR(__xludf.DUMMYFUNCTION("""COMPUTED_VALUE"""),46231.921428576396)</f>
        <v>46231.92143</v>
      </c>
      <c r="B43" s="5" t="str">
        <f>IFERROR(__xludf.DUMMYFUNCTION("""COMPUTED_VALUE"""),"mochadibirhamali@gmail.com")</f>
        <v>mochadibirhamali@gmail.com</v>
      </c>
      <c r="C43" s="5" t="str">
        <f>IFERROR(__xludf.DUMMYFUNCTION("""COMPUTED_VALUE"""),"Moch. Adib Irham Ali, S.Pd")</f>
        <v>Moch. Adib Irham Ali, S.Pd</v>
      </c>
      <c r="D43" s="5">
        <f>IFERROR(__xludf.DUMMYFUNCTION("""COMPUTED_VALUE"""),7.000202065E9)</f>
        <v>7000202065</v>
      </c>
      <c r="E43" s="5" t="str">
        <f>IFERROR(__xludf.DUMMYFUNCTION("""COMPUTED_VALUE"""),"081328698419")</f>
        <v>081328698419</v>
      </c>
      <c r="F43" s="7">
        <f>IFERROR(__xludf.DUMMYFUNCTION("""COMPUTED_VALUE"""),35906.0)</f>
        <v>35906</v>
      </c>
      <c r="G43" s="5" t="str">
        <f>IFERROR(__xludf.DUMMYFUNCTION("""COMPUTED_VALUE"""),"Pendidikan Sejarah")</f>
        <v>Pendidikan Sejarah</v>
      </c>
      <c r="H43" s="5" t="str">
        <f>IFERROR(__xludf.DUMMYFUNCTION("""COMPUTED_VALUE"""),"Universitas Sebelas Maret")</f>
        <v>Universitas Sebelas Maret</v>
      </c>
      <c r="I43" s="5" t="str">
        <f>IFERROR(__xludf.DUMMYFUNCTION("""COMPUTED_VALUE"""),"Sejarah")</f>
        <v>Sejarah</v>
      </c>
      <c r="J43" s="5" t="str">
        <f>IFERROR(__xludf.DUMMYFUNCTION("""COMPUTED_VALUE"""),"PPG Prajabatan Gelombang 2 Tahun 2023")</f>
        <v>PPG Prajabatan Gelombang 2 Tahun 2023</v>
      </c>
      <c r="K43" s="5">
        <f>IFERROR(__xludf.DUMMYFUNCTION("""COMPUTED_VALUE"""),2024.0)</f>
        <v>2024</v>
      </c>
      <c r="L43" s="8" t="str">
        <f>IFERROR(__xludf.DUMMYFUNCTION("""COMPUTED_VALUE"""),"3.72")</f>
        <v>3.72</v>
      </c>
      <c r="M43" s="5" t="str">
        <f>IFERROR(__xludf.DUMMYFUNCTION("""COMPUTED_VALUE"""),"4.00")</f>
        <v>4.00</v>
      </c>
      <c r="N43" s="5" t="str">
        <f>IFERROR(__xludf.DUMMYFUNCTION("""COMPUTED_VALUE"""),"Banyudono, Boyolali, Jawa Tengah")</f>
        <v>Banyudono, Boyolali, Jawa Tengah</v>
      </c>
      <c r="O43" s="5" t="str">
        <f>IFERROR(__xludf.DUMMYFUNCTION("""COMPUTED_VALUE"""),"Tidak")</f>
        <v>Tidak</v>
      </c>
      <c r="P43" s="5" t="str">
        <f>IFERROR(__xludf.DUMMYFUNCTION("""COMPUTED_VALUE"""),"Tenaga pendampingan pembelajaran mata Pelajaran Ilmu Pengetahuan Sosial (IPS) untuk mengajar mata pelajaran Sosiologi, Ekonomi, Geografi, dan Sejarah")</f>
        <v>Tenaga pendampingan pembelajaran mata Pelajaran Ilmu Pengetahuan Sosial (IPS) untuk mengajar mata pelajaran Sosiologi, Ekonomi, Geografi, dan Sejarah</v>
      </c>
      <c r="Q43" s="5" t="str">
        <f>IFERROR(__xludf.DUMMYFUNCTION("""COMPUTED_VALUE"""),"Kabupaten Jepara, Jawa Tengah")</f>
        <v>Kabupaten Jepara, Jawa Tengah</v>
      </c>
      <c r="R43" s="11" t="str">
        <f>IFERROR(__xludf.DUMMYFUNCTION("""COMPUTED_VALUE"""),"https://drive.google.com/drive/folders/14p8zvTWQB0cfS1KGcdo-A9IR61ZpUngs?usp=sharing")</f>
        <v>https://drive.google.com/drive/folders/14p8zvTWQB0cfS1KGcdo-A9IR61ZpUngs?usp=sharing</v>
      </c>
      <c r="S43" s="11" t="str">
        <f>IFERROR(__xludf.DUMMYFUNCTION("""COMPUTED_VALUE"""),"https://drive.google.com/drive/folders/14tm61sfbexmy9YMN6u3Mp_YaYsqT-5st?usp=sharing")</f>
        <v>https://drive.google.com/drive/folders/14tm61sfbexmy9YMN6u3Mp_YaYsqT-5st?usp=sharing</v>
      </c>
      <c r="T43" s="5" t="str">
        <f>IFERROR(__xludf.DUMMYFUNCTION("""COMPUTED_VALUE"""),"Alumni PPG Calon Guru / Prajabatan FKIP UNS")</f>
        <v>Alumni PPG Calon Guru / Prajabatan FKIP UNS</v>
      </c>
      <c r="U43" s="5" t="str">
        <f>IFERROR(__xludf.DUMMYFUNCTION("""COMPUTED_VALUE"""),"X9023083636")</f>
        <v>X9023083636</v>
      </c>
      <c r="V43" s="5" t="str">
        <f>IFERROR(__xludf.DUMMYFUNCTION("""COMPUTED_VALUE"""),"K4416037")</f>
        <v>K4416037</v>
      </c>
      <c r="W43" s="5" t="str">
        <f>IFERROR(__xludf.DUMMYFUNCTION("""COMPUTED_VALUE"""),"Pendidikan Sejarah")</f>
        <v>Pendidikan Sejarah</v>
      </c>
      <c r="X43" s="5" t="str">
        <f>IFERROR(__xludf.DUMMYFUNCTION("""COMPUTED_VALUE"""),"Universitas Sebelas Maret")</f>
        <v>Universitas Sebelas Maret</v>
      </c>
      <c r="Y43" s="5" t="str">
        <f>IFERROR(__xludf.DUMMYFUNCTION("""COMPUTED_VALUE"""),"X9023083636")</f>
        <v>X9023083636</v>
      </c>
      <c r="Z43" s="5"/>
      <c r="AA43" s="5"/>
      <c r="AB43" s="5"/>
    </row>
    <row r="44" hidden="1">
      <c r="A44" s="4">
        <f>IFERROR(__xludf.DUMMYFUNCTION("""COMPUTED_VALUE"""),46231.9233643287)</f>
        <v>46231.92336</v>
      </c>
      <c r="B44" s="5" t="str">
        <f>IFERROR(__xludf.DUMMYFUNCTION("""COMPUTED_VALUE"""),"candraadi2410@gmail.com")</f>
        <v>candraadi2410@gmail.com</v>
      </c>
      <c r="C44" s="5" t="str">
        <f>IFERROR(__xludf.DUMMYFUNCTION("""COMPUTED_VALUE"""),"Candra Adi Rahmat, S.Kom., Gr")</f>
        <v>Candra Adi Rahmat, S.Kom., Gr</v>
      </c>
      <c r="D44" s="5">
        <f>IFERROR(__xludf.DUMMYFUNCTION("""COMPUTED_VALUE"""),7.000305558E9)</f>
        <v>7000305558</v>
      </c>
      <c r="E44" s="5" t="str">
        <f>IFERROR(__xludf.DUMMYFUNCTION("""COMPUTED_VALUE"""),"082286367473")</f>
        <v>082286367473</v>
      </c>
      <c r="F44" s="7">
        <f>IFERROR(__xludf.DUMMYFUNCTION("""COMPUTED_VALUE"""),37188.0)</f>
        <v>37188</v>
      </c>
      <c r="G44" s="5" t="str">
        <f>IFERROR(__xludf.DUMMYFUNCTION("""COMPUTED_VALUE"""),"Teknik Informatika")</f>
        <v>Teknik Informatika</v>
      </c>
      <c r="H44" s="5" t="str">
        <f>IFERROR(__xludf.DUMMYFUNCTION("""COMPUTED_VALUE"""),"Universitas Dinamika Bangsa")</f>
        <v>Universitas Dinamika Bangsa</v>
      </c>
      <c r="I44" s="5" t="str">
        <f>IFERROR(__xludf.DUMMYFUNCTION("""COMPUTED_VALUE"""),"Informatika")</f>
        <v>Informatika</v>
      </c>
      <c r="J44" s="5" t="str">
        <f>IFERROR(__xludf.DUMMYFUNCTION("""COMPUTED_VALUE"""),"PPG Calon Guru Gelombang 2 Tahun 2024")</f>
        <v>PPG Calon Guru Gelombang 2 Tahun 2024</v>
      </c>
      <c r="K44" s="5">
        <f>IFERROR(__xludf.DUMMYFUNCTION("""COMPUTED_VALUE"""),2025.0)</f>
        <v>2025</v>
      </c>
      <c r="L44" s="8" t="str">
        <f>IFERROR(__xludf.DUMMYFUNCTION("""COMPUTED_VALUE"""),"3.73")</f>
        <v>3.73</v>
      </c>
      <c r="M44" s="5" t="str">
        <f>IFERROR(__xludf.DUMMYFUNCTION("""COMPUTED_VALUE"""),"3.95")</f>
        <v>3.95</v>
      </c>
      <c r="N44" s="5" t="str">
        <f>IFERROR(__xludf.DUMMYFUNCTION("""COMPUTED_VALUE"""),"Kabupaten Musi Banyuasin, Sumatera Selatan")</f>
        <v>Kabupaten Musi Banyuasin, Sumatera Selatan</v>
      </c>
      <c r="O44" s="5" t="str">
        <f>IFERROR(__xludf.DUMMYFUNCTION("""COMPUTED_VALUE"""),"Tidak")</f>
        <v>Tidak</v>
      </c>
      <c r="P44" s="5" t="str">
        <f>IFERROR(__xludf.DUMMYFUNCTION("""COMPUTED_VALUE"""),"Tenaga pendampingan pembelajaran mata pelajaran TIK")</f>
        <v>Tenaga pendampingan pembelajaran mata pelajaran TIK</v>
      </c>
      <c r="Q44" s="5" t="str">
        <f>IFERROR(__xludf.DUMMYFUNCTION("""COMPUTED_VALUE"""),"Kabupaten Jepara, Jawa Tengah")</f>
        <v>Kabupaten Jepara, Jawa Tengah</v>
      </c>
      <c r="R44" s="5" t="str">
        <f>IFERROR(__xludf.DUMMYFUNCTION("""COMPUTED_VALUE"""),"-")</f>
        <v>-</v>
      </c>
      <c r="S44" s="11" t="str">
        <f>IFERROR(__xludf.DUMMYFUNCTION("""COMPUTED_VALUE"""),"https://drive.google.com/drive/folders/1v9Rl1ZkNsT6Jw6hEo64E-fGeNru0Mo2a?usp=sharing")</f>
        <v>https://drive.google.com/drive/folders/1v9Rl1ZkNsT6Jw6hEo64E-fGeNru0Mo2a?usp=sharing</v>
      </c>
      <c r="T44" s="5" t="str">
        <f>IFERROR(__xludf.DUMMYFUNCTION("""COMPUTED_VALUE"""),"Alumni PPG Calon Guru / Prajabatan FKIP UNS")</f>
        <v>Alumni PPG Calon Guru / Prajabatan FKIP UNS</v>
      </c>
      <c r="U44" s="5" t="str">
        <f>IFERROR(__xludf.DUMMYFUNCTION("""COMPUTED_VALUE"""),"X942408116")</f>
        <v>X942408116</v>
      </c>
      <c r="V44" s="5" t="str">
        <f>IFERROR(__xludf.DUMMYFUNCTION("""COMPUTED_VALUE"""),"8020190094")</f>
        <v>8020190094</v>
      </c>
      <c r="W44" s="5" t="str">
        <f>IFERROR(__xludf.DUMMYFUNCTION("""COMPUTED_VALUE"""),"Teknik Informatika")</f>
        <v>Teknik Informatika</v>
      </c>
      <c r="X44" s="5" t="str">
        <f>IFERROR(__xludf.DUMMYFUNCTION("""COMPUTED_VALUE"""),"Universitas Sebelas Maret")</f>
        <v>Universitas Sebelas Maret</v>
      </c>
      <c r="Y44" s="5" t="str">
        <f>IFERROR(__xludf.DUMMYFUNCTION("""COMPUTED_VALUE"""),"x942408116")</f>
        <v>x942408116</v>
      </c>
      <c r="Z44" s="5"/>
      <c r="AA44" s="5"/>
      <c r="AB44" s="5"/>
    </row>
    <row r="45" hidden="1">
      <c r="A45" s="4">
        <f>IFERROR(__xludf.DUMMYFUNCTION("""COMPUTED_VALUE"""),46232.70063806713)</f>
        <v>46232.70064</v>
      </c>
      <c r="B45" s="5" t="str">
        <f>IFERROR(__xludf.DUMMYFUNCTION("""COMPUTED_VALUE"""),"peserta.00416@ppg.belajar.id")</f>
        <v>peserta.00416@ppg.belajar.id</v>
      </c>
      <c r="C45" s="5" t="str">
        <f>IFERROR(__xludf.DUMMYFUNCTION("""COMPUTED_VALUE"""),"Farida Sapo, S.Pd.,Gr.")</f>
        <v>Farida Sapo, S.Pd.,Gr.</v>
      </c>
      <c r="D45" s="5">
        <f>IFERROR(__xludf.DUMMYFUNCTION("""COMPUTED_VALUE"""),7.000242161E9)</f>
        <v>7000242161</v>
      </c>
      <c r="E45" s="5" t="str">
        <f>IFERROR(__xludf.DUMMYFUNCTION("""COMPUTED_VALUE"""),"085289003714")</f>
        <v>085289003714</v>
      </c>
      <c r="F45" s="7">
        <f>IFERROR(__xludf.DUMMYFUNCTION("""COMPUTED_VALUE"""),37176.0)</f>
        <v>37176</v>
      </c>
      <c r="G45" s="5" t="str">
        <f>IFERROR(__xludf.DUMMYFUNCTION("""COMPUTED_VALUE"""),"Pendidikan Bahasa Indonesia")</f>
        <v>Pendidikan Bahasa Indonesia</v>
      </c>
      <c r="H45" s="5" t="str">
        <f>IFERROR(__xludf.DUMMYFUNCTION("""COMPUTED_VALUE"""),"Universitas Sembilanbelas November Kolaka")</f>
        <v>Universitas Sembilanbelas November Kolaka</v>
      </c>
      <c r="I45" s="5" t="str">
        <f>IFERROR(__xludf.DUMMYFUNCTION("""COMPUTED_VALUE"""),"Bahasa Indonesia")</f>
        <v>Bahasa Indonesia</v>
      </c>
      <c r="J45" s="5" t="str">
        <f>IFERROR(__xludf.DUMMYFUNCTION("""COMPUTED_VALUE"""),"PPG Calon Guru Gelombang 2 Tahun 2024")</f>
        <v>PPG Calon Guru Gelombang 2 Tahun 2024</v>
      </c>
      <c r="K45" s="5">
        <f>IFERROR(__xludf.DUMMYFUNCTION("""COMPUTED_VALUE"""),2025.0)</f>
        <v>2025</v>
      </c>
      <c r="L45" s="8" t="str">
        <f>IFERROR(__xludf.DUMMYFUNCTION("""COMPUTED_VALUE"""),"3.66")</f>
        <v>3.66</v>
      </c>
      <c r="M45" s="5" t="str">
        <f>IFERROR(__xludf.DUMMYFUNCTION("""COMPUTED_VALUE"""),"4.0")</f>
        <v>4.0</v>
      </c>
      <c r="N45" s="5" t="str">
        <f>IFERROR(__xludf.DUMMYFUNCTION("""COMPUTED_VALUE"""),"Kec. Mawasangka Tengah, Kabupaten Buton Tengah, Prov. Sulawesi Tenggara.")</f>
        <v>Kec. Mawasangka Tengah, Kabupaten Buton Tengah, Prov. Sulawesi Tenggara.</v>
      </c>
      <c r="O45" s="5" t="str">
        <f>IFERROR(__xludf.DUMMYFUNCTION("""COMPUTED_VALUE"""),"Tidak")</f>
        <v>Tidak</v>
      </c>
      <c r="P45" s="5" t="str">
        <f>IFERROR(__xludf.DUMMYFUNCTION("""COMPUTED_VALUE"""),"Tenaga pendampingan pembelajaran mata Pelajaran Bahasa Indonesia")</f>
        <v>Tenaga pendampingan pembelajaran mata Pelajaran Bahasa Indonesia</v>
      </c>
      <c r="Q45" s="5" t="str">
        <f>IFERROR(__xludf.DUMMYFUNCTION("""COMPUTED_VALUE"""),"Kabupaten Buton Tengah, Sulawesi Tenggara")</f>
        <v>Kabupaten Buton Tengah, Sulawesi Tenggara</v>
      </c>
      <c r="R45" s="11" t="str">
        <f>IFERROR(__xludf.DUMMYFUNCTION("""COMPUTED_VALUE"""),"https://drive.google.com/file/d/1Oge2a8bGcTr_G7WIckjygM9_RiWe7iGW/view?usp=drive_link")</f>
        <v>https://drive.google.com/file/d/1Oge2a8bGcTr_G7WIckjygM9_RiWe7iGW/view?usp=drive_link</v>
      </c>
      <c r="S45" s="11" t="str">
        <f>IFERROR(__xludf.DUMMYFUNCTION("""COMPUTED_VALUE"""),"https://drive.google.com/file/d/1wXg4JCK74uFkX830RohLlRR_dRCpabfJ/view?usp=sharing")</f>
        <v>https://drive.google.com/file/d/1wXg4JCK74uFkX830RohLlRR_dRCpabfJ/view?usp=sharing</v>
      </c>
      <c r="T45" s="5" t="str">
        <f>IFERROR(__xludf.DUMMYFUNCTION("""COMPUTED_VALUE"""),"Alumni PPG Calon Guru / Prajabatan FKIP UHO")</f>
        <v>Alumni PPG Calon Guru / Prajabatan FKIP UHO</v>
      </c>
      <c r="U45" s="5"/>
      <c r="V45" s="5"/>
      <c r="W45" s="5"/>
      <c r="X45" s="5"/>
      <c r="Y45" s="5" t="str">
        <f>IFERROR(__xludf.DUMMYFUNCTION("""COMPUTED_VALUE"""),"A3S224207")</f>
        <v>A3S224207</v>
      </c>
      <c r="Z45" s="5"/>
      <c r="AA45" s="5"/>
      <c r="AB45" s="5"/>
    </row>
    <row r="46" hidden="1">
      <c r="A46" s="4">
        <f>IFERROR(__xludf.DUMMYFUNCTION("""COMPUTED_VALUE"""),46231.94335212963)</f>
        <v>46231.94335</v>
      </c>
      <c r="B46" s="5" t="str">
        <f>IFERROR(__xludf.DUMMYFUNCTION("""COMPUTED_VALUE"""),"triantini98@gmail.com")</f>
        <v>triantini98@gmail.com</v>
      </c>
      <c r="C46" s="5" t="str">
        <f>IFERROR(__xludf.DUMMYFUNCTION("""COMPUTED_VALUE"""),"Triantini, S. Pd., Gr. ")</f>
        <v>Triantini, S. Pd., Gr. </v>
      </c>
      <c r="D46" s="5">
        <f>IFERROR(__xludf.DUMMYFUNCTION("""COMPUTED_VALUE"""),7.000053135E9)</f>
        <v>7000053135</v>
      </c>
      <c r="E46" s="5" t="str">
        <f>IFERROR(__xludf.DUMMYFUNCTION("""COMPUTED_VALUE"""),"082220434981")</f>
        <v>082220434981</v>
      </c>
      <c r="F46" s="7">
        <f>IFERROR(__xludf.DUMMYFUNCTION("""COMPUTED_VALUE"""),35925.0)</f>
        <v>35925</v>
      </c>
      <c r="G46" s="5" t="str">
        <f>IFERROR(__xludf.DUMMYFUNCTION("""COMPUTED_VALUE"""),"Pendidikan Ekonomi (Akuntansi) ")</f>
        <v>Pendidikan Ekonomi (Akuntansi) </v>
      </c>
      <c r="H46" s="5" t="str">
        <f>IFERROR(__xludf.DUMMYFUNCTION("""COMPUTED_VALUE"""),"Universitas Negeri Semarang")</f>
        <v>Universitas Negeri Semarang</v>
      </c>
      <c r="I46" s="5" t="str">
        <f>IFERROR(__xludf.DUMMYFUNCTION("""COMPUTED_VALUE"""),"Ekonomi")</f>
        <v>Ekonomi</v>
      </c>
      <c r="J46" s="5" t="str">
        <f>IFERROR(__xludf.DUMMYFUNCTION("""COMPUTED_VALUE"""),"PPG Prajabatan Gelombang 1 Tahun 2022")</f>
        <v>PPG Prajabatan Gelombang 1 Tahun 2022</v>
      </c>
      <c r="K46" s="5">
        <f>IFERROR(__xludf.DUMMYFUNCTION("""COMPUTED_VALUE"""),2023.0)</f>
        <v>2023</v>
      </c>
      <c r="L46" s="8" t="str">
        <f>IFERROR(__xludf.DUMMYFUNCTION("""COMPUTED_VALUE"""),"3,74")</f>
        <v>3,74</v>
      </c>
      <c r="M46" s="5" t="str">
        <f>IFERROR(__xludf.DUMMYFUNCTION("""COMPUTED_VALUE"""),"3,97")</f>
        <v>3,97</v>
      </c>
      <c r="N46" s="5" t="str">
        <f>IFERROR(__xludf.DUMMYFUNCTION("""COMPUTED_VALUE"""),"Kebumen, Jawa Tengah")</f>
        <v>Kebumen, Jawa Tengah</v>
      </c>
      <c r="O46" s="5" t="str">
        <f>IFERROR(__xludf.DUMMYFUNCTION("""COMPUTED_VALUE"""),"Tidak")</f>
        <v>Tidak</v>
      </c>
      <c r="P46" s="5" t="str">
        <f>IFERROR(__xludf.DUMMYFUNCTION("""COMPUTED_VALUE"""),"Tenaga pendampingan pembelajaran mata Pelajaran Ilmu Pengetahuan Sosial (IPS) untuk mengajar mata pelajaran Sosiologi, Ekonomi, Geografi, dan Sejarah")</f>
        <v>Tenaga pendampingan pembelajaran mata Pelajaran Ilmu Pengetahuan Sosial (IPS) untuk mengajar mata pelajaran Sosiologi, Ekonomi, Geografi, dan Sejarah</v>
      </c>
      <c r="Q46" s="5" t="str">
        <f>IFERROR(__xludf.DUMMYFUNCTION("""COMPUTED_VALUE"""),"Kabupaten Jepara, Jawa Tengah")</f>
        <v>Kabupaten Jepara, Jawa Tengah</v>
      </c>
      <c r="R46" s="11" t="str">
        <f>IFERROR(__xludf.DUMMYFUNCTION("""COMPUTED_VALUE"""),"https://drive.google.com/file/d/10j2MkzdpbRaZnGiceEXvNFNioXggv2oa/view?usp=drivesdk")</f>
        <v>https://drive.google.com/file/d/10j2MkzdpbRaZnGiceEXvNFNioXggv2oa/view?usp=drivesdk</v>
      </c>
      <c r="S46" s="11" t="str">
        <f>IFERROR(__xludf.DUMMYFUNCTION("""COMPUTED_VALUE"""),"https://drive.google.com/file/d/11F5pPmxQ30JyYcnGJHbV6ofW54-DPLlK/view?usp=drivesdk")</f>
        <v>https://drive.google.com/file/d/11F5pPmxQ30JyYcnGJHbV6ofW54-DPLlK/view?usp=drivesdk</v>
      </c>
      <c r="T46" s="5" t="str">
        <f>IFERROR(__xludf.DUMMYFUNCTION("""COMPUTED_VALUE"""),"Alumni PPG Calon Guru / Prajabatan FKIP UNS")</f>
        <v>Alumni PPG Calon Guru / Prajabatan FKIP UNS</v>
      </c>
      <c r="U46" s="5" t="str">
        <f>IFERROR(__xludf.DUMMYFUNCTION("""COMPUTED_VALUE"""),"X9022082724")</f>
        <v>X9022082724</v>
      </c>
      <c r="V46" s="5" t="str">
        <f>IFERROR(__xludf.DUMMYFUNCTION("""COMPUTED_VALUE"""),"7101416128")</f>
        <v>7101416128</v>
      </c>
      <c r="W46" s="5" t="str">
        <f>IFERROR(__xludf.DUMMYFUNCTION("""COMPUTED_VALUE"""),"Pendidikan Ekonomi (Akuntansi) ")</f>
        <v>Pendidikan Ekonomi (Akuntansi) </v>
      </c>
      <c r="X46" s="5" t="str">
        <f>IFERROR(__xludf.DUMMYFUNCTION("""COMPUTED_VALUE"""),"Universitas Negeri Semarang")</f>
        <v>Universitas Negeri Semarang</v>
      </c>
      <c r="Y46" s="5" t="str">
        <f>IFERROR(__xludf.DUMMYFUNCTION("""COMPUTED_VALUE"""),"-")</f>
        <v>-</v>
      </c>
      <c r="Z46" s="5"/>
      <c r="AA46" s="5"/>
      <c r="AB46" s="5"/>
    </row>
    <row r="47" hidden="1">
      <c r="A47" s="4">
        <f>IFERROR(__xludf.DUMMYFUNCTION("""COMPUTED_VALUE"""),46231.94807637732)</f>
        <v>46231.94808</v>
      </c>
      <c r="B47" s="5" t="str">
        <f>IFERROR(__xludf.DUMMYFUNCTION("""COMPUTED_VALUE"""),"peserta.08733@ppg.belajar.id")</f>
        <v>peserta.08733@ppg.belajar.id</v>
      </c>
      <c r="C47" s="5" t="str">
        <f>IFERROR(__xludf.DUMMYFUNCTION("""COMPUTED_VALUE"""),"Resky Nur Fatimah, S.Pd.,Gr.")</f>
        <v>Resky Nur Fatimah, S.Pd.,Gr.</v>
      </c>
      <c r="D47" s="5"/>
      <c r="E47" s="5" t="str">
        <f>IFERROR(__xludf.DUMMYFUNCTION("""COMPUTED_VALUE"""),"085299366207")</f>
        <v>085299366207</v>
      </c>
      <c r="F47" s="7">
        <f>IFERROR(__xludf.DUMMYFUNCTION("""COMPUTED_VALUE"""),36747.0)</f>
        <v>36747</v>
      </c>
      <c r="G47" s="5" t="str">
        <f>IFERROR(__xludf.DUMMYFUNCTION("""COMPUTED_VALUE"""),"Tadris Matematika")</f>
        <v>Tadris Matematika</v>
      </c>
      <c r="H47" s="5" t="str">
        <f>IFERROR(__xludf.DUMMYFUNCTION("""COMPUTED_VALUE"""),"Institut Agama Islam Negeri Kendari")</f>
        <v>Institut Agama Islam Negeri Kendari</v>
      </c>
      <c r="I47" s="5" t="str">
        <f>IFERROR(__xludf.DUMMYFUNCTION("""COMPUTED_VALUE"""),"Matematika")</f>
        <v>Matematika</v>
      </c>
      <c r="J47" s="5" t="str">
        <f>IFERROR(__xludf.DUMMYFUNCTION("""COMPUTED_VALUE"""),"PPG Calon Guru Gelombang 2 Tahun 2024")</f>
        <v>PPG Calon Guru Gelombang 2 Tahun 2024</v>
      </c>
      <c r="K47" s="5">
        <f>IFERROR(__xludf.DUMMYFUNCTION("""COMPUTED_VALUE"""),2025.0)</f>
        <v>2025</v>
      </c>
      <c r="L47" s="8" t="str">
        <f>IFERROR(__xludf.DUMMYFUNCTION("""COMPUTED_VALUE"""),"3,77")</f>
        <v>3,77</v>
      </c>
      <c r="M47" s="5" t="str">
        <f>IFERROR(__xludf.DUMMYFUNCTION("""COMPUTED_VALUE"""),"4")</f>
        <v>4</v>
      </c>
      <c r="N47" s="5" t="str">
        <f>IFERROR(__xludf.DUMMYFUNCTION("""COMPUTED_VALUE"""),"Kota Kendari, Sulawesi Tenggara")</f>
        <v>Kota Kendari, Sulawesi Tenggara</v>
      </c>
      <c r="O47" s="5" t="str">
        <f>IFERROR(__xludf.DUMMYFUNCTION("""COMPUTED_VALUE"""),"Tidak")</f>
        <v>Tidak</v>
      </c>
      <c r="P47" s="5" t="str">
        <f>IFERROR(__xludf.DUMMYFUNCTION("""COMPUTED_VALUE"""),"Tenaga pendampingan pembelajaran mata Pelajaran Matematika (umum)")</f>
        <v>Tenaga pendampingan pembelajaran mata Pelajaran Matematika (umum)</v>
      </c>
      <c r="Q47" s="5" t="str">
        <f>IFERROR(__xludf.DUMMYFUNCTION("""COMPUTED_VALUE"""),"Kabupaten Buton Tengah, Sulawesi Tenggara")</f>
        <v>Kabupaten Buton Tengah, Sulawesi Tenggara</v>
      </c>
      <c r="R47" s="5" t="str">
        <f>IFERROR(__xludf.DUMMYFUNCTION("""COMPUTED_VALUE"""),"-")</f>
        <v>-</v>
      </c>
      <c r="S47" s="11" t="str">
        <f>IFERROR(__xludf.DUMMYFUNCTION("""COMPUTED_VALUE"""),"https://drive.google.com/file/d/1K8Bi3qh64CvDS9EXYN8fxBMknWkIhU7a/view?usp=drive_link")</f>
        <v>https://drive.google.com/file/d/1K8Bi3qh64CvDS9EXYN8fxBMknWkIhU7a/view?usp=drive_link</v>
      </c>
      <c r="T47" s="5" t="str">
        <f>IFERROR(__xludf.DUMMYFUNCTION("""COMPUTED_VALUE"""),"Alumni PPG Calon Guru / Prajabatan FKIP UHO")</f>
        <v>Alumni PPG Calon Guru / Prajabatan FKIP UHO</v>
      </c>
      <c r="U47" s="5"/>
      <c r="V47" s="5"/>
      <c r="W47" s="5"/>
      <c r="X47" s="5"/>
      <c r="Y47" s="5" t="str">
        <f>IFERROR(__xludf.DUMMYFUNCTION("""COMPUTED_VALUE"""),"A3S224276")</f>
        <v>A3S224276</v>
      </c>
      <c r="Z47" s="5"/>
      <c r="AA47" s="5"/>
      <c r="AB47" s="5"/>
    </row>
    <row r="48" hidden="1">
      <c r="A48" s="4">
        <f>IFERROR(__xludf.DUMMYFUNCTION("""COMPUTED_VALUE"""),46231.94897387731)</f>
        <v>46231.94897</v>
      </c>
      <c r="B48" s="5" t="str">
        <f>IFERROR(__xludf.DUMMYFUNCTION("""COMPUTED_VALUE"""),"nurulkhoiriyah441@gmail.com")</f>
        <v>nurulkhoiriyah441@gmail.com</v>
      </c>
      <c r="C48" s="5" t="str">
        <f>IFERROR(__xludf.DUMMYFUNCTION("""COMPUTED_VALUE"""),"Nurul Khoiriyah, S.Pd., Gr.")</f>
        <v>Nurul Khoiriyah, S.Pd., Gr.</v>
      </c>
      <c r="D48" s="5">
        <f>IFERROR(__xludf.DUMMYFUNCTION("""COMPUTED_VALUE"""),7.00012574E9)</f>
        <v>7000125740</v>
      </c>
      <c r="E48" s="5" t="str">
        <f>IFERROR(__xludf.DUMMYFUNCTION("""COMPUTED_VALUE"""),"081393616229")</f>
        <v>081393616229</v>
      </c>
      <c r="F48" s="7">
        <f>IFERROR(__xludf.DUMMYFUNCTION("""COMPUTED_VALUE"""),36890.0)</f>
        <v>36890</v>
      </c>
      <c r="G48" s="5" t="str">
        <f>IFERROR(__xludf.DUMMYFUNCTION("""COMPUTED_VALUE"""),"S-1")</f>
        <v>S-1</v>
      </c>
      <c r="H48" s="5" t="str">
        <f>IFERROR(__xludf.DUMMYFUNCTION("""COMPUTED_VALUE"""),"Universitas Muhammadiyah Surakarta")</f>
        <v>Universitas Muhammadiyah Surakarta</v>
      </c>
      <c r="I48" s="5" t="str">
        <f>IFERROR(__xludf.DUMMYFUNCTION("""COMPUTED_VALUE"""),"Informatika")</f>
        <v>Informatika</v>
      </c>
      <c r="J48" s="5" t="str">
        <f>IFERROR(__xludf.DUMMYFUNCTION("""COMPUTED_VALUE"""),"PPG Prajabatan Gelombang 2 Tahun 2022")</f>
        <v>PPG Prajabatan Gelombang 2 Tahun 2022</v>
      </c>
      <c r="K48" s="5">
        <f>IFERROR(__xludf.DUMMYFUNCTION("""COMPUTED_VALUE"""),2025.0)</f>
        <v>2025</v>
      </c>
      <c r="L48" s="8" t="str">
        <f>IFERROR(__xludf.DUMMYFUNCTION("""COMPUTED_VALUE"""),"3.67")</f>
        <v>3.67</v>
      </c>
      <c r="M48" s="5" t="str">
        <f>IFERROR(__xludf.DUMMYFUNCTION("""COMPUTED_VALUE"""),"3.98")</f>
        <v>3.98</v>
      </c>
      <c r="N48" s="5" t="str">
        <f>IFERROR(__xludf.DUMMYFUNCTION("""COMPUTED_VALUE"""),"Kota Rembang, Jawa Tengah")</f>
        <v>Kota Rembang, Jawa Tengah</v>
      </c>
      <c r="O48" s="5" t="str">
        <f>IFERROR(__xludf.DUMMYFUNCTION("""COMPUTED_VALUE"""),"Tidak")</f>
        <v>Tidak</v>
      </c>
      <c r="P48" s="5" t="str">
        <f>IFERROR(__xludf.DUMMYFUNCTION("""COMPUTED_VALUE"""),"Tenaga pendampingan pembelajaran mata pelajaran TIK")</f>
        <v>Tenaga pendampingan pembelajaran mata pelajaran TIK</v>
      </c>
      <c r="Q48" s="5" t="str">
        <f>IFERROR(__xludf.DUMMYFUNCTION("""COMPUTED_VALUE"""),"Kabupaten Jepara, Jawa Tengah")</f>
        <v>Kabupaten Jepara, Jawa Tengah</v>
      </c>
      <c r="R48" s="11" t="str">
        <f>IFERROR(__xludf.DUMMYFUNCTION("""COMPUTED_VALUE"""),"https://drive.google.com/drive/folders/1wEPRgq-LJktmgSReVBVb_4qjO7jjp2A7?usp=sharing")</f>
        <v>https://drive.google.com/drive/folders/1wEPRgq-LJktmgSReVBVb_4qjO7jjp2A7?usp=sharing</v>
      </c>
      <c r="S48" s="11" t="str">
        <f>IFERROR(__xludf.DUMMYFUNCTION("""COMPUTED_VALUE"""),"https://drive.google.com/file/d/10vZFJJ6HLCd0q9kJFe38K6ug4wCZSDnp/view?usp=sharing")</f>
        <v>https://drive.google.com/file/d/10vZFJJ6HLCd0q9kJFe38K6ug4wCZSDnp/view?usp=sharing</v>
      </c>
      <c r="T48" s="5" t="str">
        <f>IFERROR(__xludf.DUMMYFUNCTION("""COMPUTED_VALUE"""),"Alumni PPG Calon Guru / Prajabatan FKIP UNS")</f>
        <v>Alumni PPG Calon Guru / Prajabatan FKIP UNS</v>
      </c>
      <c r="U48" s="5" t="str">
        <f>IFERROR(__xludf.DUMMYFUNCTION("""COMPUTED_VALUE"""),"X942408360")</f>
        <v>X942408360</v>
      </c>
      <c r="V48" s="5" t="str">
        <f>IFERROR(__xludf.DUMMYFUNCTION("""COMPUTED_VALUE"""),"A710190095")</f>
        <v>A710190095</v>
      </c>
      <c r="W48" s="5" t="str">
        <f>IFERROR(__xludf.DUMMYFUNCTION("""COMPUTED_VALUE"""),"Pendidikan Teknik Informatika")</f>
        <v>Pendidikan Teknik Informatika</v>
      </c>
      <c r="X48" s="5" t="str">
        <f>IFERROR(__xludf.DUMMYFUNCTION("""COMPUTED_VALUE"""),"Universitas Negeri Sebelas Maret")</f>
        <v>Universitas Negeri Sebelas Maret</v>
      </c>
      <c r="Y48" s="5" t="str">
        <f>IFERROR(__xludf.DUMMYFUNCTION("""COMPUTED_VALUE"""),"X942408360")</f>
        <v>X942408360</v>
      </c>
      <c r="Z48" s="5"/>
      <c r="AA48" s="5"/>
      <c r="AB48" s="5"/>
    </row>
    <row r="49" hidden="1">
      <c r="A49" s="4">
        <f>IFERROR(__xludf.DUMMYFUNCTION("""COMPUTED_VALUE"""),46231.983297638886)</f>
        <v>46231.9833</v>
      </c>
      <c r="B49" s="5" t="str">
        <f>IFERROR(__xludf.DUMMYFUNCTION("""COMPUTED_VALUE"""),"aliefmufirsa@gmail.com")</f>
        <v>aliefmufirsa@gmail.com</v>
      </c>
      <c r="C49" s="5" t="str">
        <f>IFERROR(__xludf.DUMMYFUNCTION("""COMPUTED_VALUE"""),"Alief Mustaghfiroh Suciyani Arifin, S.Pd., Gr.")</f>
        <v>Alief Mustaghfiroh Suciyani Arifin, S.Pd., Gr.</v>
      </c>
      <c r="D49" s="5">
        <f>IFERROR(__xludf.DUMMYFUNCTION("""COMPUTED_VALUE"""),7.000166234E9)</f>
        <v>7000166234</v>
      </c>
      <c r="E49" s="5" t="str">
        <f>IFERROR(__xludf.DUMMYFUNCTION("""COMPUTED_VALUE"""),"085788337823")</f>
        <v>085788337823</v>
      </c>
      <c r="F49" s="7">
        <f>IFERROR(__xludf.DUMMYFUNCTION("""COMPUTED_VALUE"""),35826.0)</f>
        <v>35826</v>
      </c>
      <c r="G49" s="5" t="str">
        <f>IFERROR(__xludf.DUMMYFUNCTION("""COMPUTED_VALUE"""),"Pendidikan Pancasila dan Kewarganegaraan")</f>
        <v>Pendidikan Pancasila dan Kewarganegaraan</v>
      </c>
      <c r="H49" s="5" t="str">
        <f>IFERROR(__xludf.DUMMYFUNCTION("""COMPUTED_VALUE"""),"Universitas Terbuka")</f>
        <v>Universitas Terbuka</v>
      </c>
      <c r="I49" s="5" t="str">
        <f>IFERROR(__xludf.DUMMYFUNCTION("""COMPUTED_VALUE"""),"Pendidikan Pancasila dan Kewarganegaraan (PKn)")</f>
        <v>Pendidikan Pancasila dan Kewarganegaraan (PKn)</v>
      </c>
      <c r="J49" s="5" t="str">
        <f>IFERROR(__xludf.DUMMYFUNCTION("""COMPUTED_VALUE"""),"PPG Prajabatan Gelombang 2 Tahun 2023")</f>
        <v>PPG Prajabatan Gelombang 2 Tahun 2023</v>
      </c>
      <c r="K49" s="5">
        <f>IFERROR(__xludf.DUMMYFUNCTION("""COMPUTED_VALUE"""),2024.0)</f>
        <v>2024</v>
      </c>
      <c r="L49" s="8" t="str">
        <f>IFERROR(__xludf.DUMMYFUNCTION("""COMPUTED_VALUE"""),"3.56")</f>
        <v>3.56</v>
      </c>
      <c r="M49" s="5" t="str">
        <f>IFERROR(__xludf.DUMMYFUNCTION("""COMPUTED_VALUE"""),"3.94")</f>
        <v>3.94</v>
      </c>
      <c r="N49" s="5" t="str">
        <f>IFERROR(__xludf.DUMMYFUNCTION("""COMPUTED_VALUE"""),"kota bangko kabupaten merangin provinsi jambi")</f>
        <v>kota bangko kabupaten merangin provinsi jambi</v>
      </c>
      <c r="O49" s="5" t="str">
        <f>IFERROR(__xludf.DUMMYFUNCTION("""COMPUTED_VALUE"""),"Tidak")</f>
        <v>Tidak</v>
      </c>
      <c r="P49" s="5" t="str">
        <f>IFERROR(__xludf.DUMMYFUNCTION("""COMPUTED_VALUE"""),"Tenaga pendampingan pembelajaran mata Pelajaran Pendidikan Pancasila")</f>
        <v>Tenaga pendampingan pembelajaran mata Pelajaran Pendidikan Pancasila</v>
      </c>
      <c r="Q49" s="5" t="str">
        <f>IFERROR(__xludf.DUMMYFUNCTION("""COMPUTED_VALUE"""),"Kabupaten Jepara, Jawa Tengah")</f>
        <v>Kabupaten Jepara, Jawa Tengah</v>
      </c>
      <c r="R49" s="11" t="str">
        <f>IFERROR(__xludf.DUMMYFUNCTION("""COMPUTED_VALUE"""),"https://drive.google.com/file/d/1frp5f7viKQmAZ4FGqYLgdVweGBRuM-xe/view?usp=drivesdk")</f>
        <v>https://drive.google.com/file/d/1frp5f7viKQmAZ4FGqYLgdVweGBRuM-xe/view?usp=drivesdk</v>
      </c>
      <c r="S49" s="11" t="str">
        <f>IFERROR(__xludf.DUMMYFUNCTION("""COMPUTED_VALUE"""),"https://drive.google.com/file/d/1EYnoMc565zoK0J826IOUtHJ9sB9Z2CQo/view?usp=drivesdk")</f>
        <v>https://drive.google.com/file/d/1EYnoMc565zoK0J826IOUtHJ9sB9Z2CQo/view?usp=drivesdk</v>
      </c>
      <c r="T49" s="5" t="str">
        <f>IFERROR(__xludf.DUMMYFUNCTION("""COMPUTED_VALUE"""),"Alumni PPG Calon Guru / Prajabatan FKIP UNS")</f>
        <v>Alumni PPG Calon Guru / Prajabatan FKIP UNS</v>
      </c>
      <c r="U49" s="5" t="str">
        <f>IFERROR(__xludf.DUMMYFUNCTION("""COMPUTED_VALUE"""),"X9023083402")</f>
        <v>X9023083402</v>
      </c>
      <c r="V49" s="5" t="str">
        <f>IFERROR(__xludf.DUMMYFUNCTION("""COMPUTED_VALUE"""),"-")</f>
        <v>-</v>
      </c>
      <c r="W49" s="5" t="str">
        <f>IFERROR(__xludf.DUMMYFUNCTION("""COMPUTED_VALUE"""),"-")</f>
        <v>-</v>
      </c>
      <c r="X49" s="5" t="str">
        <f>IFERROR(__xludf.DUMMYFUNCTION("""COMPUTED_VALUE"""),"-")</f>
        <v>-</v>
      </c>
      <c r="Y49" s="5" t="str">
        <f>IFERROR(__xludf.DUMMYFUNCTION("""COMPUTED_VALUE"""),"-")</f>
        <v>-</v>
      </c>
      <c r="Z49" s="5"/>
      <c r="AA49" s="5"/>
      <c r="AB49" s="5"/>
    </row>
    <row r="50" hidden="1">
      <c r="A50" s="4">
        <f>IFERROR(__xludf.DUMMYFUNCTION("""COMPUTED_VALUE"""),46232.28749877314)</f>
        <v>46232.2875</v>
      </c>
      <c r="B50" s="5" t="str">
        <f>IFERROR(__xludf.DUMMYFUNCTION("""COMPUTED_VALUE"""),"sholawatmania61@gmail.com")</f>
        <v>sholawatmania61@gmail.com</v>
      </c>
      <c r="C50" s="5" t="str">
        <f>IFERROR(__xludf.DUMMYFUNCTION("""COMPUTED_VALUE"""),"Zaenudin,S.Pd.Gr.")</f>
        <v>Zaenudin,S.Pd.Gr.</v>
      </c>
      <c r="D50" s="5">
        <f>IFERROR(__xludf.DUMMYFUNCTION("""COMPUTED_VALUE"""),7.000043958E9)</f>
        <v>7000043958</v>
      </c>
      <c r="E50" s="5" t="str">
        <f>IFERROR(__xludf.DUMMYFUNCTION("""COMPUTED_VALUE"""),"08976565808")</f>
        <v>08976565808</v>
      </c>
      <c r="F50" s="7">
        <f>IFERROR(__xludf.DUMMYFUNCTION("""COMPUTED_VALUE"""),34663.0)</f>
        <v>34663</v>
      </c>
      <c r="G50" s="5" t="str">
        <f>IFERROR(__xludf.DUMMYFUNCTION("""COMPUTED_VALUE"""),"Pendidikan kepelatihan olahraga ")</f>
        <v>Pendidikan kepelatihan olahraga </v>
      </c>
      <c r="H50" s="5" t="str">
        <f>IFERROR(__xludf.DUMMYFUNCTION("""COMPUTED_VALUE"""),"Universitas tunas pembangunan Surakarta ")</f>
        <v>Universitas tunas pembangunan Surakarta </v>
      </c>
      <c r="I50" s="5" t="str">
        <f>IFERROR(__xludf.DUMMYFUNCTION("""COMPUTED_VALUE"""),"Pendidikan Jasmani, Olahraga, dan Kesehatan (PJOK)")</f>
        <v>Pendidikan Jasmani, Olahraga, dan Kesehatan (PJOK)</v>
      </c>
      <c r="J50" s="5" t="str">
        <f>IFERROR(__xludf.DUMMYFUNCTION("""COMPUTED_VALUE"""),"PPG Calon Guru Gelombang 2 Tahun 2024")</f>
        <v>PPG Calon Guru Gelombang 2 Tahun 2024</v>
      </c>
      <c r="K50" s="5">
        <f>IFERROR(__xludf.DUMMYFUNCTION("""COMPUTED_VALUE"""),2025.0)</f>
        <v>2025</v>
      </c>
      <c r="L50" s="8" t="str">
        <f>IFERROR(__xludf.DUMMYFUNCTION("""COMPUTED_VALUE"""),"3.35")</f>
        <v>3.35</v>
      </c>
      <c r="M50" s="5" t="str">
        <f>IFERROR(__xludf.DUMMYFUNCTION("""COMPUTED_VALUE"""),"3.83")</f>
        <v>3.83</v>
      </c>
      <c r="N50" s="5" t="str">
        <f>IFERROR(__xludf.DUMMYFUNCTION("""COMPUTED_VALUE"""),"Kab.grobogan")</f>
        <v>Kab.grobogan</v>
      </c>
      <c r="O50" s="5" t="str">
        <f>IFERROR(__xludf.DUMMYFUNCTION("""COMPUTED_VALUE"""),"Tidak")</f>
        <v>Tidak</v>
      </c>
      <c r="P50" s="5" t="str">
        <f>IFERROR(__xludf.DUMMYFUNCTION("""COMPUTED_VALUE"""),"Tenaga pendampingan pembelajaran mata Pelajaran Penjasorkes")</f>
        <v>Tenaga pendampingan pembelajaran mata Pelajaran Penjasorkes</v>
      </c>
      <c r="Q50" s="5" t="str">
        <f>IFERROR(__xludf.DUMMYFUNCTION("""COMPUTED_VALUE"""),"Kabupaten Jepara, Jawa Tengah")</f>
        <v>Kabupaten Jepara, Jawa Tengah</v>
      </c>
      <c r="R50" s="5" t="str">
        <f>IFERROR(__xludf.DUMMYFUNCTION("""COMPUTED_VALUE"""),"Pengembangan pelajaran kurikulum merdeka berbasis deep learning ")</f>
        <v>Pengembangan pelajaran kurikulum merdeka berbasis deep learning </v>
      </c>
      <c r="S50" s="11" t="str">
        <f>IFERROR(__xludf.DUMMYFUNCTION("""COMPUTED_VALUE"""),"https://drive.google.com/file/d/1WoZ2dEnTCug0Ziv3_iuegw3MELqpmkZC/view?usp=drivesdk")</f>
        <v>https://drive.google.com/file/d/1WoZ2dEnTCug0Ziv3_iuegw3MELqpmkZC/view?usp=drivesdk</v>
      </c>
      <c r="T50" s="5" t="str">
        <f>IFERROR(__xludf.DUMMYFUNCTION("""COMPUTED_VALUE"""),"Alumni PPG Calon Guru / Prajabatan FKIP UNS")</f>
        <v>Alumni PPG Calon Guru / Prajabatan FKIP UNS</v>
      </c>
      <c r="U50" s="5" t="str">
        <f>IFERROR(__xludf.DUMMYFUNCTION("""COMPUTED_VALUE"""),"X942408503")</f>
        <v>X942408503</v>
      </c>
      <c r="V50" s="5" t="str">
        <f>IFERROR(__xludf.DUMMYFUNCTION("""COMPUTED_VALUE"""),"D0214289")</f>
        <v>D0214289</v>
      </c>
      <c r="W50" s="5" t="str">
        <f>IFERROR(__xludf.DUMMYFUNCTION("""COMPUTED_VALUE"""),"Pendidikan  kepelatihan olahraga ")</f>
        <v>Pendidikan  kepelatihan olahraga </v>
      </c>
      <c r="X50" s="5" t="str">
        <f>IFERROR(__xludf.DUMMYFUNCTION("""COMPUTED_VALUE"""),"Universitas sebelas Maret Surakarta ")</f>
        <v>Universitas sebelas Maret Surakarta </v>
      </c>
      <c r="Y50" s="5" t="str">
        <f>IFERROR(__xludf.DUMMYFUNCTION("""COMPUTED_VALUE"""),"X942408503")</f>
        <v>X942408503</v>
      </c>
      <c r="Z50" s="5"/>
      <c r="AA50" s="5"/>
      <c r="AB50" s="5"/>
    </row>
    <row r="51" hidden="1">
      <c r="A51" s="4">
        <f>IFERROR(__xludf.DUMMYFUNCTION("""COMPUTED_VALUE"""),46231.99100324074)</f>
        <v>46231.991</v>
      </c>
      <c r="B51" s="5" t="str">
        <f>IFERROR(__xludf.DUMMYFUNCTION("""COMPUTED_VALUE"""),"abianaelfarabi@student.uns.ac.id")</f>
        <v>abianaelfarabi@student.uns.ac.id</v>
      </c>
      <c r="C51" s="5" t="str">
        <f>IFERROR(__xludf.DUMMYFUNCTION("""COMPUTED_VALUE"""),"Abiana Elfarabi S.Pd., Gr")</f>
        <v>Abiana Elfarabi S.Pd., Gr</v>
      </c>
      <c r="D51" s="5">
        <f>IFERROR(__xludf.DUMMYFUNCTION("""COMPUTED_VALUE"""),7.000112279E9)</f>
        <v>7000112279</v>
      </c>
      <c r="E51" s="5" t="str">
        <f>IFERROR(__xludf.DUMMYFUNCTION("""COMPUTED_VALUE"""),"081354992286")</f>
        <v>081354992286</v>
      </c>
      <c r="F51" s="7">
        <f>IFERROR(__xludf.DUMMYFUNCTION("""COMPUTED_VALUE"""),36725.0)</f>
        <v>36725</v>
      </c>
      <c r="G51" s="5" t="str">
        <f>IFERROR(__xludf.DUMMYFUNCTION("""COMPUTED_VALUE"""),"S-1 Pendidikan Ilmu Pengetahuan Alam")</f>
        <v>S-1 Pendidikan Ilmu Pengetahuan Alam</v>
      </c>
      <c r="H51" s="5" t="str">
        <f>IFERROR(__xludf.DUMMYFUNCTION("""COMPUTED_VALUE"""),"Universitas Negeri Malang")</f>
        <v>Universitas Negeri Malang</v>
      </c>
      <c r="I51" s="5" t="str">
        <f>IFERROR(__xludf.DUMMYFUNCTION("""COMPUTED_VALUE"""),"Ilmu Pengetahuan Alam (IPA)")</f>
        <v>Ilmu Pengetahuan Alam (IPA)</v>
      </c>
      <c r="J51" s="5" t="str">
        <f>IFERROR(__xludf.DUMMYFUNCTION("""COMPUTED_VALUE"""),"PPG Prajabatan Gelombang 2 Tahun 2022")</f>
        <v>PPG Prajabatan Gelombang 2 Tahun 2022</v>
      </c>
      <c r="K51" s="5">
        <f>IFERROR(__xludf.DUMMYFUNCTION("""COMPUTED_VALUE"""),2023.0)</f>
        <v>2023</v>
      </c>
      <c r="L51" s="8" t="str">
        <f>IFERROR(__xludf.DUMMYFUNCTION("""COMPUTED_VALUE"""),"3,58")</f>
        <v>3,58</v>
      </c>
      <c r="M51" s="5" t="str">
        <f>IFERROR(__xludf.DUMMYFUNCTION("""COMPUTED_VALUE"""),"3,97")</f>
        <v>3,97</v>
      </c>
      <c r="N51" s="5" t="str">
        <f>IFERROR(__xludf.DUMMYFUNCTION("""COMPUTED_VALUE"""),"Kab. Ngawi, Jawa Timur")</f>
        <v>Kab. Ngawi, Jawa Timur</v>
      </c>
      <c r="O51" s="5" t="str">
        <f>IFERROR(__xludf.DUMMYFUNCTION("""COMPUTED_VALUE"""),"Tidak")</f>
        <v>Tidak</v>
      </c>
      <c r="P51" s="5" t="str">
        <f>IFERROR(__xludf.DUMMYFUNCTION("""COMPUTED_VALUE"""),"Tenaga pendampingan pembelajaran mata Pelajaran Ilmu Pengetahuan Alam (IPA) untuk mengajar mata pelajaran Biologi, Kimia, Fisika")</f>
        <v>Tenaga pendampingan pembelajaran mata Pelajaran Ilmu Pengetahuan Alam (IPA) untuk mengajar mata pelajaran Biologi, Kimia, Fisika</v>
      </c>
      <c r="Q51" s="5" t="str">
        <f>IFERROR(__xludf.DUMMYFUNCTION("""COMPUTED_VALUE"""),"Kabupaten Jepara, Jawa Tengah")</f>
        <v>Kabupaten Jepara, Jawa Tengah</v>
      </c>
      <c r="R51" s="11" t="str">
        <f>IFERROR(__xludf.DUMMYFUNCTION("""COMPUTED_VALUE"""),"https://drive.google.com/drive/folders/1ccEHDmuRI-CaQCVHWlmbkSJaZSQVRxo1?usp=sharing")</f>
        <v>https://drive.google.com/drive/folders/1ccEHDmuRI-CaQCVHWlmbkSJaZSQVRxo1?usp=sharing</v>
      </c>
      <c r="S51" s="11" t="str">
        <f>IFERROR(__xludf.DUMMYFUNCTION("""COMPUTED_VALUE"""),"https://drive.google.com/drive/folders/1ZMdpKDuNX2Ug5GuQm0IKJcqbtSXsXuoq?usp=sharing ")</f>
        <v>https://drive.google.com/drive/folders/1ZMdpKDuNX2Ug5GuQm0IKJcqbtSXsXuoq?usp=sharing </v>
      </c>
      <c r="T51" s="5" t="str">
        <f>IFERROR(__xludf.DUMMYFUNCTION("""COMPUTED_VALUE"""),"Alumni PPG Calon Guru / Prajabatan FKIP UNS")</f>
        <v>Alumni PPG Calon Guru / Prajabatan FKIP UNS</v>
      </c>
      <c r="U51" s="5" t="str">
        <f>IFERROR(__xludf.DUMMYFUNCTION("""COMPUTED_VALUE"""),"X9022083742")</f>
        <v>X9022083742</v>
      </c>
      <c r="V51" s="5" t="str">
        <f>IFERROR(__xludf.DUMMYFUNCTION("""COMPUTED_VALUE"""),"-")</f>
        <v>-</v>
      </c>
      <c r="W51" s="5" t="str">
        <f>IFERROR(__xludf.DUMMYFUNCTION("""COMPUTED_VALUE"""),"-")</f>
        <v>-</v>
      </c>
      <c r="X51" s="5" t="str">
        <f>IFERROR(__xludf.DUMMYFUNCTION("""COMPUTED_VALUE"""),"-")</f>
        <v>-</v>
      </c>
      <c r="Y51" s="5" t="str">
        <f>IFERROR(__xludf.DUMMYFUNCTION("""COMPUTED_VALUE"""),"-")</f>
        <v>-</v>
      </c>
      <c r="Z51" s="5"/>
      <c r="AA51" s="5"/>
      <c r="AB51" s="5"/>
    </row>
    <row r="52" hidden="1">
      <c r="A52" s="4">
        <f>IFERROR(__xludf.DUMMYFUNCTION("""COMPUTED_VALUE"""),46231.99631266204)</f>
        <v>46231.99631</v>
      </c>
      <c r="B52" s="5" t="str">
        <f>IFERROR(__xludf.DUMMYFUNCTION("""COMPUTED_VALUE"""),"mudawamatul_khasanah@student.uns.ac.id")</f>
        <v>mudawamatul_khasanah@student.uns.ac.id</v>
      </c>
      <c r="C52" s="5" t="str">
        <f>IFERROR(__xludf.DUMMYFUNCTION("""COMPUTED_VALUE"""),"Mudawamatul Khasanah, S. Pd. G.r.")</f>
        <v>Mudawamatul Khasanah, S. Pd. G.r.</v>
      </c>
      <c r="D52" s="5">
        <f>IFERROR(__xludf.DUMMYFUNCTION("""COMPUTED_VALUE"""),7.000060591E9)</f>
        <v>7000060591</v>
      </c>
      <c r="E52" s="5" t="str">
        <f>IFERROR(__xludf.DUMMYFUNCTION("""COMPUTED_VALUE"""),"085729580804")</f>
        <v>085729580804</v>
      </c>
      <c r="F52" s="7">
        <f>IFERROR(__xludf.DUMMYFUNCTION("""COMPUTED_VALUE"""),35267.0)</f>
        <v>35267</v>
      </c>
      <c r="G52" s="5" t="str">
        <f>IFERROR(__xludf.DUMMYFUNCTION("""COMPUTED_VALUE"""),"Pendidikan Pancasila dan Kewarganegaraan ")</f>
        <v>Pendidikan Pancasila dan Kewarganegaraan </v>
      </c>
      <c r="H52" s="5" t="str">
        <f>IFERROR(__xludf.DUMMYFUNCTION("""COMPUTED_VALUE"""),"Universitas Sebelas Maret ")</f>
        <v>Universitas Sebelas Maret </v>
      </c>
      <c r="I52" s="5" t="str">
        <f>IFERROR(__xludf.DUMMYFUNCTION("""COMPUTED_VALUE"""),"Pendidikan Pancasila dan Kewarganegaraan (PKn)")</f>
        <v>Pendidikan Pancasila dan Kewarganegaraan (PKn)</v>
      </c>
      <c r="J52" s="5" t="str">
        <f>IFERROR(__xludf.DUMMYFUNCTION("""COMPUTED_VALUE"""),"PPG Calon Guru Gelombang 2 Tahun 2024")</f>
        <v>PPG Calon Guru Gelombang 2 Tahun 2024</v>
      </c>
      <c r="K52" s="5">
        <f>IFERROR(__xludf.DUMMYFUNCTION("""COMPUTED_VALUE"""),2025.0)</f>
        <v>2025</v>
      </c>
      <c r="L52" s="8" t="str">
        <f>IFERROR(__xludf.DUMMYFUNCTION("""COMPUTED_VALUE"""),"3.40")</f>
        <v>3.40</v>
      </c>
      <c r="M52" s="5" t="str">
        <f>IFERROR(__xludf.DUMMYFUNCTION("""COMPUTED_VALUE"""),"3.50")</f>
        <v>3.50</v>
      </c>
      <c r="N52" s="5" t="str">
        <f>IFERROR(__xludf.DUMMYFUNCTION("""COMPUTED_VALUE"""),"Kabupaten Magelang ")</f>
        <v>Kabupaten Magelang </v>
      </c>
      <c r="O52" s="5" t="str">
        <f>IFERROR(__xludf.DUMMYFUNCTION("""COMPUTED_VALUE"""),"Tidak")</f>
        <v>Tidak</v>
      </c>
      <c r="P52" s="5" t="str">
        <f>IFERROR(__xludf.DUMMYFUNCTION("""COMPUTED_VALUE"""),"Tenaga pendampingan pembelajaran mata Pelajaran Pendidikan Pancasila")</f>
        <v>Tenaga pendampingan pembelajaran mata Pelajaran Pendidikan Pancasila</v>
      </c>
      <c r="Q52" s="5" t="str">
        <f>IFERROR(__xludf.DUMMYFUNCTION("""COMPUTED_VALUE"""),"Kabupaten Jepara, Jawa Tengah")</f>
        <v>Kabupaten Jepara, Jawa Tengah</v>
      </c>
      <c r="R52" s="5" t="str">
        <f>IFERROR(__xludf.DUMMYFUNCTION("""COMPUTED_VALUE"""),"-")</f>
        <v>-</v>
      </c>
      <c r="S52" s="11" t="str">
        <f>IFERROR(__xludf.DUMMYFUNCTION("""COMPUTED_VALUE"""),"https://drive.google.com/drive/folders/1eQb9Ydk0eATBDcczvp7yz_FB4O4O3AS3")</f>
        <v>https://drive.google.com/drive/folders/1eQb9Ydk0eATBDcczvp7yz_FB4O4O3AS3</v>
      </c>
      <c r="T52" s="5" t="str">
        <f>IFERROR(__xludf.DUMMYFUNCTION("""COMPUTED_VALUE"""),"Alumni S1 FKIP UNS yang telah lulus PPG Calon Guru/Prajabatan bukan di FKIP UNS")</f>
        <v>Alumni S1 FKIP UNS yang telah lulus PPG Calon Guru/Prajabatan bukan di FKIP UNS</v>
      </c>
      <c r="U52" s="5"/>
      <c r="V52" s="5" t="str">
        <f>IFERROR(__xludf.DUMMYFUNCTION("""COMPUTED_VALUE"""),"K6414038")</f>
        <v>K6414038</v>
      </c>
      <c r="W52" s="5" t="str">
        <f>IFERROR(__xludf.DUMMYFUNCTION("""COMPUTED_VALUE"""),"PPKn ")</f>
        <v>PPKn </v>
      </c>
      <c r="X52" s="5" t="str">
        <f>IFERROR(__xludf.DUMMYFUNCTION("""COMPUTED_VALUE"""),"Universitas Muhammadiyah Surakarta ")</f>
        <v>Universitas Muhammadiyah Surakarta </v>
      </c>
      <c r="Y52" s="5" t="str">
        <f>IFERROR(__xludf.DUMMYFUNCTION("""COMPUTED_VALUE"""),"A922240049")</f>
        <v>A922240049</v>
      </c>
      <c r="Z52" s="5"/>
      <c r="AA52" s="5"/>
      <c r="AB52" s="5"/>
    </row>
    <row r="53" hidden="1">
      <c r="A53" s="4">
        <f>IFERROR(__xludf.DUMMYFUNCTION("""COMPUTED_VALUE"""),46232.34575855324)</f>
        <v>46232.34576</v>
      </c>
      <c r="B53" s="5" t="str">
        <f>IFERROR(__xludf.DUMMYFUNCTION("""COMPUTED_VALUE"""),"sriwulandari20010328@gmail.com")</f>
        <v>sriwulandari20010328@gmail.com</v>
      </c>
      <c r="C53" s="5" t="str">
        <f>IFERROR(__xludf.DUMMYFUNCTION("""COMPUTED_VALUE"""),"Sri Wulandari, S.Hum., Gr.")</f>
        <v>Sri Wulandari, S.Hum., Gr.</v>
      </c>
      <c r="D53" s="5">
        <f>IFERROR(__xludf.DUMMYFUNCTION("""COMPUTED_VALUE"""),7.00027015E9)</f>
        <v>7000270150</v>
      </c>
      <c r="E53" s="5" t="str">
        <f>IFERROR(__xludf.DUMMYFUNCTION("""COMPUTED_VALUE"""),"087823687709")</f>
        <v>087823687709</v>
      </c>
      <c r="F53" s="7">
        <f>IFERROR(__xludf.DUMMYFUNCTION("""COMPUTED_VALUE"""),36978.0)</f>
        <v>36978</v>
      </c>
      <c r="G53" s="5" t="str">
        <f>IFERROR(__xludf.DUMMYFUNCTION("""COMPUTED_VALUE"""),"Sejarah Peradaban Islam ")</f>
        <v>Sejarah Peradaban Islam </v>
      </c>
      <c r="H53" s="5" t="str">
        <f>IFERROR(__xludf.DUMMYFUNCTION("""COMPUTED_VALUE"""),"Universitas Islam Negeri Sunan Ampel Surabaya ")</f>
        <v>Universitas Islam Negeri Sunan Ampel Surabaya </v>
      </c>
      <c r="I53" s="5" t="str">
        <f>IFERROR(__xludf.DUMMYFUNCTION("""COMPUTED_VALUE"""),"Sejarah")</f>
        <v>Sejarah</v>
      </c>
      <c r="J53" s="5" t="str">
        <f>IFERROR(__xludf.DUMMYFUNCTION("""COMPUTED_VALUE"""),"PPG Calon Guru Gelombang 2 Tahun 2024")</f>
        <v>PPG Calon Guru Gelombang 2 Tahun 2024</v>
      </c>
      <c r="K53" s="5">
        <f>IFERROR(__xludf.DUMMYFUNCTION("""COMPUTED_VALUE"""),2025.0)</f>
        <v>2025</v>
      </c>
      <c r="L53" s="8" t="str">
        <f>IFERROR(__xludf.DUMMYFUNCTION("""COMPUTED_VALUE"""),"3,8")</f>
        <v>3,8</v>
      </c>
      <c r="M53" s="5" t="str">
        <f>IFERROR(__xludf.DUMMYFUNCTION("""COMPUTED_VALUE"""),"3,85")</f>
        <v>3,85</v>
      </c>
      <c r="N53" s="5" t="str">
        <f>IFERROR(__xludf.DUMMYFUNCTION("""COMPUTED_VALUE"""),"Kediri, Jawa Timur ")</f>
        <v>Kediri, Jawa Timur </v>
      </c>
      <c r="O53" s="5" t="str">
        <f>IFERROR(__xludf.DUMMYFUNCTION("""COMPUTED_VALUE"""),"Tidak")</f>
        <v>Tidak</v>
      </c>
      <c r="P53" s="5" t="str">
        <f>IFERROR(__xludf.DUMMYFUNCTION("""COMPUTED_VALUE"""),"Tenaga pendampingan pembelajaran mata Pelajaran Ilmu Pengetahuan Sosial (IPS) untuk mengajar mata pelajaran Sosiologi, Ekonomi, Geografi, dan Sejarah")</f>
        <v>Tenaga pendampingan pembelajaran mata Pelajaran Ilmu Pengetahuan Sosial (IPS) untuk mengajar mata pelajaran Sosiologi, Ekonomi, Geografi, dan Sejarah</v>
      </c>
      <c r="Q53" s="5" t="str">
        <f>IFERROR(__xludf.DUMMYFUNCTION("""COMPUTED_VALUE"""),"Kabupaten Jepara, Jawa Tengah")</f>
        <v>Kabupaten Jepara, Jawa Tengah</v>
      </c>
      <c r="R53" s="5" t="str">
        <f>IFERROR(__xludf.DUMMYFUNCTION("""COMPUTED_VALUE"""),"-")</f>
        <v>-</v>
      </c>
      <c r="S53" s="11" t="str">
        <f>IFERROR(__xludf.DUMMYFUNCTION("""COMPUTED_VALUE"""),"https://youtu.be/ggULze_hHGY?si=3LHoSa1RXTS34FsR")</f>
        <v>https://youtu.be/ggULze_hHGY?si=3LHoSa1RXTS34FsR</v>
      </c>
      <c r="T53" s="5" t="str">
        <f>IFERROR(__xludf.DUMMYFUNCTION("""COMPUTED_VALUE"""),"Alumni PPG Calon Guru / Prajabatan FKIP UNS")</f>
        <v>Alumni PPG Calon Guru / Prajabatan FKIP UNS</v>
      </c>
      <c r="U53" s="5" t="str">
        <f>IFERROR(__xludf.DUMMYFUNCTION("""COMPUTED_VALUE"""),"X942408442")</f>
        <v>X942408442</v>
      </c>
      <c r="V53" s="5" t="str">
        <f>IFERROR(__xludf.DUMMYFUNCTION("""COMPUTED_VALUE"""),"-")</f>
        <v>-</v>
      </c>
      <c r="W53" s="5" t="str">
        <f>IFERROR(__xludf.DUMMYFUNCTION("""COMPUTED_VALUE"""),"-")</f>
        <v>-</v>
      </c>
      <c r="X53" s="5" t="str">
        <f>IFERROR(__xludf.DUMMYFUNCTION("""COMPUTED_VALUE"""),"-")</f>
        <v>-</v>
      </c>
      <c r="Y53" s="5" t="str">
        <f>IFERROR(__xludf.DUMMYFUNCTION("""COMPUTED_VALUE"""),"-")</f>
        <v>-</v>
      </c>
      <c r="Z53" s="5"/>
      <c r="AA53" s="5"/>
      <c r="AB53" s="5"/>
    </row>
    <row r="54" hidden="1">
      <c r="A54" s="4">
        <f>IFERROR(__xludf.DUMMYFUNCTION("""COMPUTED_VALUE"""),46232.37958408564)</f>
        <v>46232.37958</v>
      </c>
      <c r="B54" s="5" t="str">
        <f>IFERROR(__xludf.DUMMYFUNCTION("""COMPUTED_VALUE"""),"devyrizki64@gmail.com")</f>
        <v>devyrizki64@gmail.com</v>
      </c>
      <c r="C54" s="5" t="str">
        <f>IFERROR(__xludf.DUMMYFUNCTION("""COMPUTED_VALUE"""),"Devy Rizki Agustina, S.Pd.Gr.")</f>
        <v>Devy Rizki Agustina, S.Pd.Gr.</v>
      </c>
      <c r="D54" s="5">
        <f>IFERROR(__xludf.DUMMYFUNCTION("""COMPUTED_VALUE"""),7.000024673E9)</f>
        <v>7000024673</v>
      </c>
      <c r="E54" s="5" t="str">
        <f>IFERROR(__xludf.DUMMYFUNCTION("""COMPUTED_VALUE"""),"085156511988")</f>
        <v>085156511988</v>
      </c>
      <c r="F54" s="7">
        <f>IFERROR(__xludf.DUMMYFUNCTION("""COMPUTED_VALUE"""),36036.0)</f>
        <v>36036</v>
      </c>
      <c r="G54" s="5" t="str">
        <f>IFERROR(__xludf.DUMMYFUNCTION("""COMPUTED_VALUE"""),"Pendidikan Matematika")</f>
        <v>Pendidikan Matematika</v>
      </c>
      <c r="H54" s="5" t="str">
        <f>IFERROR(__xludf.DUMMYFUNCTION("""COMPUTED_VALUE"""),"Universitas Islam Negeri Walisongo")</f>
        <v>Universitas Islam Negeri Walisongo</v>
      </c>
      <c r="I54" s="5" t="str">
        <f>IFERROR(__xludf.DUMMYFUNCTION("""COMPUTED_VALUE"""),"Matematika")</f>
        <v>Matematika</v>
      </c>
      <c r="J54" s="5" t="str">
        <f>IFERROR(__xludf.DUMMYFUNCTION("""COMPUTED_VALUE"""),"PPG Prajabatan Gelombang 1 Tahun 2023")</f>
        <v>PPG Prajabatan Gelombang 1 Tahun 2023</v>
      </c>
      <c r="K54" s="5">
        <f>IFERROR(__xludf.DUMMYFUNCTION("""COMPUTED_VALUE"""),2024.0)</f>
        <v>2024</v>
      </c>
      <c r="L54" s="8" t="str">
        <f>IFERROR(__xludf.DUMMYFUNCTION("""COMPUTED_VALUE"""),"3.87")</f>
        <v>3.87</v>
      </c>
      <c r="M54" s="5" t="str">
        <f>IFERROR(__xludf.DUMMYFUNCTION("""COMPUTED_VALUE"""),"3.96")</f>
        <v>3.96</v>
      </c>
      <c r="N54" s="5" t="str">
        <f>IFERROR(__xludf.DUMMYFUNCTION("""COMPUTED_VALUE"""),"Kota Surakarta, Jawa Tengah")</f>
        <v>Kota Surakarta, Jawa Tengah</v>
      </c>
      <c r="O54" s="5" t="str">
        <f>IFERROR(__xludf.DUMMYFUNCTION("""COMPUTED_VALUE"""),"Ya")</f>
        <v>Ya</v>
      </c>
      <c r="P54" s="5" t="str">
        <f>IFERROR(__xludf.DUMMYFUNCTION("""COMPUTED_VALUE"""),"Tenaga pendampingan pembelajaran mata Pelajaran Matematika (umum)")</f>
        <v>Tenaga pendampingan pembelajaran mata Pelajaran Matematika (umum)</v>
      </c>
      <c r="Q54" s="5" t="str">
        <f>IFERROR(__xludf.DUMMYFUNCTION("""COMPUTED_VALUE"""),"Kabupaten Jepara, Jawa Tengah")</f>
        <v>Kabupaten Jepara, Jawa Tengah</v>
      </c>
      <c r="R54" s="11" t="str">
        <f>IFERROR(__xludf.DUMMYFUNCTION("""COMPUTED_VALUE"""),"https://drive.google.com/drive/folders/1tqTpPQoGWEtiCT-mKwOtGeLfdy_v-npn?usp=sharing")</f>
        <v>https://drive.google.com/drive/folders/1tqTpPQoGWEtiCT-mKwOtGeLfdy_v-npn?usp=sharing</v>
      </c>
      <c r="S54" s="11" t="str">
        <f>IFERROR(__xludf.DUMMYFUNCTION("""COMPUTED_VALUE"""),"https://drive.google.com/drive/folders/1Ox-0TUCz6hG9Myk2xhpFEEvKdlv8dm0C?usp=sharing")</f>
        <v>https://drive.google.com/drive/folders/1Ox-0TUCz6hG9Myk2xhpFEEvKdlv8dm0C?usp=sharing</v>
      </c>
      <c r="T54" s="5" t="str">
        <f>IFERROR(__xludf.DUMMYFUNCTION("""COMPUTED_VALUE"""),"Alumni PPG Calon Guru / Prajabatan FKIP UNS")</f>
        <v>Alumni PPG Calon Guru / Prajabatan FKIP UNS</v>
      </c>
      <c r="U54" s="5" t="str">
        <f>IFERROR(__xludf.DUMMYFUNCTION("""COMPUTED_VALUE"""),"X902308232")</f>
        <v>X902308232</v>
      </c>
      <c r="V54" s="5" t="str">
        <f>IFERROR(__xludf.DUMMYFUNCTION("""COMPUTED_VALUE"""),"-")</f>
        <v>-</v>
      </c>
      <c r="W54" s="5" t="str">
        <f>IFERROR(__xludf.DUMMYFUNCTION("""COMPUTED_VALUE"""),"-")</f>
        <v>-</v>
      </c>
      <c r="X54" s="5" t="str">
        <f>IFERROR(__xludf.DUMMYFUNCTION("""COMPUTED_VALUE"""),"Universitas Sebelas Maret (UNS)")</f>
        <v>Universitas Sebelas Maret (UNS)</v>
      </c>
      <c r="Y54" s="5" t="str">
        <f>IFERROR(__xludf.DUMMYFUNCTION("""COMPUTED_VALUE"""),"-")</f>
        <v>-</v>
      </c>
      <c r="Z54" s="5"/>
      <c r="AA54" s="5"/>
      <c r="AB54" s="5"/>
    </row>
    <row r="55" hidden="1">
      <c r="A55" s="4">
        <f>IFERROR(__xludf.DUMMYFUNCTION("""COMPUTED_VALUE"""),46232.413991388894)</f>
        <v>46232.41399</v>
      </c>
      <c r="B55" s="5" t="str">
        <f>IFERROR(__xludf.DUMMYFUNCTION("""COMPUTED_VALUE"""),"utaranugraha@gmail.com")</f>
        <v>utaranugraha@gmail.com</v>
      </c>
      <c r="C55" s="5" t="str">
        <f>IFERROR(__xludf.DUMMYFUNCTION("""COMPUTED_VALUE"""),"UTARA SETIA NUGRAHA, S. Pd., Gr. ")</f>
        <v>UTARA SETIA NUGRAHA, S. Pd., Gr. </v>
      </c>
      <c r="D55" s="5">
        <f>IFERROR(__xludf.DUMMYFUNCTION("""COMPUTED_VALUE"""),7.000211281E9)</f>
        <v>7000211281</v>
      </c>
      <c r="E55" s="5" t="str">
        <f>IFERROR(__xludf.DUMMYFUNCTION("""COMPUTED_VALUE"""),"083178920910")</f>
        <v>083178920910</v>
      </c>
      <c r="F55" s="7">
        <f>IFERROR(__xludf.DUMMYFUNCTION("""COMPUTED_VALUE"""),36799.0)</f>
        <v>36799</v>
      </c>
      <c r="G55" s="5" t="str">
        <f>IFERROR(__xludf.DUMMYFUNCTION("""COMPUTED_VALUE"""),"Pendidikan Sejarah")</f>
        <v>Pendidikan Sejarah</v>
      </c>
      <c r="H55" s="5" t="str">
        <f>IFERROR(__xludf.DUMMYFUNCTION("""COMPUTED_VALUE"""),"Universitas Muhammadiyah Metro")</f>
        <v>Universitas Muhammadiyah Metro</v>
      </c>
      <c r="I55" s="5" t="str">
        <f>IFERROR(__xludf.DUMMYFUNCTION("""COMPUTED_VALUE"""),"Sejarah")</f>
        <v>Sejarah</v>
      </c>
      <c r="J55" s="5" t="str">
        <f>IFERROR(__xludf.DUMMYFUNCTION("""COMPUTED_VALUE"""),"PPG Calon Guru Gelombang 2 Tahun 2024")</f>
        <v>PPG Calon Guru Gelombang 2 Tahun 2024</v>
      </c>
      <c r="K55" s="5">
        <f>IFERROR(__xludf.DUMMYFUNCTION("""COMPUTED_VALUE"""),2025.0)</f>
        <v>2025</v>
      </c>
      <c r="L55" s="8" t="str">
        <f>IFERROR(__xludf.DUMMYFUNCTION("""COMPUTED_VALUE"""),"3,78")</f>
        <v>3,78</v>
      </c>
      <c r="M55" s="5" t="str">
        <f>IFERROR(__xludf.DUMMYFUNCTION("""COMPUTED_VALUE"""),"3,8")</f>
        <v>3,8</v>
      </c>
      <c r="N55" s="5" t="str">
        <f>IFERROR(__xludf.DUMMYFUNCTION("""COMPUTED_VALUE"""),"Lampung Timur, Lampung")</f>
        <v>Lampung Timur, Lampung</v>
      </c>
      <c r="O55" s="5" t="str">
        <f>IFERROR(__xludf.DUMMYFUNCTION("""COMPUTED_VALUE"""),"Tidak")</f>
        <v>Tidak</v>
      </c>
      <c r="P55" s="5" t="str">
        <f>IFERROR(__xludf.DUMMYFUNCTION("""COMPUTED_VALUE"""),"Tenaga pendampingan pembelajaran mata Pelajaran Ilmu Pengetahuan Sosial (IPS) untuk mengajar mata pelajaran Sosiologi, Ekonomi, Geografi, dan Sejarah")</f>
        <v>Tenaga pendampingan pembelajaran mata Pelajaran Ilmu Pengetahuan Sosial (IPS) untuk mengajar mata pelajaran Sosiologi, Ekonomi, Geografi, dan Sejarah</v>
      </c>
      <c r="Q55" s="5" t="str">
        <f>IFERROR(__xludf.DUMMYFUNCTION("""COMPUTED_VALUE"""),"Kabupaten Jepara, Jawa Tengah")</f>
        <v>Kabupaten Jepara, Jawa Tengah</v>
      </c>
      <c r="R55" s="11" t="str">
        <f>IFERROR(__xludf.DUMMYFUNCTION("""COMPUTED_VALUE"""),"https://drive.google.com/file/d/1fvxuC08fBawppDkd6tqKsyylKScIuoU7/view?usp=drivesdk")</f>
        <v>https://drive.google.com/file/d/1fvxuC08fBawppDkd6tqKsyylKScIuoU7/view?usp=drivesdk</v>
      </c>
      <c r="S55" s="11" t="str">
        <f>IFERROR(__xludf.DUMMYFUNCTION("""COMPUTED_VALUE"""),"https://drive.google.com/file/d/1XKpWEV3EZ7UQ8B2bUYrKN3HfbjZtr2ZC/view?usp=drivesdk")</f>
        <v>https://drive.google.com/file/d/1XKpWEV3EZ7UQ8B2bUYrKN3HfbjZtr2ZC/view?usp=drivesdk</v>
      </c>
      <c r="T55" s="5" t="str">
        <f>IFERROR(__xludf.DUMMYFUNCTION("""COMPUTED_VALUE"""),"Alumni PPG Calon Guru / Prajabatan FKIP UNS")</f>
        <v>Alumni PPG Calon Guru / Prajabatan FKIP UNS</v>
      </c>
      <c r="U55" s="5" t="str">
        <f>IFERROR(__xludf.DUMMYFUNCTION("""COMPUTED_VALUE"""),"X942408473")</f>
        <v>X942408473</v>
      </c>
      <c r="V55" s="5" t="str">
        <f>IFERROR(__xludf.DUMMYFUNCTION("""COMPUTED_VALUE"""),"-")</f>
        <v>-</v>
      </c>
      <c r="W55" s="5" t="str">
        <f>IFERROR(__xludf.DUMMYFUNCTION("""COMPUTED_VALUE"""),"-")</f>
        <v>-</v>
      </c>
      <c r="X55" s="5" t="str">
        <f>IFERROR(__xludf.DUMMYFUNCTION("""COMPUTED_VALUE"""),"-")</f>
        <v>-</v>
      </c>
      <c r="Y55" s="5" t="str">
        <f>IFERROR(__xludf.DUMMYFUNCTION("""COMPUTED_VALUE"""),"-")</f>
        <v>-</v>
      </c>
      <c r="Z55" s="5"/>
      <c r="AA55" s="5"/>
      <c r="AB55" s="5"/>
    </row>
    <row r="56" hidden="1">
      <c r="A56" s="4">
        <f>IFERROR(__xludf.DUMMYFUNCTION("""COMPUTED_VALUE"""),46232.4241370949)</f>
        <v>46232.42414</v>
      </c>
      <c r="B56" s="5" t="str">
        <f>IFERROR(__xludf.DUMMYFUNCTION("""COMPUTED_VALUE"""),"sisnamarv@gmail.com")</f>
        <v>sisnamarv@gmail.com</v>
      </c>
      <c r="C56" s="5" t="str">
        <f>IFERROR(__xludf.DUMMYFUNCTION("""COMPUTED_VALUE"""),"Sisna Marvilia Ayuningrum, S.Pd., Gr.")</f>
        <v>Sisna Marvilia Ayuningrum, S.Pd., Gr.</v>
      </c>
      <c r="D56" s="5">
        <f>IFERROR(__xludf.DUMMYFUNCTION("""COMPUTED_VALUE"""),7.000286251E9)</f>
        <v>7000286251</v>
      </c>
      <c r="E56" s="5" t="str">
        <f>IFERROR(__xludf.DUMMYFUNCTION("""COMPUTED_VALUE"""),"089604214025")</f>
        <v>089604214025</v>
      </c>
      <c r="F56" s="7">
        <f>IFERROR(__xludf.DUMMYFUNCTION("""COMPUTED_VALUE"""),36951.0)</f>
        <v>36951</v>
      </c>
      <c r="G56" s="5" t="str">
        <f>IFERROR(__xludf.DUMMYFUNCTION("""COMPUTED_VALUE"""),"S-1 Pendidikan Biologi")</f>
        <v>S-1 Pendidikan Biologi</v>
      </c>
      <c r="H56" s="5" t="str">
        <f>IFERROR(__xludf.DUMMYFUNCTION("""COMPUTED_VALUE"""),"Universitas Negeri Semarang")</f>
        <v>Universitas Negeri Semarang</v>
      </c>
      <c r="I56" s="5" t="str">
        <f>IFERROR(__xludf.DUMMYFUNCTION("""COMPUTED_VALUE"""),"Pendidikan Guru Sekolah Dasar (PGSD)")</f>
        <v>Pendidikan Guru Sekolah Dasar (PGSD)</v>
      </c>
      <c r="J56" s="5" t="str">
        <f>IFERROR(__xludf.DUMMYFUNCTION("""COMPUTED_VALUE"""),"PPG Calon Guru Gelombang 2 Tahun 2024")</f>
        <v>PPG Calon Guru Gelombang 2 Tahun 2024</v>
      </c>
      <c r="K56" s="5">
        <f>IFERROR(__xludf.DUMMYFUNCTION("""COMPUTED_VALUE"""),2025.0)</f>
        <v>2025</v>
      </c>
      <c r="L56" s="8" t="str">
        <f>IFERROR(__xludf.DUMMYFUNCTION("""COMPUTED_VALUE"""),"3.74")</f>
        <v>3.74</v>
      </c>
      <c r="M56" s="5" t="str">
        <f>IFERROR(__xludf.DUMMYFUNCTION("""COMPUTED_VALUE"""),"4.00")</f>
        <v>4.00</v>
      </c>
      <c r="N56" s="5" t="str">
        <f>IFERROR(__xludf.DUMMYFUNCTION("""COMPUTED_VALUE"""),"Kabupaten Jepara, Jawa Tengah")</f>
        <v>Kabupaten Jepara, Jawa Tengah</v>
      </c>
      <c r="O56" s="5" t="str">
        <f>IFERROR(__xludf.DUMMYFUNCTION("""COMPUTED_VALUE"""),"Tidak")</f>
        <v>Tidak</v>
      </c>
      <c r="P56" s="5" t="str">
        <f>IFERROR(__xludf.DUMMYFUNCTION("""COMPUTED_VALUE"""),"Tenaga pendampingan pembelajaran mata Pelajaran Ilmu Pengetahuan Alam (IPA) untuk mengajar mata pelajaran Biologi, Kimia, Fisika")</f>
        <v>Tenaga pendampingan pembelajaran mata Pelajaran Ilmu Pengetahuan Alam (IPA) untuk mengajar mata pelajaran Biologi, Kimia, Fisika</v>
      </c>
      <c r="Q56" s="5" t="str">
        <f>IFERROR(__xludf.DUMMYFUNCTION("""COMPUTED_VALUE"""),"Kabupaten Jepara, Jawa Tengah")</f>
        <v>Kabupaten Jepara, Jawa Tengah</v>
      </c>
      <c r="R56" s="11" t="str">
        <f>IFERROR(__xludf.DUMMYFUNCTION("""COMPUTED_VALUE"""),"https://drive.google.com/drive/folders/16GwGT8p7LK41HG2eey6WNFgDG4WrNk9m?usp=sharing")</f>
        <v>https://drive.google.com/drive/folders/16GwGT8p7LK41HG2eey6WNFgDG4WrNk9m?usp=sharing</v>
      </c>
      <c r="S56" s="11" t="str">
        <f>IFERROR(__xludf.DUMMYFUNCTION("""COMPUTED_VALUE"""),"https://drive.google.com/drive/folders/137kIPlKQmFYB8LTfhzVwbj1J2Vc6niis?usp=sharing")</f>
        <v>https://drive.google.com/drive/folders/137kIPlKQmFYB8LTfhzVwbj1J2Vc6niis?usp=sharing</v>
      </c>
      <c r="T56" s="5" t="str">
        <f>IFERROR(__xludf.DUMMYFUNCTION("""COMPUTED_VALUE"""),"Alumni PPG Calon Guru / Prajabatan FKIP UNS")</f>
        <v>Alumni PPG Calon Guru / Prajabatan FKIP UNS</v>
      </c>
      <c r="U56" s="5" t="str">
        <f>IFERROR(__xludf.DUMMYFUNCTION("""COMPUTED_VALUE"""),"X942408433")</f>
        <v>X942408433</v>
      </c>
      <c r="V56" s="5" t="str">
        <f>IFERROR(__xludf.DUMMYFUNCTION("""COMPUTED_VALUE"""),"-")</f>
        <v>-</v>
      </c>
      <c r="W56" s="5" t="str">
        <f>IFERROR(__xludf.DUMMYFUNCTION("""COMPUTED_VALUE"""),"-")</f>
        <v>-</v>
      </c>
      <c r="X56" s="5" t="str">
        <f>IFERROR(__xludf.DUMMYFUNCTION("""COMPUTED_VALUE"""),"-")</f>
        <v>-</v>
      </c>
      <c r="Y56" s="5" t="str">
        <f>IFERROR(__xludf.DUMMYFUNCTION("""COMPUTED_VALUE"""),"-")</f>
        <v>-</v>
      </c>
      <c r="Z56" s="5"/>
      <c r="AA56" s="5"/>
      <c r="AB56" s="5"/>
    </row>
    <row r="57" hidden="1">
      <c r="A57" s="4">
        <f>IFERROR(__xludf.DUMMYFUNCTION("""COMPUTED_VALUE"""),46232.591391875)</f>
        <v>46232.59139</v>
      </c>
      <c r="B57" s="5" t="str">
        <f>IFERROR(__xludf.DUMMYFUNCTION("""COMPUTED_VALUE"""),"aderahmadhardani@gmail.com")</f>
        <v>aderahmadhardani@gmail.com</v>
      </c>
      <c r="C57" s="5" t="str">
        <f>IFERROR(__xludf.DUMMYFUNCTION("""COMPUTED_VALUE"""),"Ade Rahmad Hardani S.Pd.,G.r")</f>
        <v>Ade Rahmad Hardani S.Pd.,G.r</v>
      </c>
      <c r="D57" s="5">
        <f>IFERROR(__xludf.DUMMYFUNCTION("""COMPUTED_VALUE"""),7.000270364E9)</f>
        <v>7000270364</v>
      </c>
      <c r="E57" s="5" t="str">
        <f>IFERROR(__xludf.DUMMYFUNCTION("""COMPUTED_VALUE"""),"088269026860")</f>
        <v>088269026860</v>
      </c>
      <c r="F57" s="7">
        <f>IFERROR(__xludf.DUMMYFUNCTION("""COMPUTED_VALUE"""),35796.0)</f>
        <v>35796</v>
      </c>
      <c r="G57" s="5" t="str">
        <f>IFERROR(__xludf.DUMMYFUNCTION("""COMPUTED_VALUE"""),"Pendidikan Jasmani Dan Kesehatan ")</f>
        <v>Pendidikan Jasmani Dan Kesehatan </v>
      </c>
      <c r="H57" s="5" t="str">
        <f>IFERROR(__xludf.DUMMYFUNCTION("""COMPUTED_VALUE"""),"Universitas Sriwijaya ")</f>
        <v>Universitas Sriwijaya </v>
      </c>
      <c r="I57" s="5" t="str">
        <f>IFERROR(__xludf.DUMMYFUNCTION("""COMPUTED_VALUE"""),"Pendidikan Jasmani, Olahraga, dan Kesehatan (PJOK)")</f>
        <v>Pendidikan Jasmani, Olahraga, dan Kesehatan (PJOK)</v>
      </c>
      <c r="J57" s="5" t="str">
        <f>IFERROR(__xludf.DUMMYFUNCTION("""COMPUTED_VALUE"""),"PPG Calon Guru Gelombang 2 Tahun 2024")</f>
        <v>PPG Calon Guru Gelombang 2 Tahun 2024</v>
      </c>
      <c r="K57" s="5">
        <f>IFERROR(__xludf.DUMMYFUNCTION("""COMPUTED_VALUE"""),2025.0)</f>
        <v>2025</v>
      </c>
      <c r="L57" s="8" t="str">
        <f>IFERROR(__xludf.DUMMYFUNCTION("""COMPUTED_VALUE"""),"3.40")</f>
        <v>3.40</v>
      </c>
      <c r="M57" s="5" t="str">
        <f>IFERROR(__xludf.DUMMYFUNCTION("""COMPUTED_VALUE"""),"3.90")</f>
        <v>3.90</v>
      </c>
      <c r="N57" s="5" t="str">
        <f>IFERROR(__xludf.DUMMYFUNCTION("""COMPUTED_VALUE"""),"Kab Sragen, Jawa Tengah ")</f>
        <v>Kab Sragen, Jawa Tengah </v>
      </c>
      <c r="O57" s="5" t="str">
        <f>IFERROR(__xludf.DUMMYFUNCTION("""COMPUTED_VALUE"""),"Tidak")</f>
        <v>Tidak</v>
      </c>
      <c r="P57" s="5" t="str">
        <f>IFERROR(__xludf.DUMMYFUNCTION("""COMPUTED_VALUE"""),"Tenaga pendampingan pembelajaran mata Pelajaran Penjasorkes")</f>
        <v>Tenaga pendampingan pembelajaran mata Pelajaran Penjasorkes</v>
      </c>
      <c r="Q57" s="5" t="str">
        <f>IFERROR(__xludf.DUMMYFUNCTION("""COMPUTED_VALUE"""),"Kabupaten Jepara, Jawa Tengah")</f>
        <v>Kabupaten Jepara, Jawa Tengah</v>
      </c>
      <c r="R57" s="11" t="str">
        <f>IFERROR(__xludf.DUMMYFUNCTION("""COMPUTED_VALUE"""),"https://drive.google.com/file/d/1mZaiMfFkLgfg4XOc-kQwjCkdCNMpvDMs/view?usp=drivesdk ")</f>
        <v>https://drive.google.com/file/d/1mZaiMfFkLgfg4XOc-kQwjCkdCNMpvDMs/view?usp=drivesdk </v>
      </c>
      <c r="S57" s="11" t="str">
        <f>IFERROR(__xludf.DUMMYFUNCTION("""COMPUTED_VALUE"""),"https://drive.google.com/file/d/1TmBNpVmZwK0wgwjA5wKHVM0mU3d3fWmw/view?usp=drivesdk ")</f>
        <v>https://drive.google.com/file/d/1TmBNpVmZwK0wgwjA5wKHVM0mU3d3fWmw/view?usp=drivesdk </v>
      </c>
      <c r="T57" s="5" t="str">
        <f>IFERROR(__xludf.DUMMYFUNCTION("""COMPUTED_VALUE"""),"Alumni PPG Calon Guru / Prajabatan FKIP UNS")</f>
        <v>Alumni PPG Calon Guru / Prajabatan FKIP UNS</v>
      </c>
      <c r="U57" s="5" t="str">
        <f>IFERROR(__xludf.DUMMYFUNCTION("""COMPUTED_VALUE"""),"X942408006")</f>
        <v>X942408006</v>
      </c>
      <c r="V57" s="5" t="str">
        <f>IFERROR(__xludf.DUMMYFUNCTION("""COMPUTED_VALUE"""),"06061181520096")</f>
        <v>06061181520096</v>
      </c>
      <c r="W57" s="5" t="str">
        <f>IFERROR(__xludf.DUMMYFUNCTION("""COMPUTED_VALUE"""),"Pendidikan Jasmani dan Kesehatan")</f>
        <v>Pendidikan Jasmani dan Kesehatan</v>
      </c>
      <c r="X57" s="5" t="str">
        <f>IFERROR(__xludf.DUMMYFUNCTION("""COMPUTED_VALUE"""),"Universitas Sebelas Maret")</f>
        <v>Universitas Sebelas Maret</v>
      </c>
      <c r="Y57" s="5" t="str">
        <f>IFERROR(__xludf.DUMMYFUNCTION("""COMPUTED_VALUE"""),"X942408006")</f>
        <v>X942408006</v>
      </c>
      <c r="Z57" s="5"/>
      <c r="AA57" s="5"/>
      <c r="AB57" s="5"/>
    </row>
    <row r="58" hidden="1">
      <c r="A58" s="4">
        <f>IFERROR(__xludf.DUMMYFUNCTION("""COMPUTED_VALUE"""),46232.617303067134)</f>
        <v>46232.6173</v>
      </c>
      <c r="B58" s="5" t="str">
        <f>IFERROR(__xludf.DUMMYFUNCTION("""COMPUTED_VALUE"""),"alinajich29@gmail.com")</f>
        <v>alinajich29@gmail.com</v>
      </c>
      <c r="C58" s="5" t="str">
        <f>IFERROR(__xludf.DUMMYFUNCTION("""COMPUTED_VALUE"""),"Muhammad Ali Najich., M.Pd")</f>
        <v>Muhammad Ali Najich., M.Pd</v>
      </c>
      <c r="D58" s="5">
        <f>IFERROR(__xludf.DUMMYFUNCTION("""COMPUTED_VALUE"""),7.000016192E9)</f>
        <v>7000016192</v>
      </c>
      <c r="E58" s="5" t="str">
        <f>IFERROR(__xludf.DUMMYFUNCTION("""COMPUTED_VALUE"""),"085198239824")</f>
        <v>085198239824</v>
      </c>
      <c r="F58" s="7">
        <f>IFERROR(__xludf.DUMMYFUNCTION("""COMPUTED_VALUE"""),36614.0)</f>
        <v>36614</v>
      </c>
      <c r="G58" s="5" t="str">
        <f>IFERROR(__xludf.DUMMYFUNCTION("""COMPUTED_VALUE"""),"Bimbingan dan Konseling Islam")</f>
        <v>Bimbingan dan Konseling Islam</v>
      </c>
      <c r="H58" s="5" t="str">
        <f>IFERROR(__xludf.DUMMYFUNCTION("""COMPUTED_VALUE"""),"Universitas Islam Negeri Sunan Ampel Surabaya")</f>
        <v>Universitas Islam Negeri Sunan Ampel Surabaya</v>
      </c>
      <c r="I58" s="5" t="str">
        <f>IFERROR(__xludf.DUMMYFUNCTION("""COMPUTED_VALUE"""),"Bimbingan dan Konseling")</f>
        <v>Bimbingan dan Konseling</v>
      </c>
      <c r="J58" s="5" t="str">
        <f>IFERROR(__xludf.DUMMYFUNCTION("""COMPUTED_VALUE"""),"PPG Calon Guru Gelombang 2 Tahun 2024")</f>
        <v>PPG Calon Guru Gelombang 2 Tahun 2024</v>
      </c>
      <c r="K58" s="5">
        <f>IFERROR(__xludf.DUMMYFUNCTION("""COMPUTED_VALUE"""),2025.0)</f>
        <v>2025</v>
      </c>
      <c r="L58" s="8" t="str">
        <f>IFERROR(__xludf.DUMMYFUNCTION("""COMPUTED_VALUE"""),"3,6")</f>
        <v>3,6</v>
      </c>
      <c r="M58" s="5" t="str">
        <f>IFERROR(__xludf.DUMMYFUNCTION("""COMPUTED_VALUE"""),"3,93")</f>
        <v>3,93</v>
      </c>
      <c r="N58" s="5" t="str">
        <f>IFERROR(__xludf.DUMMYFUNCTION("""COMPUTED_VALUE"""),"Sidoarjo")</f>
        <v>Sidoarjo</v>
      </c>
      <c r="O58" s="5" t="str">
        <f>IFERROR(__xludf.DUMMYFUNCTION("""COMPUTED_VALUE"""),"Tidak")</f>
        <v>Tidak</v>
      </c>
      <c r="P58" s="5" t="str">
        <f>IFERROR(__xludf.DUMMYFUNCTION("""COMPUTED_VALUE"""),"Tenaga pendampingan pembelajaran mata Pelajaran Bimbingan dan Konseling")</f>
        <v>Tenaga pendampingan pembelajaran mata Pelajaran Bimbingan dan Konseling</v>
      </c>
      <c r="Q58" s="5" t="str">
        <f>IFERROR(__xludf.DUMMYFUNCTION("""COMPUTED_VALUE"""),"Kabupaten Jepara, Jawa Tengah")</f>
        <v>Kabupaten Jepara, Jawa Tengah</v>
      </c>
      <c r="R58" s="11" t="str">
        <f>IFERROR(__xludf.DUMMYFUNCTION("""COMPUTED_VALUE"""),"https://drive.google.com/drive/folders/1oEwTcAljZevTWrYYCIZ2Ve4RKXCETdJg?usp=sharing")</f>
        <v>https://drive.google.com/drive/folders/1oEwTcAljZevTWrYYCIZ2Ve4RKXCETdJg?usp=sharing</v>
      </c>
      <c r="S58" s="11" t="str">
        <f>IFERROR(__xludf.DUMMYFUNCTION("""COMPUTED_VALUE"""),"https://drive.google.com/file/d/1nT111QsyrXyp_zYgfzUpVxBvNOXr5vjm/view?usp=drivesdk")</f>
        <v>https://drive.google.com/file/d/1nT111QsyrXyp_zYgfzUpVxBvNOXr5vjm/view?usp=drivesdk</v>
      </c>
      <c r="T58" s="5" t="str">
        <f>IFERROR(__xludf.DUMMYFUNCTION("""COMPUTED_VALUE"""),"Lainnya")</f>
        <v>Lainnya</v>
      </c>
      <c r="U58" s="5"/>
      <c r="V58" s="5"/>
      <c r="W58" s="5"/>
      <c r="X58" s="5"/>
      <c r="Y58" s="5"/>
      <c r="Z58" s="5"/>
      <c r="AA58" s="5"/>
      <c r="AB58" s="5"/>
    </row>
    <row r="59" hidden="1">
      <c r="A59" s="4">
        <f>IFERROR(__xludf.DUMMYFUNCTION("""COMPUTED_VALUE"""),46232.63223056713)</f>
        <v>46232.63223</v>
      </c>
      <c r="B59" s="5" t="str">
        <f>IFERROR(__xludf.DUMMYFUNCTION("""COMPUTED_VALUE"""),"rudyazizseptyawan@gmail.com")</f>
        <v>rudyazizseptyawan@gmail.com</v>
      </c>
      <c r="C59" s="5" t="str">
        <f>IFERROR(__xludf.DUMMYFUNCTION("""COMPUTED_VALUE"""),"Rudy Aziz Septyawan, S.Pd., Gr.")</f>
        <v>Rudy Aziz Septyawan, S.Pd., Gr.</v>
      </c>
      <c r="D59" s="5">
        <f>IFERROR(__xludf.DUMMYFUNCTION("""COMPUTED_VALUE"""),7.000198128E9)</f>
        <v>7000198128</v>
      </c>
      <c r="E59" s="5" t="str">
        <f>IFERROR(__xludf.DUMMYFUNCTION("""COMPUTED_VALUE"""),"089529796795")</f>
        <v>089529796795</v>
      </c>
      <c r="F59" s="7">
        <f>IFERROR(__xludf.DUMMYFUNCTION("""COMPUTED_VALUE"""),36045.0)</f>
        <v>36045</v>
      </c>
      <c r="G59" s="5" t="str">
        <f>IFERROR(__xludf.DUMMYFUNCTION("""COMPUTED_VALUE"""),"Pendidikan Teknik Informatika dan Komputer")</f>
        <v>Pendidikan Teknik Informatika dan Komputer</v>
      </c>
      <c r="H59" s="5" t="str">
        <f>IFERROR(__xludf.DUMMYFUNCTION("""COMPUTED_VALUE"""),"Universitas Negeri Semarang")</f>
        <v>Universitas Negeri Semarang</v>
      </c>
      <c r="I59" s="5" t="str">
        <f>IFERROR(__xludf.DUMMYFUNCTION("""COMPUTED_VALUE"""),"Informatika")</f>
        <v>Informatika</v>
      </c>
      <c r="J59" s="5" t="str">
        <f>IFERROR(__xludf.DUMMYFUNCTION("""COMPUTED_VALUE"""),"PPG Calon Guru Gelombang 2 Tahun 2024")</f>
        <v>PPG Calon Guru Gelombang 2 Tahun 2024</v>
      </c>
      <c r="K59" s="5">
        <f>IFERROR(__xludf.DUMMYFUNCTION("""COMPUTED_VALUE"""),2025.0)</f>
        <v>2025</v>
      </c>
      <c r="L59" s="8" t="str">
        <f>IFERROR(__xludf.DUMMYFUNCTION("""COMPUTED_VALUE"""),"3.43")</f>
        <v>3.43</v>
      </c>
      <c r="M59" s="5" t="str">
        <f>IFERROR(__xludf.DUMMYFUNCTION("""COMPUTED_VALUE"""),"3.96")</f>
        <v>3.96</v>
      </c>
      <c r="N59" s="5" t="str">
        <f>IFERROR(__xludf.DUMMYFUNCTION("""COMPUTED_VALUE"""),"Kota Semarang, Jawa Tengah")</f>
        <v>Kota Semarang, Jawa Tengah</v>
      </c>
      <c r="O59" s="5" t="str">
        <f>IFERROR(__xludf.DUMMYFUNCTION("""COMPUTED_VALUE"""),"Tidak")</f>
        <v>Tidak</v>
      </c>
      <c r="P59" s="5" t="str">
        <f>IFERROR(__xludf.DUMMYFUNCTION("""COMPUTED_VALUE"""),"Tenaga pendampingan pembelajaran mata pelajaran TIK")</f>
        <v>Tenaga pendampingan pembelajaran mata pelajaran TIK</v>
      </c>
      <c r="Q59" s="5" t="str">
        <f>IFERROR(__xludf.DUMMYFUNCTION("""COMPUTED_VALUE"""),"Kabupaten Jepara, Jawa Tengah")</f>
        <v>Kabupaten Jepara, Jawa Tengah</v>
      </c>
      <c r="R59" s="11" t="str">
        <f>IFERROR(__xludf.DUMMYFUNCTION("""COMPUTED_VALUE"""),"https://drive.google.com/drive/folders/1HhzMRvnjbxoaiiZE49d6huoyL_PJs3RL?usp=sharing")</f>
        <v>https://drive.google.com/drive/folders/1HhzMRvnjbxoaiiZE49d6huoyL_PJs3RL?usp=sharing</v>
      </c>
      <c r="S59" s="11" t="str">
        <f>IFERROR(__xludf.DUMMYFUNCTION("""COMPUTED_VALUE"""),"https://drive.google.com/drive/folders/14FG_yPqAGC6X1onGD48pZn4hF_PPEfMz?usp=sharing")</f>
        <v>https://drive.google.com/drive/folders/14FG_yPqAGC6X1onGD48pZn4hF_PPEfMz?usp=sharing</v>
      </c>
      <c r="T59" s="5" t="str">
        <f>IFERROR(__xludf.DUMMYFUNCTION("""COMPUTED_VALUE"""),"Lainnya")</f>
        <v>Lainnya</v>
      </c>
      <c r="U59" s="5"/>
      <c r="V59" s="5"/>
      <c r="W59" s="5"/>
      <c r="X59" s="5"/>
      <c r="Y59" s="5"/>
      <c r="Z59" s="5"/>
      <c r="AA59" s="5"/>
      <c r="AB59" s="5"/>
    </row>
    <row r="60" hidden="1">
      <c r="A60" s="4">
        <f>IFERROR(__xludf.DUMMYFUNCTION("""COMPUTED_VALUE"""),46232.751943854164)</f>
        <v>46232.75194</v>
      </c>
      <c r="B60" s="5" t="str">
        <f>IFERROR(__xludf.DUMMYFUNCTION("""COMPUTED_VALUE"""),"rakakumara@gmail.com")</f>
        <v>rakakumara@gmail.com</v>
      </c>
      <c r="C60" s="5" t="str">
        <f>IFERROR(__xludf.DUMMYFUNCTION("""COMPUTED_VALUE"""),"RAKA KUMARA JATI")</f>
        <v>RAKA KUMARA JATI</v>
      </c>
      <c r="D60" s="5">
        <f>IFERROR(__xludf.DUMMYFUNCTION("""COMPUTED_VALUE"""),7.00026836E9)</f>
        <v>7000268360</v>
      </c>
      <c r="E60" s="5" t="str">
        <f>IFERROR(__xludf.DUMMYFUNCTION("""COMPUTED_VALUE"""),"082113293786")</f>
        <v>082113293786</v>
      </c>
      <c r="F60" s="7">
        <f>IFERROR(__xludf.DUMMYFUNCTION("""COMPUTED_VALUE"""),36941.0)</f>
        <v>36941</v>
      </c>
      <c r="G60" s="5" t="str">
        <f>IFERROR(__xludf.DUMMYFUNCTION("""COMPUTED_VALUE"""),"PENDIDIKAN SEJARAH")</f>
        <v>PENDIDIKAN SEJARAH</v>
      </c>
      <c r="H60" s="5" t="str">
        <f>IFERROR(__xludf.DUMMYFUNCTION("""COMPUTED_VALUE"""),"UNIVERSITAS JEMBER")</f>
        <v>UNIVERSITAS JEMBER</v>
      </c>
      <c r="I60" s="5" t="str">
        <f>IFERROR(__xludf.DUMMYFUNCTION("""COMPUTED_VALUE"""),"Sejarah")</f>
        <v>Sejarah</v>
      </c>
      <c r="J60" s="5" t="str">
        <f>IFERROR(__xludf.DUMMYFUNCTION("""COMPUTED_VALUE"""),"PPG Calon Guru Gelombang 2 Tahun 2024")</f>
        <v>PPG Calon Guru Gelombang 2 Tahun 2024</v>
      </c>
      <c r="K60" s="5">
        <f>IFERROR(__xludf.DUMMYFUNCTION("""COMPUTED_VALUE"""),2025.0)</f>
        <v>2025</v>
      </c>
      <c r="L60" s="8" t="str">
        <f>IFERROR(__xludf.DUMMYFUNCTION("""COMPUTED_VALUE"""),"3.67")</f>
        <v>3.67</v>
      </c>
      <c r="M60" s="5" t="str">
        <f>IFERROR(__xludf.DUMMYFUNCTION("""COMPUTED_VALUE"""),"4.00")</f>
        <v>4.00</v>
      </c>
      <c r="N60" s="5" t="str">
        <f>IFERROR(__xludf.DUMMYFUNCTION("""COMPUTED_VALUE"""),"Surakarta, Jawa Tengah")</f>
        <v>Surakarta, Jawa Tengah</v>
      </c>
      <c r="O60" s="5" t="str">
        <f>IFERROR(__xludf.DUMMYFUNCTION("""COMPUTED_VALUE"""),"Tidak")</f>
        <v>Tidak</v>
      </c>
      <c r="P60" s="5" t="str">
        <f>IFERROR(__xludf.DUMMYFUNCTION("""COMPUTED_VALUE"""),"Tenaga pendampingan pembelajaran mata Pelajaran Ilmu Pengetahuan Sosial (IPS) untuk mengajar mata pelajaran Sosiologi, Ekonomi, Geografi, dan Sejarah")</f>
        <v>Tenaga pendampingan pembelajaran mata Pelajaran Ilmu Pengetahuan Sosial (IPS) untuk mengajar mata pelajaran Sosiologi, Ekonomi, Geografi, dan Sejarah</v>
      </c>
      <c r="Q60" s="5" t="str">
        <f>IFERROR(__xludf.DUMMYFUNCTION("""COMPUTED_VALUE"""),"Kabupaten Jepara, Jawa Tengah")</f>
        <v>Kabupaten Jepara, Jawa Tengah</v>
      </c>
      <c r="R60" s="5" t="str">
        <f>IFERROR(__xludf.DUMMYFUNCTION("""COMPUTED_VALUE"""),"berhasil membangun edutech calonguru.id platform belajar &amp; tryout untuk anak-anak freshgraduate S.Pd, serta saya lampirkan cv saya https://drive.google.com/file/d/1paa984DOZkQwQXMQYNSvq6GhRpgpI1fo/view?usp=sharing")</f>
        <v>berhasil membangun edutech calonguru.id platform belajar &amp; tryout untuk anak-anak freshgraduate S.Pd, serta saya lampirkan cv saya https://drive.google.com/file/d/1paa984DOZkQwQXMQYNSvq6GhRpgpI1fo/view?usp=sharing</v>
      </c>
      <c r="S60" s="11" t="str">
        <f>IFERROR(__xludf.DUMMYFUNCTION("""COMPUTED_VALUE"""),"https://drive.google.com/file/d/1XqoJbX6jTFwvy6oafg-KztlO_gpV_jlC/view?usp=sharing")</f>
        <v>https://drive.google.com/file/d/1XqoJbX6jTFwvy6oafg-KztlO_gpV_jlC/view?usp=sharing</v>
      </c>
      <c r="T60" s="5" t="str">
        <f>IFERROR(__xludf.DUMMYFUNCTION("""COMPUTED_VALUE"""),"Alumni PPG Calon Guru / Prajabatan FKIP UNS")</f>
        <v>Alumni PPG Calon Guru / Prajabatan FKIP UNS</v>
      </c>
      <c r="U60" s="5" t="str">
        <f>IFERROR(__xludf.DUMMYFUNCTION("""COMPUTED_VALUE"""),"X942408378")</f>
        <v>X942408378</v>
      </c>
      <c r="V60" s="5" t="str">
        <f>IFERROR(__xludf.DUMMYFUNCTION("""COMPUTED_VALUE"""),"-")</f>
        <v>-</v>
      </c>
      <c r="W60" s="5" t="str">
        <f>IFERROR(__xludf.DUMMYFUNCTION("""COMPUTED_VALUE"""),"-")</f>
        <v>-</v>
      </c>
      <c r="X60" s="5" t="str">
        <f>IFERROR(__xludf.DUMMYFUNCTION("""COMPUTED_VALUE"""),"-")</f>
        <v>-</v>
      </c>
      <c r="Y60" s="5" t="str">
        <f>IFERROR(__xludf.DUMMYFUNCTION("""COMPUTED_VALUE"""),"-")</f>
        <v>-</v>
      </c>
      <c r="Z60" s="5"/>
      <c r="AA60" s="5"/>
      <c r="AB60" s="5"/>
    </row>
    <row r="61" hidden="1">
      <c r="A61" s="4">
        <f>IFERROR(__xludf.DUMMYFUNCTION("""COMPUTED_VALUE"""),46232.778198506945)</f>
        <v>46232.7782</v>
      </c>
      <c r="B61" s="5" t="str">
        <f>IFERROR(__xludf.DUMMYFUNCTION("""COMPUTED_VALUE"""),"ppg.fikrikamal01@program.belajar.id")</f>
        <v>ppg.fikrikamal01@program.belajar.id</v>
      </c>
      <c r="C61" s="5" t="str">
        <f>IFERROR(__xludf.DUMMYFUNCTION("""COMPUTED_VALUE"""),"Fikri Ahmad Kamal, S.Pd., M.Pd., Gr.")</f>
        <v>Fikri Ahmad Kamal, S.Pd., M.Pd., Gr.</v>
      </c>
      <c r="D61" s="5">
        <f>IFERROR(__xludf.DUMMYFUNCTION("""COMPUTED_VALUE"""),7.000142556E9)</f>
        <v>7000142556</v>
      </c>
      <c r="E61" s="5" t="str">
        <f>IFERROR(__xludf.DUMMYFUNCTION("""COMPUTED_VALUE"""),"089632991090")</f>
        <v>089632991090</v>
      </c>
      <c r="F61" s="7">
        <f>IFERROR(__xludf.DUMMYFUNCTION("""COMPUTED_VALUE"""),36540.0)</f>
        <v>36540</v>
      </c>
      <c r="G61" s="5" t="str">
        <f>IFERROR(__xludf.DUMMYFUNCTION("""COMPUTED_VALUE"""),"S1-Tadris IPA &amp; S2-Pendidikan IPA")</f>
        <v>S1-Tadris IPA &amp; S2-Pendidikan IPA</v>
      </c>
      <c r="H61" s="5" t="str">
        <f>IFERROR(__xludf.DUMMYFUNCTION("""COMPUTED_VALUE"""),"UIN Salatiga &amp; Universitas Negeri Semarang")</f>
        <v>UIN Salatiga &amp; Universitas Negeri Semarang</v>
      </c>
      <c r="I61" s="5" t="str">
        <f>IFERROR(__xludf.DUMMYFUNCTION("""COMPUTED_VALUE"""),"Ilmu Pengetahuan Alam (IPA)")</f>
        <v>Ilmu Pengetahuan Alam (IPA)</v>
      </c>
      <c r="J61" s="5" t="str">
        <f>IFERROR(__xludf.DUMMYFUNCTION("""COMPUTED_VALUE"""),"PPG Prajabatan Gelombang 1 Tahun 2023")</f>
        <v>PPG Prajabatan Gelombang 1 Tahun 2023</v>
      </c>
      <c r="K61" s="5">
        <f>IFERROR(__xludf.DUMMYFUNCTION("""COMPUTED_VALUE"""),2024.0)</f>
        <v>2024</v>
      </c>
      <c r="L61" s="8" t="str">
        <f>IFERROR(__xludf.DUMMYFUNCTION("""COMPUTED_VALUE"""),"IPK S1 3.89 &amp; IPK S2 3.97")</f>
        <v>IPK S1 3.89 &amp; IPK S2 3.97</v>
      </c>
      <c r="M61" s="5" t="str">
        <f>IFERROR(__xludf.DUMMYFUNCTION("""COMPUTED_VALUE"""),"4.00")</f>
        <v>4.00</v>
      </c>
      <c r="N61" s="5" t="str">
        <f>IFERROR(__xludf.DUMMYFUNCTION("""COMPUTED_VALUE"""),"Boyolali, Jawa Tengah ")</f>
        <v>Boyolali, Jawa Tengah </v>
      </c>
      <c r="O61" s="5" t="str">
        <f>IFERROR(__xludf.DUMMYFUNCTION("""COMPUTED_VALUE"""),"Tidak")</f>
        <v>Tidak</v>
      </c>
      <c r="P61" s="5" t="str">
        <f>IFERROR(__xludf.DUMMYFUNCTION("""COMPUTED_VALUE"""),"Tenaga pendampingan pembelajaran mata Pelajaran Ilmu Pengetahuan Alam (IPA) untuk mengajar mata pelajaran Biologi, Kimia, Fisika")</f>
        <v>Tenaga pendampingan pembelajaran mata Pelajaran Ilmu Pengetahuan Alam (IPA) untuk mengajar mata pelajaran Biologi, Kimia, Fisika</v>
      </c>
      <c r="Q61" s="5" t="str">
        <f>IFERROR(__xludf.DUMMYFUNCTION("""COMPUTED_VALUE"""),"Kabupaten Jepara, Jawa Tengah")</f>
        <v>Kabupaten Jepara, Jawa Tengah</v>
      </c>
      <c r="R61" s="11" t="str">
        <f>IFERROR(__xludf.DUMMYFUNCTION("""COMPUTED_VALUE"""),"https://drive.google.com/file/d/1JqeYKkI0snm15XS8a9iG7uO-GmS7ru9g/view?usp=drivesdk")</f>
        <v>https://drive.google.com/file/d/1JqeYKkI0snm15XS8a9iG7uO-GmS7ru9g/view?usp=drivesdk</v>
      </c>
      <c r="S61" s="11" t="str">
        <f>IFERROR(__xludf.DUMMYFUNCTION("""COMPUTED_VALUE"""),"https://youtu.be/yymDyHaEmW0?si=6tkWnWhAcI23Xxf8")</f>
        <v>https://youtu.be/yymDyHaEmW0?si=6tkWnWhAcI23Xxf8</v>
      </c>
      <c r="T61" s="5" t="str">
        <f>IFERROR(__xludf.DUMMYFUNCTION("""COMPUTED_VALUE"""),"Lainnya")</f>
        <v>Lainnya</v>
      </c>
      <c r="U61" s="5"/>
      <c r="V61" s="5"/>
      <c r="W61" s="5"/>
      <c r="X61" s="5"/>
      <c r="Y61" s="5"/>
      <c r="Z61" s="5"/>
      <c r="AA61" s="5"/>
      <c r="AB61" s="5"/>
    </row>
    <row r="62" hidden="1">
      <c r="A62" s="4">
        <f>IFERROR(__xludf.DUMMYFUNCTION("""COMPUTED_VALUE"""),46232.779342939815)</f>
        <v>46232.77934</v>
      </c>
      <c r="B62" s="5" t="str">
        <f>IFERROR(__xludf.DUMMYFUNCTION("""COMPUTED_VALUE"""),"bektiajiw46@gmail.com")</f>
        <v>bektiajiw46@gmail.com</v>
      </c>
      <c r="C62" s="5" t="str">
        <f>IFERROR(__xludf.DUMMYFUNCTION("""COMPUTED_VALUE"""),"Bekti Aji Wibowo S.Pd., Gr.")</f>
        <v>Bekti Aji Wibowo S.Pd., Gr.</v>
      </c>
      <c r="D62" s="5">
        <f>IFERROR(__xludf.DUMMYFUNCTION("""COMPUTED_VALUE"""),7.000243397E9)</f>
        <v>7000243397</v>
      </c>
      <c r="E62" s="5" t="str">
        <f>IFERROR(__xludf.DUMMYFUNCTION("""COMPUTED_VALUE"""),"0895422032099")</f>
        <v>0895422032099</v>
      </c>
      <c r="F62" s="7">
        <f>IFERROR(__xludf.DUMMYFUNCTION("""COMPUTED_VALUE"""),36144.0)</f>
        <v>36144</v>
      </c>
      <c r="G62" s="5" t="str">
        <f>IFERROR(__xludf.DUMMYFUNCTION("""COMPUTED_VALUE"""),"PENDIDIKAN OLAHRAGA")</f>
        <v>PENDIDIKAN OLAHRAGA</v>
      </c>
      <c r="H62" s="5" t="str">
        <f>IFERROR(__xludf.DUMMYFUNCTION("""COMPUTED_VALUE"""),"Universitas Muhammadiyah Surakarta")</f>
        <v>Universitas Muhammadiyah Surakarta</v>
      </c>
      <c r="I62" s="5" t="str">
        <f>IFERROR(__xludf.DUMMYFUNCTION("""COMPUTED_VALUE"""),"Pendidikan Jasmani, Olahraga, dan Kesehatan (PJOK)")</f>
        <v>Pendidikan Jasmani, Olahraga, dan Kesehatan (PJOK)</v>
      </c>
      <c r="J62" s="5" t="str">
        <f>IFERROR(__xludf.DUMMYFUNCTION("""COMPUTED_VALUE"""),"PPG Calon Guru Gelombang 2 Tahun 2024")</f>
        <v>PPG Calon Guru Gelombang 2 Tahun 2024</v>
      </c>
      <c r="K62" s="5">
        <f>IFERROR(__xludf.DUMMYFUNCTION("""COMPUTED_VALUE"""),2025.0)</f>
        <v>2025</v>
      </c>
      <c r="L62" s="8" t="str">
        <f>IFERROR(__xludf.DUMMYFUNCTION("""COMPUTED_VALUE"""),"3.30")</f>
        <v>3.30</v>
      </c>
      <c r="M62" s="5" t="str">
        <f>IFERROR(__xludf.DUMMYFUNCTION("""COMPUTED_VALUE"""),"3.82")</f>
        <v>3.82</v>
      </c>
      <c r="N62" s="5" t="str">
        <f>IFERROR(__xludf.DUMMYFUNCTION("""COMPUTED_VALUE"""),"Kota Surakarta, Jawa Tengah")</f>
        <v>Kota Surakarta, Jawa Tengah</v>
      </c>
      <c r="O62" s="5" t="str">
        <f>IFERROR(__xludf.DUMMYFUNCTION("""COMPUTED_VALUE"""),"Tidak")</f>
        <v>Tidak</v>
      </c>
      <c r="P62" s="5" t="str">
        <f>IFERROR(__xludf.DUMMYFUNCTION("""COMPUTED_VALUE"""),"Tenaga pendampingan pembelajaran mata Pelajaran Penjasorkes")</f>
        <v>Tenaga pendampingan pembelajaran mata Pelajaran Penjasorkes</v>
      </c>
      <c r="Q62" s="5" t="str">
        <f>IFERROR(__xludf.DUMMYFUNCTION("""COMPUTED_VALUE"""),"Kabupaten Jepara, Jawa Tengah")</f>
        <v>Kabupaten Jepara, Jawa Tengah</v>
      </c>
      <c r="R62" s="11" t="str">
        <f>IFERROR(__xludf.DUMMYFUNCTION("""COMPUTED_VALUE"""),"https://drive.google.com/drive/folders/1u4l7ODolDKuTT4UpSd-ix0QVQbpTp03x ")</f>
        <v>https://drive.google.com/drive/folders/1u4l7ODolDKuTT4UpSd-ix0QVQbpTp03x </v>
      </c>
      <c r="S62" s="11" t="str">
        <f>IFERROR(__xludf.DUMMYFUNCTION("""COMPUTED_VALUE"""),"https://drive.google.com/file/d/1UUanyQLNkOSugUWXDQLx6cbMy9rhomU-/view?usp=sharing ")</f>
        <v>https://drive.google.com/file/d/1UUanyQLNkOSugUWXDQLx6cbMy9rhomU-/view?usp=sharing </v>
      </c>
      <c r="T62" s="5" t="str">
        <f>IFERROR(__xludf.DUMMYFUNCTION("""COMPUTED_VALUE"""),"Alumni PPG Calon Guru / Prajabatan FKIP UNS")</f>
        <v>Alumni PPG Calon Guru / Prajabatan FKIP UNS</v>
      </c>
      <c r="U62" s="5" t="str">
        <f>IFERROR(__xludf.DUMMYFUNCTION("""COMPUTED_VALUE"""),"X942408109")</f>
        <v>X942408109</v>
      </c>
      <c r="V62" s="5" t="str">
        <f>IFERROR(__xludf.DUMMYFUNCTION("""COMPUTED_VALUE"""),"A810190102")</f>
        <v>A810190102</v>
      </c>
      <c r="W62" s="5" t="str">
        <f>IFERROR(__xludf.DUMMYFUNCTION("""COMPUTED_VALUE"""),"Pendidikan Olahraga")</f>
        <v>Pendidikan Olahraga</v>
      </c>
      <c r="X62" s="5" t="str">
        <f>IFERROR(__xludf.DUMMYFUNCTION("""COMPUTED_VALUE"""),"Universitas Negeri Sebelas Maret")</f>
        <v>Universitas Negeri Sebelas Maret</v>
      </c>
      <c r="Y62" s="5" t="str">
        <f>IFERROR(__xludf.DUMMYFUNCTION("""COMPUTED_VALUE"""),"-")</f>
        <v>-</v>
      </c>
      <c r="Z62" s="5"/>
      <c r="AA62" s="5"/>
      <c r="AB62" s="5"/>
    </row>
    <row r="63" hidden="1">
      <c r="A63" s="4">
        <f>IFERROR(__xludf.DUMMYFUNCTION("""COMPUTED_VALUE"""),46232.79726127315)</f>
        <v>46232.79726</v>
      </c>
      <c r="B63" s="5" t="str">
        <f>IFERROR(__xludf.DUMMYFUNCTION("""COMPUTED_VALUE"""),"fadlilahppg@gmail.com")</f>
        <v>fadlilahppg@gmail.com</v>
      </c>
      <c r="C63" s="5" t="str">
        <f>IFERROR(__xludf.DUMMYFUNCTION("""COMPUTED_VALUE"""),"Fadlilah Nurul Fajri Handayani., S.Pd., Gr. ")</f>
        <v>Fadlilah Nurul Fajri Handayani., S.Pd., Gr. </v>
      </c>
      <c r="D63" s="5">
        <f>IFERROR(__xludf.DUMMYFUNCTION("""COMPUTED_VALUE"""),7.000154546E9)</f>
        <v>7000154546</v>
      </c>
      <c r="E63" s="5" t="str">
        <f>IFERROR(__xludf.DUMMYFUNCTION("""COMPUTED_VALUE"""),"089664783413")</f>
        <v>089664783413</v>
      </c>
      <c r="F63" s="7">
        <f>IFERROR(__xludf.DUMMYFUNCTION("""COMPUTED_VALUE"""),36685.0)</f>
        <v>36685</v>
      </c>
      <c r="G63" s="5" t="str">
        <f>IFERROR(__xludf.DUMMYFUNCTION("""COMPUTED_VALUE"""),"Pendidikan Bahasa dan Sastra Indonesia")</f>
        <v>Pendidikan Bahasa dan Sastra Indonesia</v>
      </c>
      <c r="H63" s="5" t="str">
        <f>IFERROR(__xludf.DUMMYFUNCTION("""COMPUTED_VALUE"""),"Universitas Muhammadiyah Surakarta")</f>
        <v>Universitas Muhammadiyah Surakarta</v>
      </c>
      <c r="I63" s="5" t="str">
        <f>IFERROR(__xludf.DUMMYFUNCTION("""COMPUTED_VALUE"""),"Bahasa Indonesia")</f>
        <v>Bahasa Indonesia</v>
      </c>
      <c r="J63" s="5" t="str">
        <f>IFERROR(__xludf.DUMMYFUNCTION("""COMPUTED_VALUE"""),"PPG Prajabatan Gelombang 1 Tahun 2023")</f>
        <v>PPG Prajabatan Gelombang 1 Tahun 2023</v>
      </c>
      <c r="K63" s="5">
        <f>IFERROR(__xludf.DUMMYFUNCTION("""COMPUTED_VALUE"""),2024.0)</f>
        <v>2024</v>
      </c>
      <c r="L63" s="8" t="str">
        <f>IFERROR(__xludf.DUMMYFUNCTION("""COMPUTED_VALUE"""),"3.60")</f>
        <v>3.60</v>
      </c>
      <c r="M63" s="5" t="str">
        <f>IFERROR(__xludf.DUMMYFUNCTION("""COMPUTED_VALUE"""),"3.82")</f>
        <v>3.82</v>
      </c>
      <c r="N63" s="5" t="str">
        <f>IFERROR(__xludf.DUMMYFUNCTION("""COMPUTED_VALUE"""),"Kota Surakarta")</f>
        <v>Kota Surakarta</v>
      </c>
      <c r="O63" s="5" t="str">
        <f>IFERROR(__xludf.DUMMYFUNCTION("""COMPUTED_VALUE"""),"Tidak")</f>
        <v>Tidak</v>
      </c>
      <c r="P63" s="5" t="str">
        <f>IFERROR(__xludf.DUMMYFUNCTION("""COMPUTED_VALUE"""),"Tenaga pendampingan pembelajaran mata Pelajaran Bahasa Indonesia")</f>
        <v>Tenaga pendampingan pembelajaran mata Pelajaran Bahasa Indonesia</v>
      </c>
      <c r="Q63" s="5" t="str">
        <f>IFERROR(__xludf.DUMMYFUNCTION("""COMPUTED_VALUE"""),"Kabupaten Jepara, Jawa Tengah")</f>
        <v>Kabupaten Jepara, Jawa Tengah</v>
      </c>
      <c r="R63" s="11" t="str">
        <f>IFERROR(__xludf.DUMMYFUNCTION("""COMPUTED_VALUE"""),"https://drive.google.com/drive/folders/1zVhPj5QDepY0nUwUvPu9qCFAbXVxhHQ5")</f>
        <v>https://drive.google.com/drive/folders/1zVhPj5QDepY0nUwUvPu9qCFAbXVxhHQ5</v>
      </c>
      <c r="S63" s="11" t="str">
        <f>IFERROR(__xludf.DUMMYFUNCTION("""COMPUTED_VALUE"""),"https://drive.google.com/drive/folders/1DvcSMjkGajB_4DTsRI2BJi9k6R619G3v")</f>
        <v>https://drive.google.com/drive/folders/1DvcSMjkGajB_4DTsRI2BJi9k6R619G3v</v>
      </c>
      <c r="T63" s="5" t="str">
        <f>IFERROR(__xludf.DUMMYFUNCTION("""COMPUTED_VALUE"""),"Alumni PPG Calon Guru / Prajabatan FKIP UNS")</f>
        <v>Alumni PPG Calon Guru / Prajabatan FKIP UNS</v>
      </c>
      <c r="U63" s="5" t="str">
        <f>IFERROR(__xludf.DUMMYFUNCTION("""COMPUTED_VALUE"""),"X902308315")</f>
        <v>X902308315</v>
      </c>
      <c r="V63" s="5" t="str">
        <f>IFERROR(__xludf.DUMMYFUNCTION("""COMPUTED_VALUE"""),"S1 di UMS")</f>
        <v>S1 di UMS</v>
      </c>
      <c r="W63" s="5" t="str">
        <f>IFERROR(__xludf.DUMMYFUNCTION("""COMPUTED_VALUE"""),"S1 di UMS")</f>
        <v>S1 di UMS</v>
      </c>
      <c r="X63" s="5" t="str">
        <f>IFERROR(__xludf.DUMMYFUNCTION("""COMPUTED_VALUE"""),"UNS")</f>
        <v>UNS</v>
      </c>
      <c r="Y63" s="5" t="str">
        <f>IFERROR(__xludf.DUMMYFUNCTION("""COMPUTED_VALUE"""),"PPG di UNS")</f>
        <v>PPG di UNS</v>
      </c>
      <c r="Z63" s="5"/>
      <c r="AA63" s="5"/>
      <c r="AB63" s="5"/>
    </row>
    <row r="64" hidden="1">
      <c r="A64" s="4">
        <f>IFERROR(__xludf.DUMMYFUNCTION("""COMPUTED_VALUE"""),46232.812568946756)</f>
        <v>46232.81257</v>
      </c>
      <c r="B64" s="5" t="str">
        <f>IFERROR(__xludf.DUMMYFUNCTION("""COMPUTED_VALUE"""),"wahyu.rvp007@gmail.com")</f>
        <v>wahyu.rvp007@gmail.com</v>
      </c>
      <c r="C64" s="5" t="str">
        <f>IFERROR(__xludf.DUMMYFUNCTION("""COMPUTED_VALUE"""),"Wahyu Nugroho, S.Pd., Gr")</f>
        <v>Wahyu Nugroho, S.Pd., Gr</v>
      </c>
      <c r="D64" s="5">
        <f>IFERROR(__xludf.DUMMYFUNCTION("""COMPUTED_VALUE"""),7.000190544E9)</f>
        <v>7000190544</v>
      </c>
      <c r="E64" s="5" t="str">
        <f>IFERROR(__xludf.DUMMYFUNCTION("""COMPUTED_VALUE"""),"085340348364")</f>
        <v>085340348364</v>
      </c>
      <c r="F64" s="7">
        <f>IFERROR(__xludf.DUMMYFUNCTION("""COMPUTED_VALUE"""),36900.0)</f>
        <v>36900</v>
      </c>
      <c r="G64" s="5" t="str">
        <f>IFERROR(__xludf.DUMMYFUNCTION("""COMPUTED_VALUE"""),"S1-Pendidikan Sejarah")</f>
        <v>S1-Pendidikan Sejarah</v>
      </c>
      <c r="H64" s="5" t="str">
        <f>IFERROR(__xludf.DUMMYFUNCTION("""COMPUTED_VALUE"""),"Universitas Halu Oleo")</f>
        <v>Universitas Halu Oleo</v>
      </c>
      <c r="I64" s="5" t="str">
        <f>IFERROR(__xludf.DUMMYFUNCTION("""COMPUTED_VALUE"""),"Sejarah")</f>
        <v>Sejarah</v>
      </c>
      <c r="J64" s="5" t="str">
        <f>IFERROR(__xludf.DUMMYFUNCTION("""COMPUTED_VALUE"""),"PPG Prajabatan Gelombang 2 Tahun 2023")</f>
        <v>PPG Prajabatan Gelombang 2 Tahun 2023</v>
      </c>
      <c r="K64" s="5">
        <f>IFERROR(__xludf.DUMMYFUNCTION("""COMPUTED_VALUE"""),2025.0)</f>
        <v>2025</v>
      </c>
      <c r="L64" s="8" t="str">
        <f>IFERROR(__xludf.DUMMYFUNCTION("""COMPUTED_VALUE"""),"3.41")</f>
        <v>3.41</v>
      </c>
      <c r="M64" s="5" t="str">
        <f>IFERROR(__xludf.DUMMYFUNCTION("""COMPUTED_VALUE"""),"-")</f>
        <v>-</v>
      </c>
      <c r="N64" s="5" t="str">
        <f>IFERROR(__xludf.DUMMYFUNCTION("""COMPUTED_VALUE"""),"Kendari, Sulawesi Tenggara")</f>
        <v>Kendari, Sulawesi Tenggara</v>
      </c>
      <c r="O64" s="5" t="str">
        <f>IFERROR(__xludf.DUMMYFUNCTION("""COMPUTED_VALUE"""),"Tidak")</f>
        <v>Tidak</v>
      </c>
      <c r="P64" s="5" t="str">
        <f>IFERROR(__xludf.DUMMYFUNCTION("""COMPUTED_VALUE"""),"Tenaga pendampingan pembelajaran mata Pelajaran Ilmu Pengetahuan Sosial (IPS) untuk mengajar mata pelajaran Sosiologi, Ekonomi, Geografi, dan Sejarah")</f>
        <v>Tenaga pendampingan pembelajaran mata Pelajaran Ilmu Pengetahuan Sosial (IPS) untuk mengajar mata pelajaran Sosiologi, Ekonomi, Geografi, dan Sejarah</v>
      </c>
      <c r="Q64" s="5" t="str">
        <f>IFERROR(__xludf.DUMMYFUNCTION("""COMPUTED_VALUE"""),"Kabupaten Buton Tengah, Sulawesi Tenggara")</f>
        <v>Kabupaten Buton Tengah, Sulawesi Tenggara</v>
      </c>
      <c r="R64" s="11" t="str">
        <f>IFERROR(__xludf.DUMMYFUNCTION("""COMPUTED_VALUE"""),"https://drive.google.com/drive/folders/1y1R3g_Ps-NBszB-H-tBdEOwX7mUKl9pJ")</f>
        <v>https://drive.google.com/drive/folders/1y1R3g_Ps-NBszB-H-tBdEOwX7mUKl9pJ</v>
      </c>
      <c r="S64" s="11" t="str">
        <f>IFERROR(__xludf.DUMMYFUNCTION("""COMPUTED_VALUE"""),"https://drive.google.com/drive/folders/1jt4YLBNVmmQlbLqan48uzpTgjZJgPJtc")</f>
        <v>https://drive.google.com/drive/folders/1jt4YLBNVmmQlbLqan48uzpTgjZJgPJtc</v>
      </c>
      <c r="T64" s="5" t="str">
        <f>IFERROR(__xludf.DUMMYFUNCTION("""COMPUTED_VALUE"""),"Lainnya")</f>
        <v>Lainnya</v>
      </c>
      <c r="U64" s="5"/>
      <c r="V64" s="5"/>
      <c r="W64" s="5"/>
      <c r="X64" s="5"/>
      <c r="Y64" s="5"/>
      <c r="Z64" s="5"/>
      <c r="AA64" s="5"/>
      <c r="AB64" s="5"/>
    </row>
    <row r="65" hidden="1">
      <c r="A65" s="4">
        <f>IFERROR(__xludf.DUMMYFUNCTION("""COMPUTED_VALUE"""),46232.823357615736)</f>
        <v>46232.82336</v>
      </c>
      <c r="B65" s="5" t="str">
        <f>IFERROR(__xludf.DUMMYFUNCTION("""COMPUTED_VALUE"""),"muhidbayyan5@gmail.com")</f>
        <v>muhidbayyan5@gmail.com</v>
      </c>
      <c r="C65" s="5" t="str">
        <f>IFERROR(__xludf.DUMMYFUNCTION("""COMPUTED_VALUE"""),"Muhid Bayyan, S.Pd. ")</f>
        <v>Muhid Bayyan, S.Pd. </v>
      </c>
      <c r="D65" s="5">
        <f>IFERROR(__xludf.DUMMYFUNCTION("""COMPUTED_VALUE"""),2.01698584238E11)</f>
        <v>201698584238</v>
      </c>
      <c r="E65" s="5" t="str">
        <f>IFERROR(__xludf.DUMMYFUNCTION("""COMPUTED_VALUE"""),"087775710810")</f>
        <v>087775710810</v>
      </c>
      <c r="F65" s="7">
        <f>IFERROR(__xludf.DUMMYFUNCTION("""COMPUTED_VALUE"""),33628.0)</f>
        <v>33628</v>
      </c>
      <c r="G65" s="5" t="str">
        <f>IFERROR(__xludf.DUMMYFUNCTION("""COMPUTED_VALUE"""),"Pendidikan Pancasila dan Kewarganegaraan")</f>
        <v>Pendidikan Pancasila dan Kewarganegaraan</v>
      </c>
      <c r="H65" s="5" t="str">
        <f>IFERROR(__xludf.DUMMYFUNCTION("""COMPUTED_VALUE"""),"Universitas Muhammadiyah Surakarta")</f>
        <v>Universitas Muhammadiyah Surakarta</v>
      </c>
      <c r="I65" s="5" t="str">
        <f>IFERROR(__xludf.DUMMYFUNCTION("""COMPUTED_VALUE"""),"Pendidikan Pancasila dan Kewarganegaraan (PKn)")</f>
        <v>Pendidikan Pancasila dan Kewarganegaraan (PKn)</v>
      </c>
      <c r="J65" s="5" t="str">
        <f>IFERROR(__xludf.DUMMYFUNCTION("""COMPUTED_VALUE"""),"PPG Calon Guru Gelombang 2 Tahun 2024")</f>
        <v>PPG Calon Guru Gelombang 2 Tahun 2024</v>
      </c>
      <c r="K65" s="5">
        <f>IFERROR(__xludf.DUMMYFUNCTION("""COMPUTED_VALUE"""),2025.0)</f>
        <v>2025</v>
      </c>
      <c r="L65" s="8" t="str">
        <f>IFERROR(__xludf.DUMMYFUNCTION("""COMPUTED_VALUE"""),"2.65")</f>
        <v>2.65</v>
      </c>
      <c r="M65" s="5" t="str">
        <f>IFERROR(__xludf.DUMMYFUNCTION("""COMPUTED_VALUE"""),"3.50")</f>
        <v>3.50</v>
      </c>
      <c r="N65" s="5" t="str">
        <f>IFERROR(__xludf.DUMMYFUNCTION("""COMPUTED_VALUE"""),"Demak, Jawa Tengah")</f>
        <v>Demak, Jawa Tengah</v>
      </c>
      <c r="O65" s="5" t="str">
        <f>IFERROR(__xludf.DUMMYFUNCTION("""COMPUTED_VALUE"""),"Tidak")</f>
        <v>Tidak</v>
      </c>
      <c r="P65" s="5" t="str">
        <f>IFERROR(__xludf.DUMMYFUNCTION("""COMPUTED_VALUE"""),"Tenaga pendampingan pembelajaran mata Pelajaran Pendidikan Pancasila")</f>
        <v>Tenaga pendampingan pembelajaran mata Pelajaran Pendidikan Pancasila</v>
      </c>
      <c r="Q65" s="5" t="str">
        <f>IFERROR(__xludf.DUMMYFUNCTION("""COMPUTED_VALUE"""),"Kabupaten Jepara, Jawa Tengah")</f>
        <v>Kabupaten Jepara, Jawa Tengah</v>
      </c>
      <c r="R65" s="5" t="str">
        <f>IFERROR(__xludf.DUMMYFUNCTION("""COMPUTED_VALUE"""),"-")</f>
        <v>-</v>
      </c>
      <c r="S65" s="11" t="str">
        <f>IFERROR(__xludf.DUMMYFUNCTION("""COMPUTED_VALUE"""),"https://drive.google.com/drive/folders/1DUcWJvg3MRjkBfV1Wb2SOf09W0KOXuia")</f>
        <v>https://drive.google.com/drive/folders/1DUcWJvg3MRjkBfV1Wb2SOf09W0KOXuia</v>
      </c>
      <c r="T65" s="5" t="str">
        <f>IFERROR(__xludf.DUMMYFUNCTION("""COMPUTED_VALUE"""),"Lainnya")</f>
        <v>Lainnya</v>
      </c>
      <c r="U65" s="5"/>
      <c r="V65" s="5"/>
      <c r="W65" s="5"/>
      <c r="X65" s="5"/>
      <c r="Y65" s="5"/>
      <c r="Z65" s="5"/>
      <c r="AA65" s="5"/>
      <c r="AB65" s="5"/>
    </row>
    <row r="66" hidden="1">
      <c r="A66" s="4">
        <f>IFERROR(__xludf.DUMMYFUNCTION("""COMPUTED_VALUE"""),46232.82399815972)</f>
        <v>46232.824</v>
      </c>
      <c r="B66" s="5" t="str">
        <f>IFERROR(__xludf.DUMMYFUNCTION("""COMPUTED_VALUE"""),"poncopras15@gmail.com")</f>
        <v>poncopras15@gmail.com</v>
      </c>
      <c r="C66" s="5" t="str">
        <f>IFERROR(__xludf.DUMMYFUNCTION("""COMPUTED_VALUE"""),"Muhammad Ponco Prasetyo, S.Pd., Gr")</f>
        <v>Muhammad Ponco Prasetyo, S.Pd., Gr</v>
      </c>
      <c r="D66" s="5">
        <f>IFERROR(__xludf.DUMMYFUNCTION("""COMPUTED_VALUE"""),7.000001058E9)</f>
        <v>7000001058</v>
      </c>
      <c r="E66" s="5" t="str">
        <f>IFERROR(__xludf.DUMMYFUNCTION("""COMPUTED_VALUE"""),"085785333059")</f>
        <v>085785333059</v>
      </c>
      <c r="F66" s="7">
        <f>IFERROR(__xludf.DUMMYFUNCTION("""COMPUTED_VALUE"""),36668.0)</f>
        <v>36668</v>
      </c>
      <c r="G66" s="5" t="str">
        <f>IFERROR(__xludf.DUMMYFUNCTION("""COMPUTED_VALUE"""),"Pendidikan Matematika ")</f>
        <v>Pendidikan Matematika </v>
      </c>
      <c r="H66" s="5" t="str">
        <f>IFERROR(__xludf.DUMMYFUNCTION("""COMPUTED_VALUE"""),"Universitas Muhammadiyah Surakarta ")</f>
        <v>Universitas Muhammadiyah Surakarta </v>
      </c>
      <c r="I66" s="5" t="str">
        <f>IFERROR(__xludf.DUMMYFUNCTION("""COMPUTED_VALUE"""),"Matematika")</f>
        <v>Matematika</v>
      </c>
      <c r="J66" s="5" t="str">
        <f>IFERROR(__xludf.DUMMYFUNCTION("""COMPUTED_VALUE"""),"PPG Prajabatan Gelombang 1 Tahun 2023")</f>
        <v>PPG Prajabatan Gelombang 1 Tahun 2023</v>
      </c>
      <c r="K66" s="5">
        <f>IFERROR(__xludf.DUMMYFUNCTION("""COMPUTED_VALUE"""),2024.0)</f>
        <v>2024</v>
      </c>
      <c r="L66" s="8" t="str">
        <f>IFERROR(__xludf.DUMMYFUNCTION("""COMPUTED_VALUE"""),"3.46")</f>
        <v>3.46</v>
      </c>
      <c r="M66" s="5" t="str">
        <f>IFERROR(__xludf.DUMMYFUNCTION("""COMPUTED_VALUE"""),"4")</f>
        <v>4</v>
      </c>
      <c r="N66" s="5" t="str">
        <f>IFERROR(__xludf.DUMMYFUNCTION("""COMPUTED_VALUE"""),"Kabupaten Grobogan, Jawa Tengah ")</f>
        <v>Kabupaten Grobogan, Jawa Tengah </v>
      </c>
      <c r="O66" s="5" t="str">
        <f>IFERROR(__xludf.DUMMYFUNCTION("""COMPUTED_VALUE"""),"Tidak")</f>
        <v>Tidak</v>
      </c>
      <c r="P66" s="5" t="str">
        <f>IFERROR(__xludf.DUMMYFUNCTION("""COMPUTED_VALUE"""),"Tenaga pendampingan pembelajaran mata Pelajaran Matematika (umum)")</f>
        <v>Tenaga pendampingan pembelajaran mata Pelajaran Matematika (umum)</v>
      </c>
      <c r="Q66" s="5" t="str">
        <f>IFERROR(__xludf.DUMMYFUNCTION("""COMPUTED_VALUE"""),"Kabupaten Jepara, Jawa Tengah")</f>
        <v>Kabupaten Jepara, Jawa Tengah</v>
      </c>
      <c r="R66" s="5" t="str">
        <f>IFERROR(__xludf.DUMMYFUNCTION("""COMPUTED_VALUE"""),"-")</f>
        <v>-</v>
      </c>
      <c r="S66" s="11" t="str">
        <f>IFERROR(__xludf.DUMMYFUNCTION("""COMPUTED_VALUE"""),"https://drive.google.com/drive/folders/1GaI6YVgutsBMNIGY3HaluvXIH5nka1r3")</f>
        <v>https://drive.google.com/drive/folders/1GaI6YVgutsBMNIGY3HaluvXIH5nka1r3</v>
      </c>
      <c r="T66" s="5" t="str">
        <f>IFERROR(__xludf.DUMMYFUNCTION("""COMPUTED_VALUE"""),"Lainnya")</f>
        <v>Lainnya</v>
      </c>
      <c r="U66" s="5"/>
      <c r="V66" s="5"/>
      <c r="W66" s="5"/>
      <c r="X66" s="5"/>
      <c r="Y66" s="5"/>
      <c r="Z66" s="5"/>
      <c r="AA66" s="5"/>
      <c r="AB66" s="5"/>
    </row>
    <row r="67" hidden="1">
      <c r="A67" s="4">
        <f>IFERROR(__xludf.DUMMYFUNCTION("""COMPUTED_VALUE"""),46232.948406180556)</f>
        <v>46232.94841</v>
      </c>
      <c r="B67" s="5" t="str">
        <f>IFERROR(__xludf.DUMMYFUNCTION("""COMPUTED_VALUE"""),"ppg.khoiruddinnugroho92@program.belajar.id")</f>
        <v>ppg.khoiruddinnugroho92@program.belajar.id</v>
      </c>
      <c r="C67" s="5" t="str">
        <f>IFERROR(__xludf.DUMMYFUNCTION("""COMPUTED_VALUE"""),"Khoiruddin Adi Nugroho, S.Pd.")</f>
        <v>Khoiruddin Adi Nugroho, S.Pd.</v>
      </c>
      <c r="D67" s="5">
        <f>IFERROR(__xludf.DUMMYFUNCTION("""COMPUTED_VALUE"""),7.00012563E9)</f>
        <v>7000125630</v>
      </c>
      <c r="E67" s="5" t="str">
        <f>IFERROR(__xludf.DUMMYFUNCTION("""COMPUTED_VALUE"""),"083838487111")</f>
        <v>083838487111</v>
      </c>
      <c r="F67" s="7">
        <f>IFERROR(__xludf.DUMMYFUNCTION("""COMPUTED_VALUE"""),36525.0)</f>
        <v>36525</v>
      </c>
      <c r="G67" s="5" t="str">
        <f>IFERROR(__xludf.DUMMYFUNCTION("""COMPUTED_VALUE"""),"Pendidikan Matematika")</f>
        <v>Pendidikan Matematika</v>
      </c>
      <c r="H67" s="5" t="str">
        <f>IFERROR(__xludf.DUMMYFUNCTION("""COMPUTED_VALUE"""),"Universitas Sebelas Maret")</f>
        <v>Universitas Sebelas Maret</v>
      </c>
      <c r="I67" s="5" t="str">
        <f>IFERROR(__xludf.DUMMYFUNCTION("""COMPUTED_VALUE"""),"Matematika")</f>
        <v>Matematika</v>
      </c>
      <c r="J67" s="5" t="str">
        <f>IFERROR(__xludf.DUMMYFUNCTION("""COMPUTED_VALUE"""),"PPG Prajabatan Gelombang 1 Tahun 2023")</f>
        <v>PPG Prajabatan Gelombang 1 Tahun 2023</v>
      </c>
      <c r="K67" s="5">
        <f>IFERROR(__xludf.DUMMYFUNCTION("""COMPUTED_VALUE"""),2024.0)</f>
        <v>2024</v>
      </c>
      <c r="L67" s="8" t="str">
        <f>IFERROR(__xludf.DUMMYFUNCTION("""COMPUTED_VALUE"""),"3.34")</f>
        <v>3.34</v>
      </c>
      <c r="M67" s="5" t="str">
        <f>IFERROR(__xludf.DUMMYFUNCTION("""COMPUTED_VALUE"""),"4.00")</f>
        <v>4.00</v>
      </c>
      <c r="N67" s="5" t="str">
        <f>IFERROR(__xludf.DUMMYFUNCTION("""COMPUTED_VALUE"""),"Kabupaten Boyolali, Jawa Tengah")</f>
        <v>Kabupaten Boyolali, Jawa Tengah</v>
      </c>
      <c r="O67" s="5" t="str">
        <f>IFERROR(__xludf.DUMMYFUNCTION("""COMPUTED_VALUE"""),"Tidak")</f>
        <v>Tidak</v>
      </c>
      <c r="P67" s="5" t="str">
        <f>IFERROR(__xludf.DUMMYFUNCTION("""COMPUTED_VALUE"""),"Tenaga pendampingan pembelajaran mata Pelajaran Matematika (umum)")</f>
        <v>Tenaga pendampingan pembelajaran mata Pelajaran Matematika (umum)</v>
      </c>
      <c r="Q67" s="5" t="str">
        <f>IFERROR(__xludf.DUMMYFUNCTION("""COMPUTED_VALUE"""),"Kabupaten Jepara, Jawa Tengah")</f>
        <v>Kabupaten Jepara, Jawa Tengah</v>
      </c>
      <c r="R67" s="11" t="str">
        <f>IFERROR(__xludf.DUMMYFUNCTION("""COMPUTED_VALUE"""),"https://drive.google.com/drive/folders/1Xt6h7jx3czj4afAue1YgIAboBHeGM2uR")</f>
        <v>https://drive.google.com/drive/folders/1Xt6h7jx3czj4afAue1YgIAboBHeGM2uR</v>
      </c>
      <c r="S67" s="11" t="str">
        <f>IFERROR(__xludf.DUMMYFUNCTION("""COMPUTED_VALUE"""),"https://drive.google.com/drive/folders/1BunhS9ZC30KIV72NDCiDcLA3-Ud7Jkt9")</f>
        <v>https://drive.google.com/drive/folders/1BunhS9ZC30KIV72NDCiDcLA3-Ud7Jkt9</v>
      </c>
      <c r="T67" s="5" t="str">
        <f>IFERROR(__xludf.DUMMYFUNCTION("""COMPUTED_VALUE"""),"Alumni S1 FKIP UNS yang telah lulus PPG Calon Guru/Prajabatan bukan di FKIP UNS")</f>
        <v>Alumni S1 FKIP UNS yang telah lulus PPG Calon Guru/Prajabatan bukan di FKIP UNS</v>
      </c>
      <c r="U67" s="5"/>
      <c r="V67" s="5" t="str">
        <f>IFERROR(__xludf.DUMMYFUNCTION("""COMPUTED_VALUE"""),"K1318043")</f>
        <v>K1318043</v>
      </c>
      <c r="W67" s="5" t="str">
        <f>IFERROR(__xludf.DUMMYFUNCTION("""COMPUTED_VALUE"""),"Pendidikan Matematika")</f>
        <v>Pendidikan Matematika</v>
      </c>
      <c r="X67" s="5" t="str">
        <f>IFERROR(__xludf.DUMMYFUNCTION("""COMPUTED_VALUE"""),"Universitas Muhammadiyah Surakarta")</f>
        <v>Universitas Muhammadiyah Surakarta</v>
      </c>
      <c r="Y67" s="5" t="str">
        <f>IFERROR(__xludf.DUMMYFUNCTION("""COMPUTED_VALUE"""),"A941230031")</f>
        <v>A941230031</v>
      </c>
      <c r="Z67" s="5"/>
      <c r="AA67" s="5"/>
      <c r="AB67" s="5"/>
    </row>
    <row r="68" hidden="1">
      <c r="A68" s="4">
        <f>IFERROR(__xludf.DUMMYFUNCTION("""COMPUTED_VALUE"""),46232.869522430556)</f>
        <v>46232.86952</v>
      </c>
      <c r="B68" s="5" t="str">
        <f>IFERROR(__xludf.DUMMYFUNCTION("""COMPUTED_VALUE"""),"adambhrdn24@gmail.com")</f>
        <v>adambhrdn24@gmail.com</v>
      </c>
      <c r="C68" s="5" t="str">
        <f>IFERROR(__xludf.DUMMYFUNCTION("""COMPUTED_VALUE"""),"Adam Baharddudin, S.Or")</f>
        <v>Adam Baharddudin, S.Or</v>
      </c>
      <c r="D68" s="5">
        <f>IFERROR(__xludf.DUMMYFUNCTION("""COMPUTED_VALUE"""),7.000114559E9)</f>
        <v>7000114559</v>
      </c>
      <c r="E68" s="5" t="str">
        <f>IFERROR(__xludf.DUMMYFUNCTION("""COMPUTED_VALUE"""),"082326731860")</f>
        <v>082326731860</v>
      </c>
      <c r="F68" s="7">
        <f>IFERROR(__xludf.DUMMYFUNCTION("""COMPUTED_VALUE"""),36304.0)</f>
        <v>36304</v>
      </c>
      <c r="G68" s="5" t="str">
        <f>IFERROR(__xludf.DUMMYFUNCTION("""COMPUTED_VALUE"""),"S1- ILMU KEOLAHRAGAAN")</f>
        <v>S1- ILMU KEOLAHRAGAAN</v>
      </c>
      <c r="H68" s="5" t="str">
        <f>IFERROR(__xludf.DUMMYFUNCTION("""COMPUTED_VALUE"""),"UNIVERSITAS NEGERI SEMARANG")</f>
        <v>UNIVERSITAS NEGERI SEMARANG</v>
      </c>
      <c r="I68" s="5" t="str">
        <f>IFERROR(__xludf.DUMMYFUNCTION("""COMPUTED_VALUE"""),"Pendidikan Jasmani, Olahraga, dan Kesehatan (PJOK)")</f>
        <v>Pendidikan Jasmani, Olahraga, dan Kesehatan (PJOK)</v>
      </c>
      <c r="J68" s="5" t="str">
        <f>IFERROR(__xludf.DUMMYFUNCTION("""COMPUTED_VALUE"""),"PPG Prajabatan Gelombang 2 Tahun 2022")</f>
        <v>PPG Prajabatan Gelombang 2 Tahun 2022</v>
      </c>
      <c r="K68" s="5">
        <f>IFERROR(__xludf.DUMMYFUNCTION("""COMPUTED_VALUE"""),2023.0)</f>
        <v>2023</v>
      </c>
      <c r="L68" s="8" t="str">
        <f>IFERROR(__xludf.DUMMYFUNCTION("""COMPUTED_VALUE"""),"3.70")</f>
        <v>3.70</v>
      </c>
      <c r="M68" s="5" t="str">
        <f>IFERROR(__xludf.DUMMYFUNCTION("""COMPUTED_VALUE"""),"4.00")</f>
        <v>4.00</v>
      </c>
      <c r="N68" s="5" t="str">
        <f>IFERROR(__xludf.DUMMYFUNCTION("""COMPUTED_VALUE"""),"KAB. PATI")</f>
        <v>KAB. PATI</v>
      </c>
      <c r="O68" s="5" t="str">
        <f>IFERROR(__xludf.DUMMYFUNCTION("""COMPUTED_VALUE"""),"Tidak")</f>
        <v>Tidak</v>
      </c>
      <c r="P68" s="5" t="str">
        <f>IFERROR(__xludf.DUMMYFUNCTION("""COMPUTED_VALUE"""),"Tenaga pendampingan pembelajaran mata Pelajaran Penjasorkes")</f>
        <v>Tenaga pendampingan pembelajaran mata Pelajaran Penjasorkes</v>
      </c>
      <c r="Q68" s="5" t="str">
        <f>IFERROR(__xludf.DUMMYFUNCTION("""COMPUTED_VALUE"""),"Kabupaten Jepara, Jawa Tengah")</f>
        <v>Kabupaten Jepara, Jawa Tengah</v>
      </c>
      <c r="R68" s="11" t="str">
        <f>IFERROR(__xludf.DUMMYFUNCTION("""COMPUTED_VALUE"""),"https://drive.google.com/drive/folders/1DYyHuJ2wcuaLyFmqxKbSEYLJbbMqgJUz?usp=sharing")</f>
        <v>https://drive.google.com/drive/folders/1DYyHuJ2wcuaLyFmqxKbSEYLJbbMqgJUz?usp=sharing</v>
      </c>
      <c r="S68" s="11" t="str">
        <f>IFERROR(__xludf.DUMMYFUNCTION("""COMPUTED_VALUE"""),"https://drive.google.com/drive/folders/1Rs9HB-oZ3H5yNrDt9DFHXgAhgSOFkiIK?usp=sharing")</f>
        <v>https://drive.google.com/drive/folders/1Rs9HB-oZ3H5yNrDt9DFHXgAhgSOFkiIK?usp=sharing</v>
      </c>
      <c r="T68" s="5" t="str">
        <f>IFERROR(__xludf.DUMMYFUNCTION("""COMPUTED_VALUE"""),"Alumni PPG Calon Guru / Prajabatan FKIP UNS")</f>
        <v>Alumni PPG Calon Guru / Prajabatan FKIP UNS</v>
      </c>
      <c r="U68" s="5" t="str">
        <f>IFERROR(__xludf.DUMMYFUNCTION("""COMPUTED_VALUE"""),"X9022083743")</f>
        <v>X9022083743</v>
      </c>
      <c r="V68" s="5" t="str">
        <f>IFERROR(__xludf.DUMMYFUNCTION("""COMPUTED_VALUE"""),"-")</f>
        <v>-</v>
      </c>
      <c r="W68" s="5" t="str">
        <f>IFERROR(__xludf.DUMMYFUNCTION("""COMPUTED_VALUE"""),"-")</f>
        <v>-</v>
      </c>
      <c r="X68" s="5" t="str">
        <f>IFERROR(__xludf.DUMMYFUNCTION("""COMPUTED_VALUE"""),"-")</f>
        <v>-</v>
      </c>
      <c r="Y68" s="5" t="str">
        <f>IFERROR(__xludf.DUMMYFUNCTION("""COMPUTED_VALUE"""),"-")</f>
        <v>-</v>
      </c>
      <c r="Z68" s="5"/>
      <c r="AA68" s="5"/>
      <c r="AB68" s="5"/>
    </row>
    <row r="69" hidden="1">
      <c r="A69" s="4">
        <f>IFERROR(__xludf.DUMMYFUNCTION("""COMPUTED_VALUE"""),46232.888823877314)</f>
        <v>46232.88882</v>
      </c>
      <c r="B69" s="5" t="str">
        <f>IFERROR(__xludf.DUMMYFUNCTION("""COMPUTED_VALUE"""),"hendraramadhan31121997@gmail.com")</f>
        <v>hendraramadhan31121997@gmail.com</v>
      </c>
      <c r="C69" s="5" t="str">
        <f>IFERROR(__xludf.DUMMYFUNCTION("""COMPUTED_VALUE"""),"Hendra Ramadhan, S.Pd., Gr")</f>
        <v>Hendra Ramadhan, S.Pd., Gr</v>
      </c>
      <c r="D69" s="5">
        <f>IFERROR(__xludf.DUMMYFUNCTION("""COMPUTED_VALUE"""),7.000128335E9)</f>
        <v>7000128335</v>
      </c>
      <c r="E69" s="5" t="str">
        <f>IFERROR(__xludf.DUMMYFUNCTION("""COMPUTED_VALUE"""),"+6288221283922")</f>
        <v>+6288221283922</v>
      </c>
      <c r="F69" s="7">
        <f>IFERROR(__xludf.DUMMYFUNCTION("""COMPUTED_VALUE"""),35795.0)</f>
        <v>35795</v>
      </c>
      <c r="G69" s="5" t="str">
        <f>IFERROR(__xludf.DUMMYFUNCTION("""COMPUTED_VALUE"""),"S-1 Pendidikan IPA")</f>
        <v>S-1 Pendidikan IPA</v>
      </c>
      <c r="H69" s="5" t="str">
        <f>IFERROR(__xludf.DUMMYFUNCTION("""COMPUTED_VALUE"""),"Universitas Sebelas Maret (UNS)")</f>
        <v>Universitas Sebelas Maret (UNS)</v>
      </c>
      <c r="I69" s="5" t="str">
        <f>IFERROR(__xludf.DUMMYFUNCTION("""COMPUTED_VALUE"""),"Ilmu Pengetahuan Alam (IPA)")</f>
        <v>Ilmu Pengetahuan Alam (IPA)</v>
      </c>
      <c r="J69" s="5" t="str">
        <f>IFERROR(__xludf.DUMMYFUNCTION("""COMPUTED_VALUE"""),"PPG Prajabatan Gelombang 1 Tahun 2023")</f>
        <v>PPG Prajabatan Gelombang 1 Tahun 2023</v>
      </c>
      <c r="K69" s="5">
        <f>IFERROR(__xludf.DUMMYFUNCTION("""COMPUTED_VALUE"""),2024.0)</f>
        <v>2024</v>
      </c>
      <c r="L69" s="8" t="str">
        <f>IFERROR(__xludf.DUMMYFUNCTION("""COMPUTED_VALUE"""),"3.69")</f>
        <v>3.69</v>
      </c>
      <c r="M69" s="5" t="str">
        <f>IFERROR(__xludf.DUMMYFUNCTION("""COMPUTED_VALUE"""),"3.98")</f>
        <v>3.98</v>
      </c>
      <c r="N69" s="5" t="str">
        <f>IFERROR(__xludf.DUMMYFUNCTION("""COMPUTED_VALUE"""),"Kota Surakarta, Jawa Tengah")</f>
        <v>Kota Surakarta, Jawa Tengah</v>
      </c>
      <c r="O69" s="5" t="str">
        <f>IFERROR(__xludf.DUMMYFUNCTION("""COMPUTED_VALUE"""),"Tidak")</f>
        <v>Tidak</v>
      </c>
      <c r="P69" s="5" t="str">
        <f>IFERROR(__xludf.DUMMYFUNCTION("""COMPUTED_VALUE"""),"Tenaga pendampingan pembelajaran mata Pelajaran Ilmu Pengetahuan Alam (IPA) untuk mengajar mata pelajaran Biologi, Kimia, Fisika")</f>
        <v>Tenaga pendampingan pembelajaran mata Pelajaran Ilmu Pengetahuan Alam (IPA) untuk mengajar mata pelajaran Biologi, Kimia, Fisika</v>
      </c>
      <c r="Q69" s="5" t="str">
        <f>IFERROR(__xludf.DUMMYFUNCTION("""COMPUTED_VALUE"""),"Kabupaten Jepara, Jawa Tengah")</f>
        <v>Kabupaten Jepara, Jawa Tengah</v>
      </c>
      <c r="R69" s="11" t="str">
        <f>IFERROR(__xludf.DUMMYFUNCTION("""COMPUTED_VALUE"""),"https://s.id/berkassertifikatSNThendra")</f>
        <v>https://s.id/berkassertifikatSNThendra</v>
      </c>
      <c r="S69" s="11" t="str">
        <f>IFERROR(__xludf.DUMMYFUNCTION("""COMPUTED_VALUE"""),"https://youtu.be/RtFvDOOgoqM")</f>
        <v>https://youtu.be/RtFvDOOgoqM</v>
      </c>
      <c r="T69" s="5" t="str">
        <f>IFERROR(__xludf.DUMMYFUNCTION("""COMPUTED_VALUE"""),"Alumni PPG Calon Guru / Prajabatan FKIP UNS")</f>
        <v>Alumni PPG Calon Guru / Prajabatan FKIP UNS</v>
      </c>
      <c r="U69" s="5" t="str">
        <f>IFERROR(__xludf.DUMMYFUNCTION("""COMPUTED_VALUE"""),"X902308400")</f>
        <v>X902308400</v>
      </c>
      <c r="V69" s="5" t="str">
        <f>IFERROR(__xludf.DUMMYFUNCTION("""COMPUTED_VALUE"""),"-")</f>
        <v>-</v>
      </c>
      <c r="W69" s="5" t="str">
        <f>IFERROR(__xludf.DUMMYFUNCTION("""COMPUTED_VALUE"""),"-")</f>
        <v>-</v>
      </c>
      <c r="X69" s="5" t="str">
        <f>IFERROR(__xludf.DUMMYFUNCTION("""COMPUTED_VALUE"""),"-")</f>
        <v>-</v>
      </c>
      <c r="Y69" s="5" t="str">
        <f>IFERROR(__xludf.DUMMYFUNCTION("""COMPUTED_VALUE"""),"-")</f>
        <v>-</v>
      </c>
      <c r="Z69" s="5"/>
      <c r="AA69" s="5"/>
      <c r="AB69" s="5"/>
    </row>
    <row r="70" hidden="1">
      <c r="A70" s="4">
        <f>IFERROR(__xludf.DUMMYFUNCTION("""COMPUTED_VALUE"""),46232.94248082176)</f>
        <v>46232.94248</v>
      </c>
      <c r="B70" s="5" t="str">
        <f>IFERROR(__xludf.DUMMYFUNCTION("""COMPUTED_VALUE"""),"wismpm99@gmail.com")</f>
        <v>wismpm99@gmail.com</v>
      </c>
      <c r="C70" s="5" t="str">
        <f>IFERROR(__xludf.DUMMYFUNCTION("""COMPUTED_VALUE"""),"Wisma Puteri Mustika, S.Pd., Gr.")</f>
        <v>Wisma Puteri Mustika, S.Pd., Gr.</v>
      </c>
      <c r="D70" s="5">
        <f>IFERROR(__xludf.DUMMYFUNCTION("""COMPUTED_VALUE"""),7.000131551E9)</f>
        <v>7000131551</v>
      </c>
      <c r="E70" s="5" t="str">
        <f>IFERROR(__xludf.DUMMYFUNCTION("""COMPUTED_VALUE"""),"085702647132")</f>
        <v>085702647132</v>
      </c>
      <c r="F70" s="7">
        <f>IFERROR(__xludf.DUMMYFUNCTION("""COMPUTED_VALUE"""),36436.0)</f>
        <v>36436</v>
      </c>
      <c r="G70" s="5" t="str">
        <f>IFERROR(__xludf.DUMMYFUNCTION("""COMPUTED_VALUE"""),"Pendidikan IPA")</f>
        <v>Pendidikan IPA</v>
      </c>
      <c r="H70" s="5" t="str">
        <f>IFERROR(__xludf.DUMMYFUNCTION("""COMPUTED_VALUE"""),"Universitas Negeri Semarang")</f>
        <v>Universitas Negeri Semarang</v>
      </c>
      <c r="I70" s="5" t="str">
        <f>IFERROR(__xludf.DUMMYFUNCTION("""COMPUTED_VALUE"""),"Ilmu Pengetahuan Alam (IPA)")</f>
        <v>Ilmu Pengetahuan Alam (IPA)</v>
      </c>
      <c r="J70" s="5" t="str">
        <f>IFERROR(__xludf.DUMMYFUNCTION("""COMPUTED_VALUE"""),"PPG Prajabatan Gelombang 1 Tahun 2023")</f>
        <v>PPG Prajabatan Gelombang 1 Tahun 2023</v>
      </c>
      <c r="K70" s="5">
        <f>IFERROR(__xludf.DUMMYFUNCTION("""COMPUTED_VALUE"""),2024.0)</f>
        <v>2024</v>
      </c>
      <c r="L70" s="8" t="str">
        <f>IFERROR(__xludf.DUMMYFUNCTION("""COMPUTED_VALUE"""),"3.74")</f>
        <v>3.74</v>
      </c>
      <c r="M70" s="5" t="str">
        <f>IFERROR(__xludf.DUMMYFUNCTION("""COMPUTED_VALUE"""),"3.96")</f>
        <v>3.96</v>
      </c>
      <c r="N70" s="5" t="str">
        <f>IFERROR(__xludf.DUMMYFUNCTION("""COMPUTED_VALUE"""),"Kabupaten Blora, Jawa Tengah")</f>
        <v>Kabupaten Blora, Jawa Tengah</v>
      </c>
      <c r="O70" s="5" t="str">
        <f>IFERROR(__xludf.DUMMYFUNCTION("""COMPUTED_VALUE"""),"Tidak")</f>
        <v>Tidak</v>
      </c>
      <c r="P70" s="5" t="str">
        <f>IFERROR(__xludf.DUMMYFUNCTION("""COMPUTED_VALUE"""),"Tenaga pendampingan pembelajaran mata Pelajaran Ilmu Pengetahuan Alam (IPA) untuk mengajar mata pelajaran Biologi, Kimia, Fisika")</f>
        <v>Tenaga pendampingan pembelajaran mata Pelajaran Ilmu Pengetahuan Alam (IPA) untuk mengajar mata pelajaran Biologi, Kimia, Fisika</v>
      </c>
      <c r="Q70" s="5" t="str">
        <f>IFERROR(__xludf.DUMMYFUNCTION("""COMPUTED_VALUE"""),"Kabupaten Jepara, Jawa Tengah")</f>
        <v>Kabupaten Jepara, Jawa Tengah</v>
      </c>
      <c r="R70" s="11" t="str">
        <f>IFERROR(__xludf.DUMMYFUNCTION("""COMPUTED_VALUE"""),"https://drive.google.com/drive/folders/1Xc0MRju7g1H4dMvg8kLe33DxXZIsG0ok")</f>
        <v>https://drive.google.com/drive/folders/1Xc0MRju7g1H4dMvg8kLe33DxXZIsG0ok</v>
      </c>
      <c r="S70" s="11" t="str">
        <f>IFERROR(__xludf.DUMMYFUNCTION("""COMPUTED_VALUE"""),"https://drive.google.com/drive/folders/18vJaaPkf_N1kQFEIOq34K1CHZlOV1Yxr")</f>
        <v>https://drive.google.com/drive/folders/18vJaaPkf_N1kQFEIOq34K1CHZlOV1Yxr</v>
      </c>
      <c r="T70" s="5" t="str">
        <f>IFERROR(__xludf.DUMMYFUNCTION("""COMPUTED_VALUE"""),"Alumni PPG Calon Guru / Prajabatan FKIP UNS")</f>
        <v>Alumni PPG Calon Guru / Prajabatan FKIP UNS</v>
      </c>
      <c r="U70" s="5" t="str">
        <f>IFERROR(__xludf.DUMMYFUNCTION("""COMPUTED_VALUE"""),"X902308930")</f>
        <v>X902308930</v>
      </c>
      <c r="V70" s="5" t="str">
        <f>IFERROR(__xludf.DUMMYFUNCTION("""COMPUTED_VALUE"""),"0")</f>
        <v>0</v>
      </c>
      <c r="W70" s="5" t="str">
        <f>IFERROR(__xludf.DUMMYFUNCTION("""COMPUTED_VALUE"""),"0")</f>
        <v>0</v>
      </c>
      <c r="X70" s="5" t="str">
        <f>IFERROR(__xludf.DUMMYFUNCTION("""COMPUTED_VALUE"""),"0")</f>
        <v>0</v>
      </c>
      <c r="Y70" s="5" t="str">
        <f>IFERROR(__xludf.DUMMYFUNCTION("""COMPUTED_VALUE"""),"0")</f>
        <v>0</v>
      </c>
      <c r="Z70" s="5"/>
      <c r="AA70" s="5"/>
      <c r="AB70" s="5"/>
    </row>
    <row r="71" hidden="1">
      <c r="A71" s="4">
        <f>IFERROR(__xludf.DUMMYFUNCTION("""COMPUTED_VALUE"""),46232.918901851845)</f>
        <v>46232.9189</v>
      </c>
      <c r="B71" s="5" t="str">
        <f>IFERROR(__xludf.DUMMYFUNCTION("""COMPUTED_VALUE"""),"bastianwijayanto78@gmail.com")</f>
        <v>bastianwijayanto78@gmail.com</v>
      </c>
      <c r="C71" s="5" t="str">
        <f>IFERROR(__xludf.DUMMYFUNCTION("""COMPUTED_VALUE"""),"Bastian Wijayanto, S.Pd., Gr.")</f>
        <v>Bastian Wijayanto, S.Pd., Gr.</v>
      </c>
      <c r="D71" s="5">
        <f>IFERROR(__xludf.DUMMYFUNCTION("""COMPUTED_VALUE"""),2.0169838862E11)</f>
        <v>201698388620</v>
      </c>
      <c r="E71" s="5" t="str">
        <f>IFERROR(__xludf.DUMMYFUNCTION("""COMPUTED_VALUE"""),"085647472150")</f>
        <v>085647472150</v>
      </c>
      <c r="F71" s="7">
        <f>IFERROR(__xludf.DUMMYFUNCTION("""COMPUTED_VALUE"""),32570.0)</f>
        <v>32570</v>
      </c>
      <c r="G71" s="5" t="str">
        <f>IFERROR(__xludf.DUMMYFUNCTION("""COMPUTED_VALUE"""),"PPKn")</f>
        <v>PPKn</v>
      </c>
      <c r="H71" s="5" t="str">
        <f>IFERROR(__xludf.DUMMYFUNCTION("""COMPUTED_VALUE"""),"Universitas Muhammadiyah Surakarta ")</f>
        <v>Universitas Muhammadiyah Surakarta </v>
      </c>
      <c r="I71" s="5" t="str">
        <f>IFERROR(__xludf.DUMMYFUNCTION("""COMPUTED_VALUE"""),"Pendidikan Pancasila dan Kewarganegaraan (PKn)")</f>
        <v>Pendidikan Pancasila dan Kewarganegaraan (PKn)</v>
      </c>
      <c r="J71" s="5" t="str">
        <f>IFERROR(__xludf.DUMMYFUNCTION("""COMPUTED_VALUE"""),"PPG Prajabatan Gelombang 1 Tahun 2022")</f>
        <v>PPG Prajabatan Gelombang 1 Tahun 2022</v>
      </c>
      <c r="K71" s="5">
        <f>IFERROR(__xludf.DUMMYFUNCTION("""COMPUTED_VALUE"""),2023.0)</f>
        <v>2023</v>
      </c>
      <c r="L71" s="8" t="str">
        <f>IFERROR(__xludf.DUMMYFUNCTION("""COMPUTED_VALUE"""),"3.64")</f>
        <v>3.64</v>
      </c>
      <c r="M71" s="5" t="str">
        <f>IFERROR(__xludf.DUMMYFUNCTION("""COMPUTED_VALUE"""),"90,13")</f>
        <v>90,13</v>
      </c>
      <c r="N71" s="5" t="str">
        <f>IFERROR(__xludf.DUMMYFUNCTION("""COMPUTED_VALUE"""),"Kabupaten Jepara, Jawa Tengah ")</f>
        <v>Kabupaten Jepara, Jawa Tengah </v>
      </c>
      <c r="O71" s="5" t="str">
        <f>IFERROR(__xludf.DUMMYFUNCTION("""COMPUTED_VALUE"""),"Tidak")</f>
        <v>Tidak</v>
      </c>
      <c r="P71" s="5" t="str">
        <f>IFERROR(__xludf.DUMMYFUNCTION("""COMPUTED_VALUE"""),"Tenaga pendampingan pembelajaran mata Pelajaran Pendidikan Pancasila")</f>
        <v>Tenaga pendampingan pembelajaran mata Pelajaran Pendidikan Pancasila</v>
      </c>
      <c r="Q71" s="5" t="str">
        <f>IFERROR(__xludf.DUMMYFUNCTION("""COMPUTED_VALUE"""),"Kabupaten Jepara, Jawa Tengah")</f>
        <v>Kabupaten Jepara, Jawa Tengah</v>
      </c>
      <c r="R71" s="11" t="str">
        <f>IFERROR(__xludf.DUMMYFUNCTION("""COMPUTED_VALUE"""),"https://drive.google.com/drive/folders/19pK6PbUXZ16YntCxA1TVSeVpSrRQULn9?usp=sharing")</f>
        <v>https://drive.google.com/drive/folders/19pK6PbUXZ16YntCxA1TVSeVpSrRQULn9?usp=sharing</v>
      </c>
      <c r="S71" s="11" t="str">
        <f>IFERROR(__xludf.DUMMYFUNCTION("""COMPUTED_VALUE"""),"https://drive.google.com/drive/folders/1LzuVejBMa0nJuaBNUC6Wmo059tSnk3PX?usp=drive_link")</f>
        <v>https://drive.google.com/drive/folders/1LzuVejBMa0nJuaBNUC6Wmo059tSnk3PX?usp=drive_link</v>
      </c>
      <c r="T71" s="5" t="str">
        <f>IFERROR(__xludf.DUMMYFUNCTION("""COMPUTED_VALUE"""),"Lainnya")</f>
        <v>Lainnya</v>
      </c>
      <c r="U71" s="5"/>
      <c r="V71" s="5"/>
      <c r="W71" s="5"/>
      <c r="X71" s="5"/>
      <c r="Y71" s="5"/>
      <c r="Z71" s="5"/>
      <c r="AA71" s="5"/>
      <c r="AB71" s="5"/>
    </row>
    <row r="72" hidden="1">
      <c r="A72" s="4">
        <f>IFERROR(__xludf.DUMMYFUNCTION("""COMPUTED_VALUE"""),46232.9390231713)</f>
        <v>46232.93902</v>
      </c>
      <c r="B72" s="5" t="str">
        <f>IFERROR(__xludf.DUMMYFUNCTION("""COMPUTED_VALUE"""),"diyanaratnasari190102@gmail.com")</f>
        <v>diyanaratnasari190102@gmail.com</v>
      </c>
      <c r="C72" s="5" t="str">
        <f>IFERROR(__xludf.DUMMYFUNCTION("""COMPUTED_VALUE"""),"Diyana Ratna Sari, S.Pd, Gr.")</f>
        <v>Diyana Ratna Sari, S.Pd, Gr.</v>
      </c>
      <c r="D72" s="5">
        <f>IFERROR(__xludf.DUMMYFUNCTION("""COMPUTED_VALUE"""),7.000213119E9)</f>
        <v>7000213119</v>
      </c>
      <c r="E72" s="5" t="str">
        <f>IFERROR(__xludf.DUMMYFUNCTION("""COMPUTED_VALUE"""),"081326793556")</f>
        <v>081326793556</v>
      </c>
      <c r="F72" s="7">
        <f>IFERROR(__xludf.DUMMYFUNCTION("""COMPUTED_VALUE"""),37275.0)</f>
        <v>37275</v>
      </c>
      <c r="G72" s="5" t="str">
        <f>IFERROR(__xludf.DUMMYFUNCTION("""COMPUTED_VALUE"""),"Pendidikan jasmani kesahatan dan Rekreasi")</f>
        <v>Pendidikan jasmani kesahatan dan Rekreasi</v>
      </c>
      <c r="H72" s="5" t="str">
        <f>IFERROR(__xludf.DUMMYFUNCTION("""COMPUTED_VALUE"""),"universitas Riau")</f>
        <v>universitas Riau</v>
      </c>
      <c r="I72" s="5" t="str">
        <f>IFERROR(__xludf.DUMMYFUNCTION("""COMPUTED_VALUE"""),"Pendidikan Jasmani, Olahraga, dan Kesehatan (PJOK)")</f>
        <v>Pendidikan Jasmani, Olahraga, dan Kesehatan (PJOK)</v>
      </c>
      <c r="J72" s="5" t="str">
        <f>IFERROR(__xludf.DUMMYFUNCTION("""COMPUTED_VALUE"""),"PPG Prajabatan Gelombang 1 Tahun 2024")</f>
        <v>PPG Prajabatan Gelombang 1 Tahun 2024</v>
      </c>
      <c r="K72" s="5">
        <f>IFERROR(__xludf.DUMMYFUNCTION("""COMPUTED_VALUE"""),2025.0)</f>
        <v>2025</v>
      </c>
      <c r="L72" s="8" t="str">
        <f>IFERROR(__xludf.DUMMYFUNCTION("""COMPUTED_VALUE"""),"3,76")</f>
        <v>3,76</v>
      </c>
      <c r="M72" s="5" t="str">
        <f>IFERROR(__xludf.DUMMYFUNCTION("""COMPUTED_VALUE"""),"3,91")</f>
        <v>3,91</v>
      </c>
      <c r="N72" s="5" t="str">
        <f>IFERROR(__xludf.DUMMYFUNCTION("""COMPUTED_VALUE"""),"Kabupaten Boyolali, Jawa Tengah")</f>
        <v>Kabupaten Boyolali, Jawa Tengah</v>
      </c>
      <c r="O72" s="5" t="str">
        <f>IFERROR(__xludf.DUMMYFUNCTION("""COMPUTED_VALUE"""),"Tidak")</f>
        <v>Tidak</v>
      </c>
      <c r="P72" s="5" t="str">
        <f>IFERROR(__xludf.DUMMYFUNCTION("""COMPUTED_VALUE"""),"Tenaga pendampingan pembelajaran mata Pelajaran Penjasorkes")</f>
        <v>Tenaga pendampingan pembelajaran mata Pelajaran Penjasorkes</v>
      </c>
      <c r="Q72" s="5" t="str">
        <f>IFERROR(__xludf.DUMMYFUNCTION("""COMPUTED_VALUE"""),"Kabupaten Jepara, Jawa Tengah")</f>
        <v>Kabupaten Jepara, Jawa Tengah</v>
      </c>
      <c r="R72" s="11" t="str">
        <f>IFERROR(__xludf.DUMMYFUNCTION("""COMPUTED_VALUE"""),"https://drive.google.com/drive/folders/18vwhzoAAIqFRo5rULGhDu-kLtx3XV-QY")</f>
        <v>https://drive.google.com/drive/folders/18vwhzoAAIqFRo5rULGhDu-kLtx3XV-QY</v>
      </c>
      <c r="S72" s="11" t="str">
        <f>IFERROR(__xludf.DUMMYFUNCTION("""COMPUTED_VALUE"""),"https://drive.google.com/file/d/1fI_gpiFidC35PhUgS4AL5664hKzkHvrn/view?usp=drivesdk")</f>
        <v>https://drive.google.com/file/d/1fI_gpiFidC35PhUgS4AL5664hKzkHvrn/view?usp=drivesdk</v>
      </c>
      <c r="T72" s="5" t="str">
        <f>IFERROR(__xludf.DUMMYFUNCTION("""COMPUTED_VALUE"""),"Alumni PPG Calon Guru / Prajabatan FKIP UNS")</f>
        <v>Alumni PPG Calon Guru / Prajabatan FKIP UNS</v>
      </c>
      <c r="U72" s="5" t="str">
        <f>IFERROR(__xludf.DUMMYFUNCTION("""COMPUTED_VALUE"""),"x942408143")</f>
        <v>x942408143</v>
      </c>
      <c r="V72" s="5" t="str">
        <f>IFERROR(__xludf.DUMMYFUNCTION("""COMPUTED_VALUE"""),"1905112400")</f>
        <v>1905112400</v>
      </c>
      <c r="W72" s="5" t="str">
        <f>IFERROR(__xludf.DUMMYFUNCTION("""COMPUTED_VALUE"""),"pendidikan jasmani keshatan dan rekreasi")</f>
        <v>pendidikan jasmani keshatan dan rekreasi</v>
      </c>
      <c r="X72" s="5" t="str">
        <f>IFERROR(__xludf.DUMMYFUNCTION("""COMPUTED_VALUE"""),"UNIVERSITAS SEBELAS MARET")</f>
        <v>UNIVERSITAS SEBELAS MARET</v>
      </c>
      <c r="Y72" s="5" t="str">
        <f>IFERROR(__xludf.DUMMYFUNCTION("""COMPUTED_VALUE"""),"X942408143")</f>
        <v>X942408143</v>
      </c>
      <c r="Z72" s="5"/>
      <c r="AA72" s="5"/>
      <c r="AB72" s="5"/>
    </row>
    <row r="73" hidden="1">
      <c r="A73" s="4">
        <f>IFERROR(__xludf.DUMMYFUNCTION("""COMPUTED_VALUE"""),46232.957299131944)</f>
        <v>46232.9573</v>
      </c>
      <c r="B73" s="5" t="str">
        <f>IFERROR(__xludf.DUMMYFUNCTION("""COMPUTED_VALUE"""),"ppg.mochamadmisbakhudin58@program.belajar.id")</f>
        <v>ppg.mochamadmisbakhudin58@program.belajar.id</v>
      </c>
      <c r="C73" s="5" t="str">
        <f>IFERROR(__xludf.DUMMYFUNCTION("""COMPUTED_VALUE"""),"MOCHAMAD MISBAKHUDIN, S.Pd.")</f>
        <v>MOCHAMAD MISBAKHUDIN, S.Pd.</v>
      </c>
      <c r="D73" s="5">
        <f>IFERROR(__xludf.DUMMYFUNCTION("""COMPUTED_VALUE"""),2.023000958E11)</f>
        <v>202300095800</v>
      </c>
      <c r="E73" s="5" t="str">
        <f>IFERROR(__xludf.DUMMYFUNCTION("""COMPUTED_VALUE"""),"0895635413104")</f>
        <v>0895635413104</v>
      </c>
      <c r="F73" s="7">
        <f>IFERROR(__xludf.DUMMYFUNCTION("""COMPUTED_VALUE"""),34740.0)</f>
        <v>34740</v>
      </c>
      <c r="G73" s="5" t="str">
        <f>IFERROR(__xludf.DUMMYFUNCTION("""COMPUTED_VALUE"""),"TADRIS MATEMATIKA")</f>
        <v>TADRIS MATEMATIKA</v>
      </c>
      <c r="H73" s="5" t="str">
        <f>IFERROR(__xludf.DUMMYFUNCTION("""COMPUTED_VALUE"""),"INSTITUT AGAMA ISLAM NEGERI TULUNGAGUNG")</f>
        <v>INSTITUT AGAMA ISLAM NEGERI TULUNGAGUNG</v>
      </c>
      <c r="I73" s="5" t="str">
        <f>IFERROR(__xludf.DUMMYFUNCTION("""COMPUTED_VALUE"""),"Matematika")</f>
        <v>Matematika</v>
      </c>
      <c r="J73" s="5" t="str">
        <f>IFERROR(__xludf.DUMMYFUNCTION("""COMPUTED_VALUE"""),"PPG Prajabatan Gelombang 2 Tahun 2023")</f>
        <v>PPG Prajabatan Gelombang 2 Tahun 2023</v>
      </c>
      <c r="K73" s="5">
        <f>IFERROR(__xludf.DUMMYFUNCTION("""COMPUTED_VALUE"""),2024.0)</f>
        <v>2024</v>
      </c>
      <c r="L73" s="8" t="str">
        <f>IFERROR(__xludf.DUMMYFUNCTION("""COMPUTED_VALUE"""),"3.44")</f>
        <v>3.44</v>
      </c>
      <c r="M73" s="5" t="str">
        <f>IFERROR(__xludf.DUMMYFUNCTION("""COMPUTED_VALUE"""),"-")</f>
        <v>-</v>
      </c>
      <c r="N73" s="5" t="str">
        <f>IFERROR(__xludf.DUMMYFUNCTION("""COMPUTED_VALUE"""),"KABUPATEN KEDIRI, JAWA TIMUR")</f>
        <v>KABUPATEN KEDIRI, JAWA TIMUR</v>
      </c>
      <c r="O73" s="5" t="str">
        <f>IFERROR(__xludf.DUMMYFUNCTION("""COMPUTED_VALUE"""),"Tidak")</f>
        <v>Tidak</v>
      </c>
      <c r="P73" s="5" t="str">
        <f>IFERROR(__xludf.DUMMYFUNCTION("""COMPUTED_VALUE"""),"Tenaga pendampingan pembelajaran mata pelajaran TIK")</f>
        <v>Tenaga pendampingan pembelajaran mata pelajaran TIK</v>
      </c>
      <c r="Q73" s="5" t="str">
        <f>IFERROR(__xludf.DUMMYFUNCTION("""COMPUTED_VALUE"""),"Kabupaten Jepara, Jawa Tengah")</f>
        <v>Kabupaten Jepara, Jawa Tengah</v>
      </c>
      <c r="R73" s="5" t="str">
        <f>IFERROR(__xludf.DUMMYFUNCTION("""COMPUTED_VALUE"""),"-")</f>
        <v>-</v>
      </c>
      <c r="S73" s="11" t="str">
        <f>IFERROR(__xludf.DUMMYFUNCTION("""COMPUTED_VALUE"""),"https://drive.google.com/drive/folders/1ltUU36tlXxgfeMDDdoLQOBEN6rzRAnT4")</f>
        <v>https://drive.google.com/drive/folders/1ltUU36tlXxgfeMDDdoLQOBEN6rzRAnT4</v>
      </c>
      <c r="T73" s="5" t="str">
        <f>IFERROR(__xludf.DUMMYFUNCTION("""COMPUTED_VALUE"""),"Lainnya")</f>
        <v>Lainnya</v>
      </c>
      <c r="U73" s="5"/>
      <c r="V73" s="5"/>
      <c r="W73" s="5"/>
      <c r="X73" s="5"/>
      <c r="Y73" s="5"/>
      <c r="Z73" s="5"/>
      <c r="AA73" s="5"/>
      <c r="AB73" s="5"/>
    </row>
    <row r="74" hidden="1">
      <c r="A74" s="4">
        <f>IFERROR(__xludf.DUMMYFUNCTION("""COMPUTED_VALUE"""),46232.95736260417)</f>
        <v>46232.95736</v>
      </c>
      <c r="B74" s="5" t="str">
        <f>IFERROR(__xludf.DUMMYFUNCTION("""COMPUTED_VALUE"""),"marsyandaalfina@gmail.com")</f>
        <v>marsyandaalfina@gmail.com</v>
      </c>
      <c r="C74" s="5" t="str">
        <f>IFERROR(__xludf.DUMMYFUNCTION("""COMPUTED_VALUE"""),"Marsyanda Alfina Choirunnisa', S.Pd")</f>
        <v>Marsyanda Alfina Choirunnisa', S.Pd</v>
      </c>
      <c r="D74" s="5">
        <f>IFERROR(__xludf.DUMMYFUNCTION("""COMPUTED_VALUE"""),7.000266904E9)</f>
        <v>7000266904</v>
      </c>
      <c r="E74" s="5" t="str">
        <f>IFERROR(__xludf.DUMMYFUNCTION("""COMPUTED_VALUE"""),"082333047987")</f>
        <v>082333047987</v>
      </c>
      <c r="F74" s="7">
        <f>IFERROR(__xludf.DUMMYFUNCTION("""COMPUTED_VALUE"""),37043.0)</f>
        <v>37043</v>
      </c>
      <c r="G74" s="5" t="str">
        <f>IFERROR(__xludf.DUMMYFUNCTION("""COMPUTED_VALUE"""),"S1 Pendidikan Sains")</f>
        <v>S1 Pendidikan Sains</v>
      </c>
      <c r="H74" s="5" t="str">
        <f>IFERROR(__xludf.DUMMYFUNCTION("""COMPUTED_VALUE"""),"Universitas Negeri Surabaya")</f>
        <v>Universitas Negeri Surabaya</v>
      </c>
      <c r="I74" s="5" t="str">
        <f>IFERROR(__xludf.DUMMYFUNCTION("""COMPUTED_VALUE"""),"Ilmu Pengetahuan Alam (IPA)")</f>
        <v>Ilmu Pengetahuan Alam (IPA)</v>
      </c>
      <c r="J74" s="5" t="str">
        <f>IFERROR(__xludf.DUMMYFUNCTION("""COMPUTED_VALUE"""),"PPG Calon Guru Gelombang 2 Tahun 2024")</f>
        <v>PPG Calon Guru Gelombang 2 Tahun 2024</v>
      </c>
      <c r="K74" s="5">
        <f>IFERROR(__xludf.DUMMYFUNCTION("""COMPUTED_VALUE"""),2025.0)</f>
        <v>2025</v>
      </c>
      <c r="L74" s="8" t="str">
        <f>IFERROR(__xludf.DUMMYFUNCTION("""COMPUTED_VALUE"""),"3.82")</f>
        <v>3.82</v>
      </c>
      <c r="M74" s="5" t="str">
        <f>IFERROR(__xludf.DUMMYFUNCTION("""COMPUTED_VALUE"""),"3.97")</f>
        <v>3.97</v>
      </c>
      <c r="N74" s="5" t="str">
        <f>IFERROR(__xludf.DUMMYFUNCTION("""COMPUTED_VALUE"""),"Kabupaten Kediri")</f>
        <v>Kabupaten Kediri</v>
      </c>
      <c r="O74" s="5" t="str">
        <f>IFERROR(__xludf.DUMMYFUNCTION("""COMPUTED_VALUE"""),"Tidak")</f>
        <v>Tidak</v>
      </c>
      <c r="P74" s="5" t="str">
        <f>IFERROR(__xludf.DUMMYFUNCTION("""COMPUTED_VALUE"""),"Tenaga pendampingan pembelajaran mata Pelajaran Ilmu Pengetahuan Alam (IPA) untuk mengajar mata pelajaran Biologi, Kimia, Fisika")</f>
        <v>Tenaga pendampingan pembelajaran mata Pelajaran Ilmu Pengetahuan Alam (IPA) untuk mengajar mata pelajaran Biologi, Kimia, Fisika</v>
      </c>
      <c r="Q74" s="5" t="str">
        <f>IFERROR(__xludf.DUMMYFUNCTION("""COMPUTED_VALUE"""),"Kabupaten Jepara, Jawa Tengah")</f>
        <v>Kabupaten Jepara, Jawa Tengah</v>
      </c>
      <c r="R74" s="11" t="str">
        <f>IFERROR(__xludf.DUMMYFUNCTION("""COMPUTED_VALUE"""),"https://drive.google.com/file/d/1mWsPvV-wLUvQFuPoZ0oy-IU7zRHdrqM2/view?usp=drivesdk")</f>
        <v>https://drive.google.com/file/d/1mWsPvV-wLUvQFuPoZ0oy-IU7zRHdrqM2/view?usp=drivesdk</v>
      </c>
      <c r="S74" s="11" t="str">
        <f>IFERROR(__xludf.DUMMYFUNCTION("""COMPUTED_VALUE"""),"https://drive.google.com/file/d/1q-2IZ9iExO_p1ito2WG__QJ0JhY5ERou/view?usp=drivesdk")</f>
        <v>https://drive.google.com/file/d/1q-2IZ9iExO_p1ito2WG__QJ0JhY5ERou/view?usp=drivesdk</v>
      </c>
      <c r="T74" s="5" t="str">
        <f>IFERROR(__xludf.DUMMYFUNCTION("""COMPUTED_VALUE"""),"Lainnya")</f>
        <v>Lainnya</v>
      </c>
      <c r="U74" s="5"/>
      <c r="V74" s="5"/>
      <c r="W74" s="5"/>
      <c r="X74" s="5"/>
      <c r="Y74" s="5"/>
      <c r="Z74" s="5"/>
      <c r="AA74" s="5"/>
      <c r="AB74" s="5"/>
    </row>
    <row r="75" hidden="1">
      <c r="A75" s="4">
        <f>IFERROR(__xludf.DUMMYFUNCTION("""COMPUTED_VALUE"""),46232.95830179398)</f>
        <v>46232.9583</v>
      </c>
      <c r="B75" s="5" t="str">
        <f>IFERROR(__xludf.DUMMYFUNCTION("""COMPUTED_VALUE"""),"silmikrn@gmail.com")</f>
        <v>silmikrn@gmail.com</v>
      </c>
      <c r="C75" s="5" t="str">
        <f>IFERROR(__xludf.DUMMYFUNCTION("""COMPUTED_VALUE"""),"SILMI KURNIA SA'ADAH, S.Pd.")</f>
        <v>SILMI KURNIA SA'ADAH, S.Pd.</v>
      </c>
      <c r="D75" s="5">
        <f>IFERROR(__xludf.DUMMYFUNCTION("""COMPUTED_VALUE"""),7.000028992E9)</f>
        <v>7000028992</v>
      </c>
      <c r="E75" s="5" t="str">
        <f>IFERROR(__xludf.DUMMYFUNCTION("""COMPUTED_VALUE"""),"087880657411")</f>
        <v>087880657411</v>
      </c>
      <c r="F75" s="7">
        <f>IFERROR(__xludf.DUMMYFUNCTION("""COMPUTED_VALUE"""),35886.0)</f>
        <v>35886</v>
      </c>
      <c r="G75" s="5" t="str">
        <f>IFERROR(__xludf.DUMMYFUNCTION("""COMPUTED_VALUE"""),"PENDIDIKAN IPA")</f>
        <v>PENDIDIKAN IPA</v>
      </c>
      <c r="H75" s="5" t="str">
        <f>IFERROR(__xludf.DUMMYFUNCTION("""COMPUTED_VALUE"""),"UNIVERSITAS NEGERI SEMARANG")</f>
        <v>UNIVERSITAS NEGERI SEMARANG</v>
      </c>
      <c r="I75" s="5" t="str">
        <f>IFERROR(__xludf.DUMMYFUNCTION("""COMPUTED_VALUE"""),"Ilmu Pengetahuan Alam (IPA)")</f>
        <v>Ilmu Pengetahuan Alam (IPA)</v>
      </c>
      <c r="J75" s="5" t="str">
        <f>IFERROR(__xludf.DUMMYFUNCTION("""COMPUTED_VALUE"""),"PPG Prajabatan Gelombang 1 Tahun 2022")</f>
        <v>PPG Prajabatan Gelombang 1 Tahun 2022</v>
      </c>
      <c r="K75" s="5">
        <f>IFERROR(__xludf.DUMMYFUNCTION("""COMPUTED_VALUE"""),2023.0)</f>
        <v>2023</v>
      </c>
      <c r="L75" s="8" t="str">
        <f>IFERROR(__xludf.DUMMYFUNCTION("""COMPUTED_VALUE"""),"3.45")</f>
        <v>3.45</v>
      </c>
      <c r="M75" s="5" t="str">
        <f>IFERROR(__xludf.DUMMYFUNCTION("""COMPUTED_VALUE"""),"3.97")</f>
        <v>3.97</v>
      </c>
      <c r="N75" s="5" t="str">
        <f>IFERROR(__xludf.DUMMYFUNCTION("""COMPUTED_VALUE"""),"Kabupaten Magelang, Jawa Tengah")</f>
        <v>Kabupaten Magelang, Jawa Tengah</v>
      </c>
      <c r="O75" s="5" t="str">
        <f>IFERROR(__xludf.DUMMYFUNCTION("""COMPUTED_VALUE"""),"Tidak")</f>
        <v>Tidak</v>
      </c>
      <c r="P75" s="5" t="str">
        <f>IFERROR(__xludf.DUMMYFUNCTION("""COMPUTED_VALUE"""),"Tenaga pendampingan pembelajaran mata Pelajaran Ilmu Pengetahuan Alam (IPA) untuk mengajar mata pelajaran Biologi, Kimia, Fisika")</f>
        <v>Tenaga pendampingan pembelajaran mata Pelajaran Ilmu Pengetahuan Alam (IPA) untuk mengajar mata pelajaran Biologi, Kimia, Fisika</v>
      </c>
      <c r="Q75" s="5" t="str">
        <f>IFERROR(__xludf.DUMMYFUNCTION("""COMPUTED_VALUE"""),"Kabupaten Jepara, Jawa Tengah")</f>
        <v>Kabupaten Jepara, Jawa Tengah</v>
      </c>
      <c r="R75" s="11" t="str">
        <f>IFERROR(__xludf.DUMMYFUNCTION("""COMPUTED_VALUE"""),"https://drive.google.com/file/d/1Cp2XvZpha_BsmVKXrwzzbt50zrXWFIgd/view?usp=sharing")</f>
        <v>https://drive.google.com/file/d/1Cp2XvZpha_BsmVKXrwzzbt50zrXWFIgd/view?usp=sharing</v>
      </c>
      <c r="S75" s="11" t="str">
        <f>IFERROR(__xludf.DUMMYFUNCTION("""COMPUTED_VALUE"""),"https://drive.google.com/drive/folders/1ow4-6NaDSh-0U4S7plIc-icO8HYC61WV?usp=sharing")</f>
        <v>https://drive.google.com/drive/folders/1ow4-6NaDSh-0U4S7plIc-icO8HYC61WV?usp=sharing</v>
      </c>
      <c r="T75" s="5" t="str">
        <f>IFERROR(__xludf.DUMMYFUNCTION("""COMPUTED_VALUE"""),"Alumni PPG Calon Guru / Prajabatan FKIP UNS")</f>
        <v>Alumni PPG Calon Guru / Prajabatan FKIP UNS</v>
      </c>
      <c r="U75" s="5" t="str">
        <f>IFERROR(__xludf.DUMMYFUNCTION("""COMPUTED_VALUE"""),"X9022082692")</f>
        <v>X9022082692</v>
      </c>
      <c r="V75" s="5" t="str">
        <f>IFERROR(__xludf.DUMMYFUNCTION("""COMPUTED_VALUE"""),"4001416025")</f>
        <v>4001416025</v>
      </c>
      <c r="W75" s="5" t="str">
        <f>IFERROR(__xludf.DUMMYFUNCTION("""COMPUTED_VALUE"""),"PENDIDIKAN IPA")</f>
        <v>PENDIDIKAN IPA</v>
      </c>
      <c r="X75" s="5" t="str">
        <f>IFERROR(__xludf.DUMMYFUNCTION("""COMPUTED_VALUE"""),"UNIVERSITAS SEBELAS MARET")</f>
        <v>UNIVERSITAS SEBELAS MARET</v>
      </c>
      <c r="Y75" s="5" t="str">
        <f>IFERROR(__xludf.DUMMYFUNCTION("""COMPUTED_VALUE"""),"X9022082692")</f>
        <v>X9022082692</v>
      </c>
      <c r="Z75" s="5"/>
      <c r="AA75" s="5"/>
      <c r="AB75" s="5"/>
    </row>
    <row r="76" hidden="1">
      <c r="A76" s="4">
        <f>IFERROR(__xludf.DUMMYFUNCTION("""COMPUTED_VALUE"""),46233.89457553241)</f>
        <v>46233.89458</v>
      </c>
      <c r="B76" s="5" t="str">
        <f>IFERROR(__xludf.DUMMYFUNCTION("""COMPUTED_VALUE"""),"hwinggar@gmail.com")</f>
        <v>hwinggar@gmail.com</v>
      </c>
      <c r="C76" s="5" t="str">
        <f>IFERROR(__xludf.DUMMYFUNCTION("""COMPUTED_VALUE"""),"Winggar H, S.Pd., Gr.")</f>
        <v>Winggar H, S.Pd., Gr.</v>
      </c>
      <c r="D76" s="5">
        <f>IFERROR(__xludf.DUMMYFUNCTION("""COMPUTED_VALUE"""),7.000326329E9)</f>
        <v>7000326329</v>
      </c>
      <c r="E76" s="5" t="str">
        <f>IFERROR(__xludf.DUMMYFUNCTION("""COMPUTED_VALUE"""),"085343887057")</f>
        <v>085343887057</v>
      </c>
      <c r="F76" s="7">
        <f>IFERROR(__xludf.DUMMYFUNCTION("""COMPUTED_VALUE"""),36607.0)</f>
        <v>36607</v>
      </c>
      <c r="G76" s="5" t="str">
        <f>IFERROR(__xludf.DUMMYFUNCTION("""COMPUTED_VALUE"""),"PENDIDIKAN JASMANI KESEHATAN DAN REKREASI ")</f>
        <v>PENDIDIKAN JASMANI KESEHATAN DAN REKREASI </v>
      </c>
      <c r="H76" s="5" t="str">
        <f>IFERROR(__xludf.DUMMYFUNCTION("""COMPUTED_VALUE"""),"Universitas Negeri Makassar ")</f>
        <v>Universitas Negeri Makassar </v>
      </c>
      <c r="I76" s="5" t="str">
        <f>IFERROR(__xludf.DUMMYFUNCTION("""COMPUTED_VALUE"""),"Pendidikan Jasmani, Olahraga, dan Kesehatan (PJOK)")</f>
        <v>Pendidikan Jasmani, Olahraga, dan Kesehatan (PJOK)</v>
      </c>
      <c r="J76" s="5" t="str">
        <f>IFERROR(__xludf.DUMMYFUNCTION("""COMPUTED_VALUE"""),"PPG Calon Guru Gelombang 2 Tahun 2024")</f>
        <v>PPG Calon Guru Gelombang 2 Tahun 2024</v>
      </c>
      <c r="K76" s="5">
        <f>IFERROR(__xludf.DUMMYFUNCTION("""COMPUTED_VALUE"""),2025.0)</f>
        <v>2025</v>
      </c>
      <c r="L76" s="8" t="str">
        <f>IFERROR(__xludf.DUMMYFUNCTION("""COMPUTED_VALUE"""),"3.53")</f>
        <v>3.53</v>
      </c>
      <c r="M76" s="5" t="str">
        <f>IFERROR(__xludf.DUMMYFUNCTION("""COMPUTED_VALUE"""),"4.00")</f>
        <v>4.00</v>
      </c>
      <c r="N76" s="5" t="str">
        <f>IFERROR(__xludf.DUMMYFUNCTION("""COMPUTED_VALUE"""),"Kabupaten Buton, Sulawesi Tenggara")</f>
        <v>Kabupaten Buton, Sulawesi Tenggara</v>
      </c>
      <c r="O76" s="5" t="str">
        <f>IFERROR(__xludf.DUMMYFUNCTION("""COMPUTED_VALUE"""),"Tidak")</f>
        <v>Tidak</v>
      </c>
      <c r="P76" s="5" t="str">
        <f>IFERROR(__xludf.DUMMYFUNCTION("""COMPUTED_VALUE"""),"Tenaga pendampingan pembelajaran mata Pelajaran Penjasorkes")</f>
        <v>Tenaga pendampingan pembelajaran mata Pelajaran Penjasorkes</v>
      </c>
      <c r="Q76" s="5" t="str">
        <f>IFERROR(__xludf.DUMMYFUNCTION("""COMPUTED_VALUE"""),"Kabupaten Buton Tengah, Sulawesi Tenggara")</f>
        <v>Kabupaten Buton Tengah, Sulawesi Tenggara</v>
      </c>
      <c r="R76" s="5" t="str">
        <f>IFERROR(__xludf.DUMMYFUNCTION("""COMPUTED_VALUE"""),"-")</f>
        <v>-</v>
      </c>
      <c r="S76" s="11" t="str">
        <f>IFERROR(__xludf.DUMMYFUNCTION("""COMPUTED_VALUE"""),"https://drive.google.com/file/d/1-BbTbD6dRGBlX3AWGJ92R7ATswHSzRJr/view?usp=drivesdk")</f>
        <v>https://drive.google.com/file/d/1-BbTbD6dRGBlX3AWGJ92R7ATswHSzRJr/view?usp=drivesdk</v>
      </c>
      <c r="T76" s="5" t="str">
        <f>IFERROR(__xludf.DUMMYFUNCTION("""COMPUTED_VALUE"""),"Alumni PPG Calon Guru / Prajabatan FKIP UHO")</f>
        <v>Alumni PPG Calon Guru / Prajabatan FKIP UHO</v>
      </c>
      <c r="U76" s="5"/>
      <c r="V76" s="5"/>
      <c r="W76" s="5"/>
      <c r="X76" s="5"/>
      <c r="Y76" s="5" t="str">
        <f>IFERROR(__xludf.DUMMYFUNCTION("""COMPUTED_VALUE"""),"A3S224355")</f>
        <v>A3S224355</v>
      </c>
      <c r="Z76" s="5"/>
      <c r="AA76" s="5"/>
      <c r="AB76" s="5"/>
    </row>
    <row r="77" hidden="1">
      <c r="A77" s="4">
        <f>IFERROR(__xludf.DUMMYFUNCTION("""COMPUTED_VALUE"""),46232.98586386574)</f>
        <v>46232.98586</v>
      </c>
      <c r="B77" s="5" t="str">
        <f>IFERROR(__xludf.DUMMYFUNCTION("""COMPUTED_VALUE"""),"mukhlisanggraini34@guru.sd.belajar.id")</f>
        <v>mukhlisanggraini34@guru.sd.belajar.id</v>
      </c>
      <c r="C77" s="5" t="str">
        <f>IFERROR(__xludf.DUMMYFUNCTION("""COMPUTED_VALUE"""),"Mukhlis Siska Nur Anggraini, S. Pd")</f>
        <v>Mukhlis Siska Nur Anggraini, S. Pd</v>
      </c>
      <c r="D77" s="5"/>
      <c r="E77" s="5" t="str">
        <f>IFERROR(__xludf.DUMMYFUNCTION("""COMPUTED_VALUE"""),"085642225680")</f>
        <v>085642225680</v>
      </c>
      <c r="F77" s="7">
        <f>IFERROR(__xludf.DUMMYFUNCTION("""COMPUTED_VALUE"""),30409.0)</f>
        <v>30409</v>
      </c>
      <c r="G77" s="5" t="str">
        <f>IFERROR(__xludf.DUMMYFUNCTION("""COMPUTED_VALUE"""),"S1 PGSD")</f>
        <v>S1 PGSD</v>
      </c>
      <c r="H77" s="5" t="str">
        <f>IFERROR(__xludf.DUMMYFUNCTION("""COMPUTED_VALUE"""),"Universitas Terbuka")</f>
        <v>Universitas Terbuka</v>
      </c>
      <c r="I77" s="5" t="str">
        <f>IFERROR(__xludf.DUMMYFUNCTION("""COMPUTED_VALUE"""),"Pendidikan Guru Sekolah Dasar (PGSD)")</f>
        <v>Pendidikan Guru Sekolah Dasar (PGSD)</v>
      </c>
      <c r="J77" s="5" t="str">
        <f>IFERROR(__xludf.DUMMYFUNCTION("""COMPUTED_VALUE"""),"PPG Prajabatan Gelombang 1 Tahun 2022")</f>
        <v>PPG Prajabatan Gelombang 1 Tahun 2022</v>
      </c>
      <c r="K77" s="5">
        <f>IFERROR(__xludf.DUMMYFUNCTION("""COMPUTED_VALUE"""),2023.0)</f>
        <v>2023</v>
      </c>
      <c r="L77" s="8" t="str">
        <f>IFERROR(__xludf.DUMMYFUNCTION("""COMPUTED_VALUE"""),"2,75")</f>
        <v>2,75</v>
      </c>
      <c r="M77" s="5" t="str">
        <f>IFERROR(__xludf.DUMMYFUNCTION("""COMPUTED_VALUE"""),"3")</f>
        <v>3</v>
      </c>
      <c r="N77" s="5" t="str">
        <f>IFERROR(__xludf.DUMMYFUNCTION("""COMPUTED_VALUE"""),"Sukoharjo Jawa Tengah")</f>
        <v>Sukoharjo Jawa Tengah</v>
      </c>
      <c r="O77" s="5" t="str">
        <f>IFERROR(__xludf.DUMMYFUNCTION("""COMPUTED_VALUE"""),"Ya")</f>
        <v>Ya</v>
      </c>
      <c r="P77" s="5" t="str">
        <f>IFERROR(__xludf.DUMMYFUNCTION("""COMPUTED_VALUE"""),"Tenaga pendampingan pembelajaran mata Pelajaran Matematika (umum)")</f>
        <v>Tenaga pendampingan pembelajaran mata Pelajaran Matematika (umum)</v>
      </c>
      <c r="Q77" s="5" t="str">
        <f>IFERROR(__xludf.DUMMYFUNCTION("""COMPUTED_VALUE"""),"Kabupaten Jepara, Jawa Tengah")</f>
        <v>Kabupaten Jepara, Jawa Tengah</v>
      </c>
      <c r="R77" s="5" t="str">
        <f>IFERROR(__xludf.DUMMYFUNCTION("""COMPUTED_VALUE"""),"-")</f>
        <v>-</v>
      </c>
      <c r="S77" s="5" t="str">
        <f>IFERROR(__xludf.DUMMYFUNCTION("""COMPUTED_VALUE"""),"-")</f>
        <v>-</v>
      </c>
      <c r="T77" s="5" t="str">
        <f>IFERROR(__xludf.DUMMYFUNCTION("""COMPUTED_VALUE"""),"Lainnya")</f>
        <v>Lainnya</v>
      </c>
      <c r="U77" s="5"/>
      <c r="V77" s="5"/>
      <c r="W77" s="5"/>
      <c r="X77" s="5"/>
      <c r="Y77" s="5"/>
      <c r="Z77" s="5"/>
      <c r="AA77" s="5"/>
      <c r="AB77" s="5"/>
    </row>
    <row r="78" hidden="1">
      <c r="A78" s="4">
        <f>IFERROR(__xludf.DUMMYFUNCTION("""COMPUTED_VALUE"""),46232.9880268287)</f>
        <v>46232.98803</v>
      </c>
      <c r="B78" s="5" t="str">
        <f>IFERROR(__xludf.DUMMYFUNCTION("""COMPUTED_VALUE"""),"dhiarrafiibintang@gmail.com")</f>
        <v>dhiarrafiibintang@gmail.com</v>
      </c>
      <c r="C78" s="5" t="str">
        <f>IFERROR(__xludf.DUMMYFUNCTION("""COMPUTED_VALUE"""),"Dhiarrafii Bintang Matahari, M.Pd., Gr.")</f>
        <v>Dhiarrafii Bintang Matahari, M.Pd., Gr.</v>
      </c>
      <c r="D78" s="5">
        <f>IFERROR(__xludf.DUMMYFUNCTION("""COMPUTED_VALUE"""),7.000177065E9)</f>
        <v>7000177065</v>
      </c>
      <c r="E78" s="5" t="str">
        <f>IFERROR(__xludf.DUMMYFUNCTION("""COMPUTED_VALUE"""),"0895341077017")</f>
        <v>0895341077017</v>
      </c>
      <c r="F78" s="7">
        <f>IFERROR(__xludf.DUMMYFUNCTION("""COMPUTED_VALUE"""),36267.0)</f>
        <v>36267</v>
      </c>
      <c r="G78" s="5" t="str">
        <f>IFERROR(__xludf.DUMMYFUNCTION("""COMPUTED_VALUE"""),"Pendidikan Ilmu Pengetahuan Alam")</f>
        <v>Pendidikan Ilmu Pengetahuan Alam</v>
      </c>
      <c r="H78" s="5" t="str">
        <f>IFERROR(__xludf.DUMMYFUNCTION("""COMPUTED_VALUE"""),"Universitas Negeri Yogyakarta")</f>
        <v>Universitas Negeri Yogyakarta</v>
      </c>
      <c r="I78" s="5" t="str">
        <f>IFERROR(__xludf.DUMMYFUNCTION("""COMPUTED_VALUE"""),"Ilmu Pengetahuan Alam (IPA)")</f>
        <v>Ilmu Pengetahuan Alam (IPA)</v>
      </c>
      <c r="J78" s="5" t="str">
        <f>IFERROR(__xludf.DUMMYFUNCTION("""COMPUTED_VALUE"""),"PPG Prajabatan Gelombang 1 Tahun 2023")</f>
        <v>PPG Prajabatan Gelombang 1 Tahun 2023</v>
      </c>
      <c r="K78" s="5">
        <f>IFERROR(__xludf.DUMMYFUNCTION("""COMPUTED_VALUE"""),2024.0)</f>
        <v>2024</v>
      </c>
      <c r="L78" s="8" t="str">
        <f>IFERROR(__xludf.DUMMYFUNCTION("""COMPUTED_VALUE"""),"3.69")</f>
        <v>3.69</v>
      </c>
      <c r="M78" s="5" t="str">
        <f>IFERROR(__xludf.DUMMYFUNCTION("""COMPUTED_VALUE"""),"3.97")</f>
        <v>3.97</v>
      </c>
      <c r="N78" s="5" t="str">
        <f>IFERROR(__xludf.DUMMYFUNCTION("""COMPUTED_VALUE"""),"Kabupaten Sleman, Daerah Istimewa Yogyakarta")</f>
        <v>Kabupaten Sleman, Daerah Istimewa Yogyakarta</v>
      </c>
      <c r="O78" s="5" t="str">
        <f>IFERROR(__xludf.DUMMYFUNCTION("""COMPUTED_VALUE"""),"Tidak")</f>
        <v>Tidak</v>
      </c>
      <c r="P78" s="5" t="str">
        <f>IFERROR(__xludf.DUMMYFUNCTION("""COMPUTED_VALUE"""),"Tenaga pendampingan pembelajaran mata Pelajaran Ilmu Pengetahuan Alam (IPA) untuk mengajar mata pelajaran Biologi, Kimia, Fisika")</f>
        <v>Tenaga pendampingan pembelajaran mata Pelajaran Ilmu Pengetahuan Alam (IPA) untuk mengajar mata pelajaran Biologi, Kimia, Fisika</v>
      </c>
      <c r="Q78" s="5" t="str">
        <f>IFERROR(__xludf.DUMMYFUNCTION("""COMPUTED_VALUE"""),"Kabupaten Jepara, Jawa Tengah")</f>
        <v>Kabupaten Jepara, Jawa Tengah</v>
      </c>
      <c r="R78" s="11" t="str">
        <f>IFERROR(__xludf.DUMMYFUNCTION("""COMPUTED_VALUE"""),"https://drive.google.com/drive/folders/1ZqAJMDrwcjCIBwezainJPSq-Af5FR8ad?usp=sharing")</f>
        <v>https://drive.google.com/drive/folders/1ZqAJMDrwcjCIBwezainJPSq-Af5FR8ad?usp=sharing</v>
      </c>
      <c r="S78" s="11" t="str">
        <f>IFERROR(__xludf.DUMMYFUNCTION("""COMPUTED_VALUE"""),"https://drive.google.com/drive/folders/18yBJOjtpw6PsG4DRETVg2yP5SJnmcY39?usp=sharing")</f>
        <v>https://drive.google.com/drive/folders/18yBJOjtpw6PsG4DRETVg2yP5SJnmcY39?usp=sharing</v>
      </c>
      <c r="T78" s="5" t="str">
        <f>IFERROR(__xludf.DUMMYFUNCTION("""COMPUTED_VALUE"""),"Lainnya")</f>
        <v>Lainnya</v>
      </c>
      <c r="U78" s="5"/>
      <c r="V78" s="5"/>
      <c r="W78" s="5"/>
      <c r="X78" s="5"/>
      <c r="Y78" s="5"/>
      <c r="Z78" s="5"/>
      <c r="AA78" s="5"/>
      <c r="AB78" s="5"/>
    </row>
    <row r="79" hidden="1">
      <c r="A79" s="4">
        <f>IFERROR(__xludf.DUMMYFUNCTION("""COMPUTED_VALUE"""),46233.37905173611)</f>
        <v>46233.37905</v>
      </c>
      <c r="B79" s="5" t="str">
        <f>IFERROR(__xludf.DUMMYFUNCTION("""COMPUTED_VALUE"""),"puspaindah164@gmail.com")</f>
        <v>puspaindah164@gmail.com</v>
      </c>
      <c r="C79" s="5" t="str">
        <f>IFERROR(__xludf.DUMMYFUNCTION("""COMPUTED_VALUE"""),"Puspa Indah Sulistyaningrum ")</f>
        <v>Puspa Indah Sulistyaningrum </v>
      </c>
      <c r="D79" s="5">
        <f>IFERROR(__xludf.DUMMYFUNCTION("""COMPUTED_VALUE"""),7.000132328E9)</f>
        <v>7000132328</v>
      </c>
      <c r="E79" s="5" t="str">
        <f>IFERROR(__xludf.DUMMYFUNCTION("""COMPUTED_VALUE"""),"085648823789")</f>
        <v>085648823789</v>
      </c>
      <c r="F79" s="7">
        <f>IFERROR(__xludf.DUMMYFUNCTION("""COMPUTED_VALUE"""),36431.0)</f>
        <v>36431</v>
      </c>
      <c r="G79" s="5" t="str">
        <f>IFERROR(__xludf.DUMMYFUNCTION("""COMPUTED_VALUE"""),"Pendidikan Biologi")</f>
        <v>Pendidikan Biologi</v>
      </c>
      <c r="H79" s="5" t="str">
        <f>IFERROR(__xludf.DUMMYFUNCTION("""COMPUTED_VALUE"""),"Universitas PGRI Madiun")</f>
        <v>Universitas PGRI Madiun</v>
      </c>
      <c r="I79" s="5" t="str">
        <f>IFERROR(__xludf.DUMMYFUNCTION("""COMPUTED_VALUE"""),"Ilmu Pengetahuan Alam (IPA)")</f>
        <v>Ilmu Pengetahuan Alam (IPA)</v>
      </c>
      <c r="J79" s="5" t="str">
        <f>IFERROR(__xludf.DUMMYFUNCTION("""COMPUTED_VALUE"""),"PPG Prajabatan Gelombang 1 Tahun 2023")</f>
        <v>PPG Prajabatan Gelombang 1 Tahun 2023</v>
      </c>
      <c r="K79" s="5">
        <f>IFERROR(__xludf.DUMMYFUNCTION("""COMPUTED_VALUE"""),2024.0)</f>
        <v>2024</v>
      </c>
      <c r="L79" s="8" t="str">
        <f>IFERROR(__xludf.DUMMYFUNCTION("""COMPUTED_VALUE"""),"3.67")</f>
        <v>3.67</v>
      </c>
      <c r="M79" s="5" t="str">
        <f>IFERROR(__xludf.DUMMYFUNCTION("""COMPUTED_VALUE"""),"4.00")</f>
        <v>4.00</v>
      </c>
      <c r="N79" s="5" t="str">
        <f>IFERROR(__xludf.DUMMYFUNCTION("""COMPUTED_VALUE"""),"Madiun, Jawa Timur")</f>
        <v>Madiun, Jawa Timur</v>
      </c>
      <c r="O79" s="5" t="str">
        <f>IFERROR(__xludf.DUMMYFUNCTION("""COMPUTED_VALUE"""),"Tidak")</f>
        <v>Tidak</v>
      </c>
      <c r="P79" s="5" t="str">
        <f>IFERROR(__xludf.DUMMYFUNCTION("""COMPUTED_VALUE"""),"Tenaga pendampingan pembelajaran mata Pelajaran Ilmu Pengetahuan Alam (IPA) untuk mengajar mata pelajaran Biologi, Kimia, Fisika")</f>
        <v>Tenaga pendampingan pembelajaran mata Pelajaran Ilmu Pengetahuan Alam (IPA) untuk mengajar mata pelajaran Biologi, Kimia, Fisika</v>
      </c>
      <c r="Q79" s="5" t="str">
        <f>IFERROR(__xludf.DUMMYFUNCTION("""COMPUTED_VALUE"""),"Kabupaten Buton Tengah, Sulawesi Tenggara")</f>
        <v>Kabupaten Buton Tengah, Sulawesi Tenggara</v>
      </c>
      <c r="R79" s="5" t="str">
        <f>IFERROR(__xludf.DUMMYFUNCTION("""COMPUTED_VALUE"""),"-")</f>
        <v>-</v>
      </c>
      <c r="S79" s="11" t="str">
        <f>IFERROR(__xludf.DUMMYFUNCTION("""COMPUTED_VALUE"""),"https://drive.google.com/drive/folders/1-40u8UNH_SNeIkwr8FZ6hdjDyNuH11WZ")</f>
        <v>https://drive.google.com/drive/folders/1-40u8UNH_SNeIkwr8FZ6hdjDyNuH11WZ</v>
      </c>
      <c r="T79" s="5" t="str">
        <f>IFERROR(__xludf.DUMMYFUNCTION("""COMPUTED_VALUE"""),"Lainnya")</f>
        <v>Lainnya</v>
      </c>
      <c r="U79" s="5"/>
      <c r="V79" s="5"/>
      <c r="W79" s="5"/>
      <c r="X79" s="5"/>
      <c r="Y79" s="5"/>
      <c r="Z79" s="5"/>
      <c r="AA79" s="5"/>
      <c r="AB79" s="5"/>
    </row>
    <row r="80" hidden="1">
      <c r="A80" s="4">
        <f>IFERROR(__xludf.DUMMYFUNCTION("""COMPUTED_VALUE"""),46233.38030556713)</f>
        <v>46233.38031</v>
      </c>
      <c r="B80" s="5" t="str">
        <f>IFERROR(__xludf.DUMMYFUNCTION("""COMPUTED_VALUE"""),"devianti098@gmail.com")</f>
        <v>devianti098@gmail.com</v>
      </c>
      <c r="C80" s="5" t="str">
        <f>IFERROR(__xludf.DUMMYFUNCTION("""COMPUTED_VALUE"""),"Devianti S. Pd., Gr")</f>
        <v>Devianti S. Pd., Gr</v>
      </c>
      <c r="D80" s="5">
        <f>IFERROR(__xludf.DUMMYFUNCTION("""COMPUTED_VALUE"""),7.000283882E9)</f>
        <v>7000283882</v>
      </c>
      <c r="E80" s="5" t="str">
        <f>IFERROR(__xludf.DUMMYFUNCTION("""COMPUTED_VALUE"""),"082271337970")</f>
        <v>082271337970</v>
      </c>
      <c r="F80" s="7">
        <f>IFERROR(__xludf.DUMMYFUNCTION("""COMPUTED_VALUE"""),36734.0)</f>
        <v>36734</v>
      </c>
      <c r="G80" s="5" t="str">
        <f>IFERROR(__xludf.DUMMYFUNCTION("""COMPUTED_VALUE"""),"Matematika")</f>
        <v>Matematika</v>
      </c>
      <c r="H80" s="5" t="str">
        <f>IFERROR(__xludf.DUMMYFUNCTION("""COMPUTED_VALUE"""),"Universitas Halu Oleo")</f>
        <v>Universitas Halu Oleo</v>
      </c>
      <c r="I80" s="5" t="str">
        <f>IFERROR(__xludf.DUMMYFUNCTION("""COMPUTED_VALUE"""),"Matematika")</f>
        <v>Matematika</v>
      </c>
      <c r="J80" s="5" t="str">
        <f>IFERROR(__xludf.DUMMYFUNCTION("""COMPUTED_VALUE"""),"PPG Calon Guru Gelombang 2 Tahun 2024")</f>
        <v>PPG Calon Guru Gelombang 2 Tahun 2024</v>
      </c>
      <c r="K80" s="5">
        <f>IFERROR(__xludf.DUMMYFUNCTION("""COMPUTED_VALUE"""),2025.0)</f>
        <v>2025</v>
      </c>
      <c r="L80" s="8" t="str">
        <f>IFERROR(__xludf.DUMMYFUNCTION("""COMPUTED_VALUE"""),"3.16")</f>
        <v>3.16</v>
      </c>
      <c r="M80" s="5" t="str">
        <f>IFERROR(__xludf.DUMMYFUNCTION("""COMPUTED_VALUE"""),"4.00")</f>
        <v>4.00</v>
      </c>
      <c r="N80" s="5" t="str">
        <f>IFERROR(__xludf.DUMMYFUNCTION("""COMPUTED_VALUE"""),"Desa Labone, Kec. Lasalepa, Kab. Muna, Sulawesi Tenggara")</f>
        <v>Desa Labone, Kec. Lasalepa, Kab. Muna, Sulawesi Tenggara</v>
      </c>
      <c r="O80" s="5" t="str">
        <f>IFERROR(__xludf.DUMMYFUNCTION("""COMPUTED_VALUE"""),"Tidak")</f>
        <v>Tidak</v>
      </c>
      <c r="P80" s="5" t="str">
        <f>IFERROR(__xludf.DUMMYFUNCTION("""COMPUTED_VALUE"""),"Tenaga pendampingan pembelajaran mata Pelajaran Matematika (umum)")</f>
        <v>Tenaga pendampingan pembelajaran mata Pelajaran Matematika (umum)</v>
      </c>
      <c r="Q80" s="5" t="str">
        <f>IFERROR(__xludf.DUMMYFUNCTION("""COMPUTED_VALUE"""),"Kabupaten Buton Tengah, Sulawesi Tenggara")</f>
        <v>Kabupaten Buton Tengah, Sulawesi Tenggara</v>
      </c>
      <c r="R80" s="5" t="str">
        <f>IFERROR(__xludf.DUMMYFUNCTION("""COMPUTED_VALUE"""),"Tidak ada")</f>
        <v>Tidak ada</v>
      </c>
      <c r="S80" s="11" t="str">
        <f>IFERROR(__xludf.DUMMYFUNCTION("""COMPUTED_VALUE"""),"https://drive.google.com/file/d/1xC1-O8NQibAtMRCBDo8VBwZEXn2Edt3L/view?usp=drivesdk")</f>
        <v>https://drive.google.com/file/d/1xC1-O8NQibAtMRCBDo8VBwZEXn2Edt3L/view?usp=drivesdk</v>
      </c>
      <c r="T80" s="5" t="str">
        <f>IFERROR(__xludf.DUMMYFUNCTION("""COMPUTED_VALUE"""),"Alumni PPG Calon Guru / Prajabatan FKIP UHO")</f>
        <v>Alumni PPG Calon Guru / Prajabatan FKIP UHO</v>
      </c>
      <c r="U80" s="5"/>
      <c r="V80" s="5"/>
      <c r="W80" s="5"/>
      <c r="X80" s="5"/>
      <c r="Y80" s="5" t="str">
        <f>IFERROR(__xludf.DUMMYFUNCTION("""COMPUTED_VALUE"""),"A3S224248")</f>
        <v>A3S224248</v>
      </c>
      <c r="Z80" s="5"/>
      <c r="AA80" s="5"/>
      <c r="AB80" s="5"/>
    </row>
    <row r="81" hidden="1">
      <c r="A81" s="4">
        <f>IFERROR(__xludf.DUMMYFUNCTION("""COMPUTED_VALUE"""),46233.390442511576)</f>
        <v>46233.39044</v>
      </c>
      <c r="B81" s="5" t="str">
        <f>IFERROR(__xludf.DUMMYFUNCTION("""COMPUTED_VALUE"""),"ennymaharani010601@gmail.com")</f>
        <v>ennymaharani010601@gmail.com</v>
      </c>
      <c r="C81" s="5" t="str">
        <f>IFERROR(__xludf.DUMMYFUNCTION("""COMPUTED_VALUE"""),"Enny Maharani, S.Pd.,Gr")</f>
        <v>Enny Maharani, S.Pd.,Gr</v>
      </c>
      <c r="D81" s="5">
        <f>IFERROR(__xludf.DUMMYFUNCTION("""COMPUTED_VALUE"""),7.000138201E9)</f>
        <v>7000138201</v>
      </c>
      <c r="E81" s="5" t="str">
        <f>IFERROR(__xludf.DUMMYFUNCTION("""COMPUTED_VALUE"""),"082291582572")</f>
        <v>082291582572</v>
      </c>
      <c r="F81" s="7">
        <f>IFERROR(__xludf.DUMMYFUNCTION("""COMPUTED_VALUE"""),37043.0)</f>
        <v>37043</v>
      </c>
      <c r="G81" s="5" t="str">
        <f>IFERROR(__xludf.DUMMYFUNCTION("""COMPUTED_VALUE"""),"Pendidikan Matematika")</f>
        <v>Pendidikan Matematika</v>
      </c>
      <c r="H81" s="5" t="str">
        <f>IFERROR(__xludf.DUMMYFUNCTION("""COMPUTED_VALUE"""),"Universitas Halu Oleo")</f>
        <v>Universitas Halu Oleo</v>
      </c>
      <c r="I81" s="5" t="str">
        <f>IFERROR(__xludf.DUMMYFUNCTION("""COMPUTED_VALUE"""),"Matematika")</f>
        <v>Matematika</v>
      </c>
      <c r="J81" s="5" t="str">
        <f>IFERROR(__xludf.DUMMYFUNCTION("""COMPUTED_VALUE"""),"PPG Calon Guru Gelombang 2 Tahun 2024")</f>
        <v>PPG Calon Guru Gelombang 2 Tahun 2024</v>
      </c>
      <c r="K81" s="5">
        <f>IFERROR(__xludf.DUMMYFUNCTION("""COMPUTED_VALUE"""),2025.0)</f>
        <v>2025</v>
      </c>
      <c r="L81" s="8" t="str">
        <f>IFERROR(__xludf.DUMMYFUNCTION("""COMPUTED_VALUE"""),"3.60")</f>
        <v>3.60</v>
      </c>
      <c r="M81" s="5" t="str">
        <f>IFERROR(__xludf.DUMMYFUNCTION("""COMPUTED_VALUE"""),"4.00")</f>
        <v>4.00</v>
      </c>
      <c r="N81" s="5" t="str">
        <f>IFERROR(__xludf.DUMMYFUNCTION("""COMPUTED_VALUE"""),"Kota Baubau, Sulawesi Tenggara")</f>
        <v>Kota Baubau, Sulawesi Tenggara</v>
      </c>
      <c r="O81" s="5" t="str">
        <f>IFERROR(__xludf.DUMMYFUNCTION("""COMPUTED_VALUE"""),"Tidak")</f>
        <v>Tidak</v>
      </c>
      <c r="P81" s="5" t="str">
        <f>IFERROR(__xludf.DUMMYFUNCTION("""COMPUTED_VALUE"""),"Tenaga pendampingan pembelajaran mata Pelajaran Matematika (umum)")</f>
        <v>Tenaga pendampingan pembelajaran mata Pelajaran Matematika (umum)</v>
      </c>
      <c r="Q81" s="5" t="str">
        <f>IFERROR(__xludf.DUMMYFUNCTION("""COMPUTED_VALUE"""),"Kabupaten Buton Tengah, Sulawesi Tenggara")</f>
        <v>Kabupaten Buton Tengah, Sulawesi Tenggara</v>
      </c>
      <c r="R81" s="5" t="str">
        <f>IFERROR(__xludf.DUMMYFUNCTION("""COMPUTED_VALUE"""),"-")</f>
        <v>-</v>
      </c>
      <c r="S81" s="11" t="str">
        <f>IFERROR(__xludf.DUMMYFUNCTION("""COMPUTED_VALUE"""),"https://drive.google.com/file/d/1YlN9LWOGX_duy7lpVzaDTpDDBGlh7HwO/view?usp=drivesdk")</f>
        <v>https://drive.google.com/file/d/1YlN9LWOGX_duy7lpVzaDTpDDBGlh7HwO/view?usp=drivesdk</v>
      </c>
      <c r="T81" s="5" t="str">
        <f>IFERROR(__xludf.DUMMYFUNCTION("""COMPUTED_VALUE"""),"Alumni PPG Calon Guru / Prajabatan FKIP UHO")</f>
        <v>Alumni PPG Calon Guru / Prajabatan FKIP UHO</v>
      </c>
      <c r="U81" s="5"/>
      <c r="V81" s="5"/>
      <c r="W81" s="5"/>
      <c r="X81" s="5"/>
      <c r="Y81" s="5" t="str">
        <f>IFERROR(__xludf.DUMMYFUNCTION("""COMPUTED_VALUE"""),"A3S224250")</f>
        <v>A3S224250</v>
      </c>
      <c r="Z81" s="5"/>
      <c r="AA81" s="5"/>
      <c r="AB81" s="5"/>
    </row>
    <row r="82" hidden="1">
      <c r="A82" s="4">
        <f>IFERROR(__xludf.DUMMYFUNCTION("""COMPUTED_VALUE"""),46233.3968025463)</f>
        <v>46233.3968</v>
      </c>
      <c r="B82" s="5" t="str">
        <f>IFERROR(__xludf.DUMMYFUNCTION("""COMPUTED_VALUE"""),"shabrina.hanani@gmail.com")</f>
        <v>shabrina.hanani@gmail.com</v>
      </c>
      <c r="C82" s="5" t="str">
        <f>IFERROR(__xludf.DUMMYFUNCTION("""COMPUTED_VALUE"""),"Shabrina, S.Pd., M.Pd., Gr.")</f>
        <v>Shabrina, S.Pd., M.Pd., Gr.</v>
      </c>
      <c r="D82" s="5"/>
      <c r="E82" s="5" t="str">
        <f>IFERROR(__xludf.DUMMYFUNCTION("""COMPUTED_VALUE"""),"082333952223")</f>
        <v>082333952223</v>
      </c>
      <c r="F82" s="7">
        <f>IFERROR(__xludf.DUMMYFUNCTION("""COMPUTED_VALUE"""),33736.0)</f>
        <v>33736</v>
      </c>
      <c r="G82" s="5" t="str">
        <f>IFERROR(__xludf.DUMMYFUNCTION("""COMPUTED_VALUE"""),"Pendidikan Fisika")</f>
        <v>Pendidikan Fisika</v>
      </c>
      <c r="H82" s="5" t="str">
        <f>IFERROR(__xludf.DUMMYFUNCTION("""COMPUTED_VALUE"""),"Universitas Negeri Yogyakarta")</f>
        <v>Universitas Negeri Yogyakarta</v>
      </c>
      <c r="I82" s="5" t="str">
        <f>IFERROR(__xludf.DUMMYFUNCTION("""COMPUTED_VALUE"""),"Fisika")</f>
        <v>Fisika</v>
      </c>
      <c r="J82" s="5" t="str">
        <f>IFERROR(__xludf.DUMMYFUNCTION("""COMPUTED_VALUE"""),"PPG Prajabatan Gelombang 1 Tahun 2022")</f>
        <v>PPG Prajabatan Gelombang 1 Tahun 2022</v>
      </c>
      <c r="K82" s="5">
        <f>IFERROR(__xludf.DUMMYFUNCTION("""COMPUTED_VALUE"""),2023.0)</f>
        <v>2023</v>
      </c>
      <c r="L82" s="8" t="str">
        <f>IFERROR(__xludf.DUMMYFUNCTION("""COMPUTED_VALUE"""),"3.40")</f>
        <v>3.40</v>
      </c>
      <c r="M82" s="5" t="str">
        <f>IFERROR(__xludf.DUMMYFUNCTION("""COMPUTED_VALUE""")," 86.66")</f>
        <v> 86.66</v>
      </c>
      <c r="N82" s="5" t="str">
        <f>IFERROR(__xludf.DUMMYFUNCTION("""COMPUTED_VALUE"""),"Kota Pekalongan, Jawa Tengah")</f>
        <v>Kota Pekalongan, Jawa Tengah</v>
      </c>
      <c r="O82" s="5" t="str">
        <f>IFERROR(__xludf.DUMMYFUNCTION("""COMPUTED_VALUE"""),"Tidak")</f>
        <v>Tidak</v>
      </c>
      <c r="P82" s="5" t="str">
        <f>IFERROR(__xludf.DUMMYFUNCTION("""COMPUTED_VALUE"""),"Tenaga pendampingan pembelajaran mata Pelajaran Ilmu Pengetahuan Alam (IPA) untuk mengajar mata pelajaran Biologi, Kimia, Fisika")</f>
        <v>Tenaga pendampingan pembelajaran mata Pelajaran Ilmu Pengetahuan Alam (IPA) untuk mengajar mata pelajaran Biologi, Kimia, Fisika</v>
      </c>
      <c r="Q82" s="5" t="str">
        <f>IFERROR(__xludf.DUMMYFUNCTION("""COMPUTED_VALUE"""),"Kabupaten Buton Tengah, Sulawesi Tenggara")</f>
        <v>Kabupaten Buton Tengah, Sulawesi Tenggara</v>
      </c>
      <c r="R82" s="11" t="str">
        <f>IFERROR(__xludf.DUMMYFUNCTION("""COMPUTED_VALUE""")," https://drive.google.com/drive/folders/1oDDFY2xrlyT8xOLSLtaWcTorLaV2gd-T?usp=sharing")</f>
        <v> https://drive.google.com/drive/folders/1oDDFY2xrlyT8xOLSLtaWcTorLaV2gd-T?usp=sharing</v>
      </c>
      <c r="S82" s="11" t="str">
        <f>IFERROR(__xludf.DUMMYFUNCTION("""COMPUTED_VALUE""")," https://www.youtube.com/watch?v=jM1e_5OwKnw")</f>
        <v> https://www.youtube.com/watch?v=jM1e_5OwKnw</v>
      </c>
      <c r="T82" s="5" t="str">
        <f>IFERROR(__xludf.DUMMYFUNCTION("""COMPUTED_VALUE"""),"Lainnya")</f>
        <v>Lainnya</v>
      </c>
      <c r="U82" s="5"/>
      <c r="V82" s="5"/>
      <c r="W82" s="5"/>
      <c r="X82" s="5"/>
      <c r="Y82" s="5"/>
      <c r="Z82" s="5"/>
      <c r="AA82" s="5"/>
      <c r="AB82" s="5"/>
    </row>
    <row r="83" hidden="1">
      <c r="A83" s="4">
        <f>IFERROR(__xludf.DUMMYFUNCTION("""COMPUTED_VALUE"""),46233.58311467592)</f>
        <v>46233.58311</v>
      </c>
      <c r="B83" s="5" t="str">
        <f>IFERROR(__xludf.DUMMYFUNCTION("""COMPUTED_VALUE"""),"alfiatysaid1008@gmail.com")</f>
        <v>alfiatysaid1008@gmail.com</v>
      </c>
      <c r="C83" s="5" t="str">
        <f>IFERROR(__xludf.DUMMYFUNCTION("""COMPUTED_VALUE"""),"ALFIATY SAID")</f>
        <v>ALFIATY SAID</v>
      </c>
      <c r="D83" s="5"/>
      <c r="E83" s="5" t="str">
        <f>IFERROR(__xludf.DUMMYFUNCTION("""COMPUTED_VALUE"""),"085216569995")</f>
        <v>085216569995</v>
      </c>
      <c r="F83" s="7">
        <f>IFERROR(__xludf.DUMMYFUNCTION("""COMPUTED_VALUE"""),32365.0)</f>
        <v>32365</v>
      </c>
      <c r="G83" s="5" t="str">
        <f>IFERROR(__xludf.DUMMYFUNCTION("""COMPUTED_VALUE"""),"PENDIDIKAN BAHASA INGGRIS")</f>
        <v>PENDIDIKAN BAHASA INGGRIS</v>
      </c>
      <c r="H83" s="5" t="str">
        <f>IFERROR(__xludf.DUMMYFUNCTION("""COMPUTED_VALUE"""),"UNIVERSITAS HALU OLEO")</f>
        <v>UNIVERSITAS HALU OLEO</v>
      </c>
      <c r="I83" s="5" t="str">
        <f>IFERROR(__xludf.DUMMYFUNCTION("""COMPUTED_VALUE"""),"Bahasa Inggris")</f>
        <v>Bahasa Inggris</v>
      </c>
      <c r="J83" s="5" t="str">
        <f>IFERROR(__xludf.DUMMYFUNCTION("""COMPUTED_VALUE"""),"PPG Calon Guru Gelombang 2 Tahun 2024")</f>
        <v>PPG Calon Guru Gelombang 2 Tahun 2024</v>
      </c>
      <c r="K83" s="5">
        <f>IFERROR(__xludf.DUMMYFUNCTION("""COMPUTED_VALUE"""),2025.0)</f>
        <v>2025</v>
      </c>
      <c r="L83" s="8" t="str">
        <f>IFERROR(__xludf.DUMMYFUNCTION("""COMPUTED_VALUE"""),"3.17")</f>
        <v>3.17</v>
      </c>
      <c r="M83" s="5" t="str">
        <f>IFERROR(__xludf.DUMMYFUNCTION("""COMPUTED_VALUE"""),"3.25")</f>
        <v>3.25</v>
      </c>
      <c r="N83" s="5" t="str">
        <f>IFERROR(__xludf.DUMMYFUNCTION("""COMPUTED_VALUE"""),"RAHA, SULAWESI TENGGARA")</f>
        <v>RAHA, SULAWESI TENGGARA</v>
      </c>
      <c r="O83" s="5" t="str">
        <f>IFERROR(__xludf.DUMMYFUNCTION("""COMPUTED_VALUE"""),"Tidak")</f>
        <v>Tidak</v>
      </c>
      <c r="P83" s="5" t="str">
        <f>IFERROR(__xludf.DUMMYFUNCTION("""COMPUTED_VALUE"""),"Tenaga pendampingan pembelajaran mata Pelajaran Bahasa Inggris")</f>
        <v>Tenaga pendampingan pembelajaran mata Pelajaran Bahasa Inggris</v>
      </c>
      <c r="Q83" s="5" t="str">
        <f>IFERROR(__xludf.DUMMYFUNCTION("""COMPUTED_VALUE"""),"Kabupaten Buton Tengah, Sulawesi Tenggara")</f>
        <v>Kabupaten Buton Tengah, Sulawesi Tenggara</v>
      </c>
      <c r="R83" s="5" t="str">
        <f>IFERROR(__xludf.DUMMYFUNCTION("""COMPUTED_VALUE"""),"TIDAK ADA")</f>
        <v>TIDAK ADA</v>
      </c>
      <c r="S83" s="11" t="str">
        <f>IFERROR(__xludf.DUMMYFUNCTION("""COMPUTED_VALUE"""),"https://drive.google.com/file/d/1peyjAV00fNYAk1KhW_TI0Z-Tyzfr-pjB/view?usp=drive_link")</f>
        <v>https://drive.google.com/file/d/1peyjAV00fNYAk1KhW_TI0Z-Tyzfr-pjB/view?usp=drive_link</v>
      </c>
      <c r="T83" s="5" t="str">
        <f>IFERROR(__xludf.DUMMYFUNCTION("""COMPUTED_VALUE"""),"Alumni PPG Calon Guru / Prajabatan FKIP UHO")</f>
        <v>Alumni PPG Calon Guru / Prajabatan FKIP UHO</v>
      </c>
      <c r="U83" s="5"/>
      <c r="V83" s="5"/>
      <c r="W83" s="5"/>
      <c r="X83" s="5"/>
      <c r="Y83" s="5" t="str">
        <f>IFERROR(__xludf.DUMMYFUNCTION("""COMPUTED_VALUE"""),"AS2521443")</f>
        <v>AS2521443</v>
      </c>
      <c r="Z83" s="5"/>
      <c r="AA83" s="5"/>
      <c r="AB83" s="5"/>
    </row>
    <row r="84" hidden="1">
      <c r="A84" s="4">
        <f>IFERROR(__xludf.DUMMYFUNCTION("""COMPUTED_VALUE"""),46233.72030273148)</f>
        <v>46233.7203</v>
      </c>
      <c r="B84" s="5" t="str">
        <f>IFERROR(__xludf.DUMMYFUNCTION("""COMPUTED_VALUE"""),"waodesaputry2404@gmail.com")</f>
        <v>waodesaputry2404@gmail.com</v>
      </c>
      <c r="C84" s="5" t="str">
        <f>IFERROR(__xludf.DUMMYFUNCTION("""COMPUTED_VALUE"""),"Wa Ode SaputryNingrat, S.Pd., Gr")</f>
        <v>Wa Ode SaputryNingrat, S.Pd., Gr</v>
      </c>
      <c r="D84" s="5">
        <f>IFERROR(__xludf.DUMMYFUNCTION("""COMPUTED_VALUE"""),2.02300182908E11)</f>
        <v>202300182908</v>
      </c>
      <c r="E84" s="5" t="str">
        <f>IFERROR(__xludf.DUMMYFUNCTION("""COMPUTED_VALUE"""),"081342973823")</f>
        <v>081342973823</v>
      </c>
      <c r="F84" s="7">
        <f>IFERROR(__xludf.DUMMYFUNCTION("""COMPUTED_VALUE"""),37370.0)</f>
        <v>37370</v>
      </c>
      <c r="G84" s="5" t="str">
        <f>IFERROR(__xludf.DUMMYFUNCTION("""COMPUTED_VALUE"""),"Pendidikan Kimia")</f>
        <v>Pendidikan Kimia</v>
      </c>
      <c r="H84" s="5" t="str">
        <f>IFERROR(__xludf.DUMMYFUNCTION("""COMPUTED_VALUE"""),"Universitas Halu Oleo")</f>
        <v>Universitas Halu Oleo</v>
      </c>
      <c r="I84" s="5" t="str">
        <f>IFERROR(__xludf.DUMMYFUNCTION("""COMPUTED_VALUE"""),"Kimia")</f>
        <v>Kimia</v>
      </c>
      <c r="J84" s="5" t="str">
        <f>IFERROR(__xludf.DUMMYFUNCTION("""COMPUTED_VALUE"""),"PPG Calon Guru Gelombang 2 Tahun 2024")</f>
        <v>PPG Calon Guru Gelombang 2 Tahun 2024</v>
      </c>
      <c r="K84" s="5">
        <f>IFERROR(__xludf.DUMMYFUNCTION("""COMPUTED_VALUE"""),2025.0)</f>
        <v>2025</v>
      </c>
      <c r="L84" s="8" t="str">
        <f>IFERROR(__xludf.DUMMYFUNCTION("""COMPUTED_VALUE"""),"3.36")</f>
        <v>3.36</v>
      </c>
      <c r="M84" s="5" t="str">
        <f>IFERROR(__xludf.DUMMYFUNCTION("""COMPUTED_VALUE"""),"4.0")</f>
        <v>4.0</v>
      </c>
      <c r="N84" s="5" t="str">
        <f>IFERROR(__xludf.DUMMYFUNCTION("""COMPUTED_VALUE"""),"Kabupaten Muna, Sulawesi Tenggara")</f>
        <v>Kabupaten Muna, Sulawesi Tenggara</v>
      </c>
      <c r="O84" s="5" t="str">
        <f>IFERROR(__xludf.DUMMYFUNCTION("""COMPUTED_VALUE"""),"Tidak")</f>
        <v>Tidak</v>
      </c>
      <c r="P84" s="5" t="str">
        <f>IFERROR(__xludf.DUMMYFUNCTION("""COMPUTED_VALUE"""),"Tenaga pendampingan pembelajaran mata Pelajaran Ilmu Pengetahuan Alam (IPA) untuk mengajar mata pelajaran Biologi, Kimia, Fisika")</f>
        <v>Tenaga pendampingan pembelajaran mata Pelajaran Ilmu Pengetahuan Alam (IPA) untuk mengajar mata pelajaran Biologi, Kimia, Fisika</v>
      </c>
      <c r="Q84" s="5" t="str">
        <f>IFERROR(__xludf.DUMMYFUNCTION("""COMPUTED_VALUE"""),"Kabupaten Buton Tengah, Sulawesi Tenggara")</f>
        <v>Kabupaten Buton Tengah, Sulawesi Tenggara</v>
      </c>
      <c r="R84" s="5" t="str">
        <f>IFERROR(__xludf.DUMMYFUNCTION("""COMPUTED_VALUE"""),"-")</f>
        <v>-</v>
      </c>
      <c r="S84" s="11" t="str">
        <f>IFERROR(__xludf.DUMMYFUNCTION("""COMPUTED_VALUE"""),"https://drive.google.com/file/d/12O1DB7FIoqIZRTC1SggA8lB7Wtp7A1WW/view?usp=drivesdk")</f>
        <v>https://drive.google.com/file/d/12O1DB7FIoqIZRTC1SggA8lB7Wtp7A1WW/view?usp=drivesdk</v>
      </c>
      <c r="T84" s="5" t="str">
        <f>IFERROR(__xludf.DUMMYFUNCTION("""COMPUTED_VALUE"""),"Alumni PPG Calon Guru / Prajabatan FKIP UHO")</f>
        <v>Alumni PPG Calon Guru / Prajabatan FKIP UHO</v>
      </c>
      <c r="U84" s="5"/>
      <c r="V84" s="5"/>
      <c r="W84" s="5"/>
      <c r="X84" s="5"/>
      <c r="Y84" s="5" t="str">
        <f>IFERROR(__xludf.DUMMYFUNCTION("""COMPUTED_VALUE"""),"A3S224234")</f>
        <v>A3S224234</v>
      </c>
      <c r="Z84" s="5"/>
      <c r="AA84" s="5"/>
      <c r="AB84" s="5"/>
    </row>
    <row r="85" hidden="1">
      <c r="A85" s="4">
        <f>IFERROR(__xludf.DUMMYFUNCTION("""COMPUTED_VALUE"""),46233.778793067126)</f>
        <v>46233.77879</v>
      </c>
      <c r="B85" s="5" t="str">
        <f>IFERROR(__xludf.DUMMYFUNCTION("""COMPUTED_VALUE"""),"fatchurrrahman14@gmail.com")</f>
        <v>fatchurrrahman14@gmail.com</v>
      </c>
      <c r="C85" s="5" t="str">
        <f>IFERROR(__xludf.DUMMYFUNCTION("""COMPUTED_VALUE"""),"FATCHUR RAHMAN S.Pd., Gr.")</f>
        <v>FATCHUR RAHMAN S.Pd., Gr.</v>
      </c>
      <c r="D85" s="5">
        <f>IFERROR(__xludf.DUMMYFUNCTION("""COMPUTED_VALUE"""),7.000306847E9)</f>
        <v>7000306847</v>
      </c>
      <c r="E85" s="5" t="str">
        <f>IFERROR(__xludf.DUMMYFUNCTION("""COMPUTED_VALUE"""),"082135297868")</f>
        <v>082135297868</v>
      </c>
      <c r="F85" s="7">
        <f>IFERROR(__xludf.DUMMYFUNCTION("""COMPUTED_VALUE"""),37939.0)</f>
        <v>37939</v>
      </c>
      <c r="G85" s="5" t="str">
        <f>IFERROR(__xludf.DUMMYFUNCTION("""COMPUTED_VALUE"""),"Pendidikan Jasmani Kesehatan dan Rekreasi ")</f>
        <v>Pendidikan Jasmani Kesehatan dan Rekreasi </v>
      </c>
      <c r="H85" s="5" t="str">
        <f>IFERROR(__xludf.DUMMYFUNCTION("""COMPUTED_VALUE"""),"Universitas Negeri Makassar ")</f>
        <v>Universitas Negeri Makassar </v>
      </c>
      <c r="I85" s="5" t="str">
        <f>IFERROR(__xludf.DUMMYFUNCTION("""COMPUTED_VALUE"""),"Pendidikan Jasmani, Olahraga, dan Kesehatan (PJOK)")</f>
        <v>Pendidikan Jasmani, Olahraga, dan Kesehatan (PJOK)</v>
      </c>
      <c r="J85" s="5" t="str">
        <f>IFERROR(__xludf.DUMMYFUNCTION("""COMPUTED_VALUE"""),"PPG Calon Guru Gelombang 2 Tahun 2024")</f>
        <v>PPG Calon Guru Gelombang 2 Tahun 2024</v>
      </c>
      <c r="K85" s="5">
        <f>IFERROR(__xludf.DUMMYFUNCTION("""COMPUTED_VALUE"""),2025.0)</f>
        <v>2025</v>
      </c>
      <c r="L85" s="8" t="str">
        <f>IFERROR(__xludf.DUMMYFUNCTION("""COMPUTED_VALUE"""),"3.78")</f>
        <v>3.78</v>
      </c>
      <c r="M85" s="5" t="str">
        <f>IFERROR(__xludf.DUMMYFUNCTION("""COMPUTED_VALUE"""),"4.00")</f>
        <v>4.00</v>
      </c>
      <c r="N85" s="5" t="str">
        <f>IFERROR(__xludf.DUMMYFUNCTION("""COMPUTED_VALUE"""),"Kota Baubau ")</f>
        <v>Kota Baubau </v>
      </c>
      <c r="O85" s="5" t="str">
        <f>IFERROR(__xludf.DUMMYFUNCTION("""COMPUTED_VALUE"""),"Tidak")</f>
        <v>Tidak</v>
      </c>
      <c r="P85" s="5" t="str">
        <f>IFERROR(__xludf.DUMMYFUNCTION("""COMPUTED_VALUE"""),"Tenaga pendampingan pembelajaran mata Pelajaran Penjasorkes")</f>
        <v>Tenaga pendampingan pembelajaran mata Pelajaran Penjasorkes</v>
      </c>
      <c r="Q85" s="5" t="str">
        <f>IFERROR(__xludf.DUMMYFUNCTION("""COMPUTED_VALUE"""),"Kabupaten Buton Tengah, Sulawesi Tenggara")</f>
        <v>Kabupaten Buton Tengah, Sulawesi Tenggara</v>
      </c>
      <c r="R85" s="5" t="str">
        <f>IFERROR(__xludf.DUMMYFUNCTION("""COMPUTED_VALUE"""),"Tidak ada")</f>
        <v>Tidak ada</v>
      </c>
      <c r="S85" s="11" t="str">
        <f>IFERROR(__xludf.DUMMYFUNCTION("""COMPUTED_VALUE"""),"https://drive.google.com/file/d/143JHDzse3sObZEzbFHQZvZdWWfCEdKTl/view?usp=drivesdk")</f>
        <v>https://drive.google.com/file/d/143JHDzse3sObZEzbFHQZvZdWWfCEdKTl/view?usp=drivesdk</v>
      </c>
      <c r="T85" s="5" t="str">
        <f>IFERROR(__xludf.DUMMYFUNCTION("""COMPUTED_VALUE"""),"Alumni PPG Calon Guru / Prajabatan FKIP UHO")</f>
        <v>Alumni PPG Calon Guru / Prajabatan FKIP UHO</v>
      </c>
      <c r="U85" s="5"/>
      <c r="V85" s="5"/>
      <c r="W85" s="5"/>
      <c r="X85" s="5"/>
      <c r="Y85" s="5" t="str">
        <f>IFERROR(__xludf.DUMMYFUNCTION("""COMPUTED_VALUE"""),"A3S224325 ")</f>
        <v>A3S224325 </v>
      </c>
      <c r="Z85" s="5"/>
      <c r="AA85" s="5"/>
      <c r="AB85" s="5"/>
    </row>
    <row r="86" hidden="1">
      <c r="A86" s="4">
        <f>IFERROR(__xludf.DUMMYFUNCTION("""COMPUTED_VALUE"""),46233.83591922453)</f>
        <v>46233.83592</v>
      </c>
      <c r="B86" s="5" t="str">
        <f>IFERROR(__xludf.DUMMYFUNCTION("""COMPUTED_VALUE"""),"sarnisiyauta01@gmail.com")</f>
        <v>sarnisiyauta01@gmail.com</v>
      </c>
      <c r="C86" s="5" t="str">
        <f>IFERROR(__xludf.DUMMYFUNCTION("""COMPUTED_VALUE"""),"SARNI SIYAUTA")</f>
        <v>SARNI SIYAUTA</v>
      </c>
      <c r="D86" s="5">
        <f>IFERROR(__xludf.DUMMYFUNCTION("""COMPUTED_VALUE"""),7.000288683E9)</f>
        <v>7000288683</v>
      </c>
      <c r="E86" s="5" t="str">
        <f>IFERROR(__xludf.DUMMYFUNCTION("""COMPUTED_VALUE"""),"082197933296")</f>
        <v>082197933296</v>
      </c>
      <c r="F86" s="7">
        <f>IFERROR(__xludf.DUMMYFUNCTION("""COMPUTED_VALUE"""),37084.0)</f>
        <v>37084</v>
      </c>
      <c r="G86" s="5" t="str">
        <f>IFERROR(__xludf.DUMMYFUNCTION("""COMPUTED_VALUE"""),"BIMBINGAN KONSELING ISLAM")</f>
        <v>BIMBINGAN KONSELING ISLAM</v>
      </c>
      <c r="H86" s="5" t="str">
        <f>IFERROR(__xludf.DUMMYFUNCTION("""COMPUTED_VALUE"""),"IAIN AMBON")</f>
        <v>IAIN AMBON</v>
      </c>
      <c r="I86" s="5" t="str">
        <f>IFERROR(__xludf.DUMMYFUNCTION("""COMPUTED_VALUE"""),"Bimbingan dan Konseling")</f>
        <v>Bimbingan dan Konseling</v>
      </c>
      <c r="J86" s="5" t="str">
        <f>IFERROR(__xludf.DUMMYFUNCTION("""COMPUTED_VALUE"""),"PPG Calon Guru Gelombang 2 Tahun 2024")</f>
        <v>PPG Calon Guru Gelombang 2 Tahun 2024</v>
      </c>
      <c r="K86" s="5">
        <f>IFERROR(__xludf.DUMMYFUNCTION("""COMPUTED_VALUE"""),2025.0)</f>
        <v>2025</v>
      </c>
      <c r="L86" s="8" t="str">
        <f>IFERROR(__xludf.DUMMYFUNCTION("""COMPUTED_VALUE"""),"3.85")</f>
        <v>3.85</v>
      </c>
      <c r="M86" s="5" t="str">
        <f>IFERROR(__xludf.DUMMYFUNCTION("""COMPUTED_VALUE"""),"4.00")</f>
        <v>4.00</v>
      </c>
      <c r="N86" s="5" t="str">
        <f>IFERROR(__xludf.DUMMYFUNCTION("""COMPUTED_VALUE"""),"KOTA AMBON")</f>
        <v>KOTA AMBON</v>
      </c>
      <c r="O86" s="5" t="str">
        <f>IFERROR(__xludf.DUMMYFUNCTION("""COMPUTED_VALUE"""),"Tidak")</f>
        <v>Tidak</v>
      </c>
      <c r="P86" s="5" t="str">
        <f>IFERROR(__xludf.DUMMYFUNCTION("""COMPUTED_VALUE"""),"Tenaga pendampingan pembelajaran mata Pelajaran Bimbingan dan Konseling")</f>
        <v>Tenaga pendampingan pembelajaran mata Pelajaran Bimbingan dan Konseling</v>
      </c>
      <c r="Q86" s="5" t="str">
        <f>IFERROR(__xludf.DUMMYFUNCTION("""COMPUTED_VALUE"""),"Kabupaten Buton Tengah, Sulawesi Tenggara")</f>
        <v>Kabupaten Buton Tengah, Sulawesi Tenggara</v>
      </c>
      <c r="R86" s="11" t="str">
        <f>IFERROR(__xludf.DUMMYFUNCTION("""COMPUTED_VALUE"""),"https://drive.google.com/drive/folders/1KztHH-x7AAkCa0Y68fAPNtOjI1uXYp8N")</f>
        <v>https://drive.google.com/drive/folders/1KztHH-x7AAkCa0Y68fAPNtOjI1uXYp8N</v>
      </c>
      <c r="S86" s="11" t="str">
        <f>IFERROR(__xludf.DUMMYFUNCTION("""COMPUTED_VALUE"""),"https://drive.google.com/file/d/10gR1poUJUv4Bp7RvR9-QMDkoqIoCFID6/view?usp=drivesdk")</f>
        <v>https://drive.google.com/file/d/10gR1poUJUv4Bp7RvR9-QMDkoqIoCFID6/view?usp=drivesdk</v>
      </c>
      <c r="T86" s="5" t="str">
        <f>IFERROR(__xludf.DUMMYFUNCTION("""COMPUTED_VALUE"""),"Lainnya")</f>
        <v>Lainnya</v>
      </c>
      <c r="U86" s="5"/>
      <c r="V86" s="5"/>
      <c r="W86" s="5"/>
      <c r="X86" s="5"/>
      <c r="Y86" s="5"/>
      <c r="Z86" s="5"/>
      <c r="AA86" s="5"/>
      <c r="AB86" s="5"/>
    </row>
    <row r="87" hidden="1">
      <c r="A87" s="4">
        <f>IFERROR(__xludf.DUMMYFUNCTION("""COMPUTED_VALUE"""),46233.850626886575)</f>
        <v>46233.85063</v>
      </c>
      <c r="B87" s="5" t="str">
        <f>IFERROR(__xludf.DUMMYFUNCTION("""COMPUTED_VALUE"""),"kimisbat@gmail.com")</f>
        <v>kimisbat@gmail.com</v>
      </c>
      <c r="C87" s="5" t="str">
        <f>IFERROR(__xludf.DUMMYFUNCTION("""COMPUTED_VALUE"""),"Ach. Isbat Fauzi, S.Pd., Kons., Gr.")</f>
        <v>Ach. Isbat Fauzi, S.Pd., Kons., Gr.</v>
      </c>
      <c r="D87" s="5">
        <f>IFERROR(__xludf.DUMMYFUNCTION("""COMPUTED_VALUE"""),7.000194154E9)</f>
        <v>7000194154</v>
      </c>
      <c r="E87" s="5" t="str">
        <f>IFERROR(__xludf.DUMMYFUNCTION("""COMPUTED_VALUE"""),"081330307316")</f>
        <v>081330307316</v>
      </c>
      <c r="F87" s="7">
        <f>IFERROR(__xludf.DUMMYFUNCTION("""COMPUTED_VALUE"""),36969.0)</f>
        <v>36969</v>
      </c>
      <c r="G87" s="5" t="str">
        <f>IFERROR(__xludf.DUMMYFUNCTION("""COMPUTED_VALUE"""),"S1 Bimbingan dan Konseling")</f>
        <v>S1 Bimbingan dan Konseling</v>
      </c>
      <c r="H87" s="5" t="str">
        <f>IFERROR(__xludf.DUMMYFUNCTION("""COMPUTED_VALUE"""),"STKIP PGRI Sumenep")</f>
        <v>STKIP PGRI Sumenep</v>
      </c>
      <c r="I87" s="5" t="str">
        <f>IFERROR(__xludf.DUMMYFUNCTION("""COMPUTED_VALUE"""),"Bimbingan dan Konseling")</f>
        <v>Bimbingan dan Konseling</v>
      </c>
      <c r="J87" s="5" t="str">
        <f>IFERROR(__xludf.DUMMYFUNCTION("""COMPUTED_VALUE"""),"PPG Calon Guru Gelombang 2 Tahun 2024")</f>
        <v>PPG Calon Guru Gelombang 2 Tahun 2024</v>
      </c>
      <c r="K87" s="5">
        <f>IFERROR(__xludf.DUMMYFUNCTION("""COMPUTED_VALUE"""),2025.0)</f>
        <v>2025</v>
      </c>
      <c r="L87" s="8" t="str">
        <f>IFERROR(__xludf.DUMMYFUNCTION("""COMPUTED_VALUE"""),"3.75")</f>
        <v>3.75</v>
      </c>
      <c r="M87" s="5" t="str">
        <f>IFERROR(__xludf.DUMMYFUNCTION("""COMPUTED_VALUE"""),"3.89")</f>
        <v>3.89</v>
      </c>
      <c r="N87" s="5" t="str">
        <f>IFERROR(__xludf.DUMMYFUNCTION("""COMPUTED_VALUE"""),"Kabupaten Sumenep, Jawa Timur")</f>
        <v>Kabupaten Sumenep, Jawa Timur</v>
      </c>
      <c r="O87" s="5" t="str">
        <f>IFERROR(__xludf.DUMMYFUNCTION("""COMPUTED_VALUE"""),"Tidak")</f>
        <v>Tidak</v>
      </c>
      <c r="P87" s="5" t="str">
        <f>IFERROR(__xludf.DUMMYFUNCTION("""COMPUTED_VALUE"""),"Tenaga pendampingan pembelajaran mata Pelajaran Bimbingan dan Konseling")</f>
        <v>Tenaga pendampingan pembelajaran mata Pelajaran Bimbingan dan Konseling</v>
      </c>
      <c r="Q87" s="5" t="str">
        <f>IFERROR(__xludf.DUMMYFUNCTION("""COMPUTED_VALUE"""),"Kabupaten Buton Tengah, Sulawesi Tenggara")</f>
        <v>Kabupaten Buton Tengah, Sulawesi Tenggara</v>
      </c>
      <c r="R87" s="11" t="str">
        <f>IFERROR(__xludf.DUMMYFUNCTION("""COMPUTED_VALUE"""),"https://drive.google.com/drive/folders/1RiA64zDPMGWcUQJbujjzdvuiiFbqOYv-")</f>
        <v>https://drive.google.com/drive/folders/1RiA64zDPMGWcUQJbujjzdvuiiFbqOYv-</v>
      </c>
      <c r="S87" s="11" t="str">
        <f>IFERROR(__xludf.DUMMYFUNCTION("""COMPUTED_VALUE"""),"https://drive.google.com/file/d/14w0SrHcah5KVYYJRxX4GoYuo6Arj4xmT/view?usp=drivesdk")</f>
        <v>https://drive.google.com/file/d/14w0SrHcah5KVYYJRxX4GoYuo6Arj4xmT/view?usp=drivesdk</v>
      </c>
      <c r="T87" s="5" t="str">
        <f>IFERROR(__xludf.DUMMYFUNCTION("""COMPUTED_VALUE"""),"Alumni S1 FKIP UNS yang telah lulus PPG Calon Guru/Prajabatan bukan di FKIP UNS")</f>
        <v>Alumni S1 FKIP UNS yang telah lulus PPG Calon Guru/Prajabatan bukan di FKIP UNS</v>
      </c>
      <c r="U87" s="5"/>
      <c r="V87" s="5" t="str">
        <f>IFERROR(__xludf.DUMMYFUNCTION("""COMPUTED_VALUE"""),"18862011A000969")</f>
        <v>18862011A000969</v>
      </c>
      <c r="W87" s="5" t="str">
        <f>IFERROR(__xludf.DUMMYFUNCTION("""COMPUTED_VALUE"""),"S1 Bimbingan dan Konseling")</f>
        <v>S1 Bimbingan dan Konseling</v>
      </c>
      <c r="X87" s="5" t="str">
        <f>IFERROR(__xludf.DUMMYFUNCTION("""COMPUTED_VALUE"""),"Universitas PGRI Adi Buana Surabaya")</f>
        <v>Universitas PGRI Adi Buana Surabaya</v>
      </c>
      <c r="Y87" s="5" t="str">
        <f>IFERROR(__xludf.DUMMYFUNCTION("""COMPUTED_VALUE"""),"2450700083")</f>
        <v>2450700083</v>
      </c>
      <c r="Z87" s="5"/>
      <c r="AA87" s="5"/>
      <c r="AB87" s="5"/>
    </row>
    <row r="88" hidden="1">
      <c r="A88" s="4">
        <f>IFERROR(__xludf.DUMMYFUNCTION("""COMPUTED_VALUE"""),46233.95278946759)</f>
        <v>46233.95279</v>
      </c>
      <c r="B88" s="5" t="str">
        <f>IFERROR(__xludf.DUMMYFUNCTION("""COMPUTED_VALUE"""),"samshifar9@gmail.com")</f>
        <v>samshifar9@gmail.com</v>
      </c>
      <c r="C88" s="5" t="str">
        <f>IFERROR(__xludf.DUMMYFUNCTION("""COMPUTED_VALUE"""),"Samsifar, S. Pd")</f>
        <v>Samsifar, S. Pd</v>
      </c>
      <c r="D88" s="5">
        <f>IFERROR(__xludf.DUMMYFUNCTION("""COMPUTED_VALUE"""),7.000129096E9)</f>
        <v>7000129096</v>
      </c>
      <c r="E88" s="5" t="str">
        <f>IFERROR(__xludf.DUMMYFUNCTION("""COMPUTED_VALUE"""),"085396857305")</f>
        <v>085396857305</v>
      </c>
      <c r="F88" s="7">
        <f>IFERROR(__xludf.DUMMYFUNCTION("""COMPUTED_VALUE"""),37049.0)</f>
        <v>37049</v>
      </c>
      <c r="G88" s="5" t="str">
        <f>IFERROR(__xludf.DUMMYFUNCTION("""COMPUTED_VALUE"""),"Pendidikan Biologi ")</f>
        <v>Pendidikan Biologi </v>
      </c>
      <c r="H88" s="5" t="str">
        <f>IFERROR(__xludf.DUMMYFUNCTION("""COMPUTED_VALUE"""),"Universitas Sembilanbelas November Kolaka")</f>
        <v>Universitas Sembilanbelas November Kolaka</v>
      </c>
      <c r="I88" s="5" t="str">
        <f>IFERROR(__xludf.DUMMYFUNCTION("""COMPUTED_VALUE"""),"Ilmu Pengetahuan Alam (IPA)")</f>
        <v>Ilmu Pengetahuan Alam (IPA)</v>
      </c>
      <c r="J88" s="5" t="str">
        <f>IFERROR(__xludf.DUMMYFUNCTION("""COMPUTED_VALUE"""),"PPG Prajabatan Gelombang 1 Tahun 2023")</f>
        <v>PPG Prajabatan Gelombang 1 Tahun 2023</v>
      </c>
      <c r="K88" s="5">
        <f>IFERROR(__xludf.DUMMYFUNCTION("""COMPUTED_VALUE"""),2024.0)</f>
        <v>2024</v>
      </c>
      <c r="L88" s="8" t="str">
        <f>IFERROR(__xludf.DUMMYFUNCTION("""COMPUTED_VALUE"""),"3,88")</f>
        <v>3,88</v>
      </c>
      <c r="M88" s="5" t="str">
        <f>IFERROR(__xludf.DUMMYFUNCTION("""COMPUTED_VALUE"""),"Tidak ada Transkrip PPG, Hanya Sertifikat Pendidik ")</f>
        <v>Tidak ada Transkrip PPG, Hanya Sertifikat Pendidik </v>
      </c>
      <c r="N88" s="5" t="str">
        <f>IFERROR(__xludf.DUMMYFUNCTION("""COMPUTED_VALUE"""),"Kabupaten Bombana, Sulawesi Tenggara ")</f>
        <v>Kabupaten Bombana, Sulawesi Tenggara </v>
      </c>
      <c r="O88" s="5" t="str">
        <f>IFERROR(__xludf.DUMMYFUNCTION("""COMPUTED_VALUE"""),"Tidak")</f>
        <v>Tidak</v>
      </c>
      <c r="P88" s="5" t="str">
        <f>IFERROR(__xludf.DUMMYFUNCTION("""COMPUTED_VALUE"""),"Tenaga pendampingan pembelajaran mata Pelajaran Ilmu Pengetahuan Alam (IPA) untuk mengajar mata pelajaran Biologi, Kimia, Fisika")</f>
        <v>Tenaga pendampingan pembelajaran mata Pelajaran Ilmu Pengetahuan Alam (IPA) untuk mengajar mata pelajaran Biologi, Kimia, Fisika</v>
      </c>
      <c r="Q88" s="5" t="str">
        <f>IFERROR(__xludf.DUMMYFUNCTION("""COMPUTED_VALUE"""),"Kabupaten Buton Tengah, Sulawesi Tenggara")</f>
        <v>Kabupaten Buton Tengah, Sulawesi Tenggara</v>
      </c>
      <c r="R88" s="11" t="str">
        <f>IFERROR(__xludf.DUMMYFUNCTION("""COMPUTED_VALUE"""),"https://drive.google.com/drive/folders/1_Lxo5HWobtllKRhx4DoAPo3psCWgujfd")</f>
        <v>https://drive.google.com/drive/folders/1_Lxo5HWobtllKRhx4DoAPo3psCWgujfd</v>
      </c>
      <c r="S88" s="11" t="str">
        <f>IFERROR(__xludf.DUMMYFUNCTION("""COMPUTED_VALUE"""),"https://drive.google.com/file/d/125S5BykyAsUYhePZcozF54aMpBkwCf9m/view?usp=drivesdk")</f>
        <v>https://drive.google.com/file/d/125S5BykyAsUYhePZcozF54aMpBkwCf9m/view?usp=drivesdk</v>
      </c>
      <c r="T88" s="5" t="str">
        <f>IFERROR(__xludf.DUMMYFUNCTION("""COMPUTED_VALUE"""),"Lainnya")</f>
        <v>Lainnya</v>
      </c>
      <c r="U88" s="5"/>
      <c r="V88" s="5"/>
      <c r="W88" s="5"/>
      <c r="X88" s="5"/>
      <c r="Y88" s="5"/>
      <c r="Z88" s="5"/>
      <c r="AA88" s="5"/>
      <c r="AB88" s="5"/>
    </row>
    <row r="89" hidden="1">
      <c r="A89" s="4">
        <f>IFERROR(__xludf.DUMMYFUNCTION("""COMPUTED_VALUE"""),46233.961683773145)</f>
        <v>46233.96168</v>
      </c>
      <c r="B89" s="5" t="str">
        <f>IFERROR(__xludf.DUMMYFUNCTION("""COMPUTED_VALUE"""),"ppg.usmanprabowo00628@program.belajar.id")</f>
        <v>ppg.usmanprabowo00628@program.belajar.id</v>
      </c>
      <c r="C89" s="5" t="str">
        <f>IFERROR(__xludf.DUMMYFUNCTION("""COMPUTED_VALUE"""),"Usman Adi Prabowo, S.Pd.")</f>
        <v>Usman Adi Prabowo, S.Pd.</v>
      </c>
      <c r="D89" s="5">
        <f>IFERROR(__xludf.DUMMYFUNCTION("""COMPUTED_VALUE"""),7.000201472E9)</f>
        <v>7000201472</v>
      </c>
      <c r="E89" s="5" t="str">
        <f>IFERROR(__xludf.DUMMYFUNCTION("""COMPUTED_VALUE"""),"082135909910")</f>
        <v>082135909910</v>
      </c>
      <c r="F89" s="7">
        <f>IFERROR(__xludf.DUMMYFUNCTION("""COMPUTED_VALUE"""),36700.0)</f>
        <v>36700</v>
      </c>
      <c r="G89" s="5" t="str">
        <f>IFERROR(__xludf.DUMMYFUNCTION("""COMPUTED_VALUE"""),"S-1 Pendidikan Jasmani Sekolah Dasar")</f>
        <v>S-1 Pendidikan Jasmani Sekolah Dasar</v>
      </c>
      <c r="H89" s="5" t="str">
        <f>IFERROR(__xludf.DUMMYFUNCTION("""COMPUTED_VALUE"""),"S-1 Universitas Negeri Yogyakarta")</f>
        <v>S-1 Universitas Negeri Yogyakarta</v>
      </c>
      <c r="I89" s="5" t="str">
        <f>IFERROR(__xludf.DUMMYFUNCTION("""COMPUTED_VALUE"""),"Pendidikan Jasmani, Olahraga, dan Kesehatan (PJOK)")</f>
        <v>Pendidikan Jasmani, Olahraga, dan Kesehatan (PJOK)</v>
      </c>
      <c r="J89" s="5" t="str">
        <f>IFERROR(__xludf.DUMMYFUNCTION("""COMPUTED_VALUE"""),"PPG Prajabatan Gelombang 2 Tahun 2023")</f>
        <v>PPG Prajabatan Gelombang 2 Tahun 2023</v>
      </c>
      <c r="K89" s="5">
        <f>IFERROR(__xludf.DUMMYFUNCTION("""COMPUTED_VALUE"""),2024.0)</f>
        <v>2024</v>
      </c>
      <c r="L89" s="8" t="str">
        <f>IFERROR(__xludf.DUMMYFUNCTION("""COMPUTED_VALUE"""),"3.85")</f>
        <v>3.85</v>
      </c>
      <c r="M89" s="5" t="str">
        <f>IFERROR(__xludf.DUMMYFUNCTION("""COMPUTED_VALUE"""),"3.80")</f>
        <v>3.80</v>
      </c>
      <c r="N89" s="5" t="str">
        <f>IFERROR(__xludf.DUMMYFUNCTION("""COMPUTED_VALUE"""),"Kabupaten Wonogiri, Jawa Tengah")</f>
        <v>Kabupaten Wonogiri, Jawa Tengah</v>
      </c>
      <c r="O89" s="5" t="str">
        <f>IFERROR(__xludf.DUMMYFUNCTION("""COMPUTED_VALUE"""),"Tidak")</f>
        <v>Tidak</v>
      </c>
      <c r="P89" s="5" t="str">
        <f>IFERROR(__xludf.DUMMYFUNCTION("""COMPUTED_VALUE"""),"Tenaga pendampingan pembelajaran mata Pelajaran Penjasorkes")</f>
        <v>Tenaga pendampingan pembelajaran mata Pelajaran Penjasorkes</v>
      </c>
      <c r="Q89" s="5" t="str">
        <f>IFERROR(__xludf.DUMMYFUNCTION("""COMPUTED_VALUE"""),"Kabupaten Buton Tengah, Sulawesi Tenggara")</f>
        <v>Kabupaten Buton Tengah, Sulawesi Tenggara</v>
      </c>
      <c r="R89" s="5" t="str">
        <f>IFERROR(__xludf.DUMMYFUNCTION("""COMPUTED_VALUE"""),"-")</f>
        <v>-</v>
      </c>
      <c r="S89" s="11" t="str">
        <f>IFERROR(__xludf.DUMMYFUNCTION("""COMPUTED_VALUE"""),"https://drive.google.com/drive/folders/11IqJDpjcTXnE4CSXbzC3pwb5BIKVYs--?usp=drive_link")</f>
        <v>https://drive.google.com/drive/folders/11IqJDpjcTXnE4CSXbzC3pwb5BIKVYs--?usp=drive_link</v>
      </c>
      <c r="T89" s="5" t="str">
        <f>IFERROR(__xludf.DUMMYFUNCTION("""COMPUTED_VALUE"""),"Alumni PPG Calon Guru / Prajabatan FKIP UNS")</f>
        <v>Alumni PPG Calon Guru / Prajabatan FKIP UNS</v>
      </c>
      <c r="U89" s="5" t="str">
        <f>IFERROR(__xludf.DUMMYFUNCTION("""COMPUTED_VALUE"""),"X9023083808")</f>
        <v>X9023083808</v>
      </c>
      <c r="V89" s="5" t="str">
        <f>IFERROR(__xludf.DUMMYFUNCTION("""COMPUTED_VALUE"""),"-")</f>
        <v>-</v>
      </c>
      <c r="W89" s="5" t="str">
        <f>IFERROR(__xludf.DUMMYFUNCTION("""COMPUTED_VALUE"""),"-")</f>
        <v>-</v>
      </c>
      <c r="X89" s="5" t="str">
        <f>IFERROR(__xludf.DUMMYFUNCTION("""COMPUTED_VALUE"""),"-")</f>
        <v>-</v>
      </c>
      <c r="Y89" s="5" t="str">
        <f>IFERROR(__xludf.DUMMYFUNCTION("""COMPUTED_VALUE"""),"-")</f>
        <v>-</v>
      </c>
      <c r="Z89" s="5"/>
      <c r="AA89" s="5"/>
      <c r="AB89" s="5"/>
    </row>
    <row r="90" hidden="1">
      <c r="A90" s="4">
        <f>IFERROR(__xludf.DUMMYFUNCTION("""COMPUTED_VALUE"""),46233.97872090278)</f>
        <v>46233.97872</v>
      </c>
      <c r="B90" s="5" t="str">
        <f>IFERROR(__xludf.DUMMYFUNCTION("""COMPUTED_VALUE"""),"dionikhwan357@gmail.com")</f>
        <v>dionikhwan357@gmail.com</v>
      </c>
      <c r="C90" s="5" t="str">
        <f>IFERROR(__xludf.DUMMYFUNCTION("""COMPUTED_VALUE"""),"Nursia. M, S.Pd., Gr")</f>
        <v>Nursia. M, S.Pd., Gr</v>
      </c>
      <c r="D90" s="5">
        <f>IFERROR(__xludf.DUMMYFUNCTION("""COMPUTED_VALUE"""),7.000196113E9)</f>
        <v>7000196113</v>
      </c>
      <c r="E90" s="5" t="str">
        <f>IFERROR(__xludf.DUMMYFUNCTION("""COMPUTED_VALUE"""),"082264140874")</f>
        <v>082264140874</v>
      </c>
      <c r="F90" s="7">
        <f>IFERROR(__xludf.DUMMYFUNCTION("""COMPUTED_VALUE"""),35061.0)</f>
        <v>35061</v>
      </c>
      <c r="G90" s="5" t="str">
        <f>IFERROR(__xludf.DUMMYFUNCTION("""COMPUTED_VALUE"""),"Pendidikan Bahasa dan Sastra Indonesia ")</f>
        <v>Pendidikan Bahasa dan Sastra Indonesia </v>
      </c>
      <c r="H90" s="5" t="str">
        <f>IFERROR(__xludf.DUMMYFUNCTION("""COMPUTED_VALUE"""),"Universitas Halu Oleo ")</f>
        <v>Universitas Halu Oleo </v>
      </c>
      <c r="I90" s="5" t="str">
        <f>IFERROR(__xludf.DUMMYFUNCTION("""COMPUTED_VALUE"""),"Bahasa Indonesia")</f>
        <v>Bahasa Indonesia</v>
      </c>
      <c r="J90" s="5" t="str">
        <f>IFERROR(__xludf.DUMMYFUNCTION("""COMPUTED_VALUE"""),"PPG Prajabatan Gelombang 2 Tahun 2023")</f>
        <v>PPG Prajabatan Gelombang 2 Tahun 2023</v>
      </c>
      <c r="K90" s="5">
        <f>IFERROR(__xludf.DUMMYFUNCTION("""COMPUTED_VALUE"""),2024.0)</f>
        <v>2024</v>
      </c>
      <c r="L90" s="8" t="str">
        <f>IFERROR(__xludf.DUMMYFUNCTION("""COMPUTED_VALUE"""),"3.30")</f>
        <v>3.30</v>
      </c>
      <c r="M90" s="5" t="str">
        <f>IFERROR(__xludf.DUMMYFUNCTION("""COMPUTED_VALUE"""),"4.00")</f>
        <v>4.00</v>
      </c>
      <c r="N90" s="5" t="str">
        <f>IFERROR(__xludf.DUMMYFUNCTION("""COMPUTED_VALUE"""),"Buton Tengah, Sulawesi Tenggara ")</f>
        <v>Buton Tengah, Sulawesi Tenggara </v>
      </c>
      <c r="O90" s="5" t="str">
        <f>IFERROR(__xludf.DUMMYFUNCTION("""COMPUTED_VALUE"""),"Tidak")</f>
        <v>Tidak</v>
      </c>
      <c r="P90" s="5" t="str">
        <f>IFERROR(__xludf.DUMMYFUNCTION("""COMPUTED_VALUE"""),"Tenaga pendampingan pembelajaran mata Pelajaran Bahasa Indonesia")</f>
        <v>Tenaga pendampingan pembelajaran mata Pelajaran Bahasa Indonesia</v>
      </c>
      <c r="Q90" s="5" t="str">
        <f>IFERROR(__xludf.DUMMYFUNCTION("""COMPUTED_VALUE"""),"Kabupaten Buton Tengah, Sulawesi Tenggara")</f>
        <v>Kabupaten Buton Tengah, Sulawesi Tenggara</v>
      </c>
      <c r="R90" s="11" t="str">
        <f>IFERROR(__xludf.DUMMYFUNCTION("""COMPUTED_VALUE"""),"https://drive.google.com/drive/folders/1QCz4bH3wjl2517dnFzL0-0FyB0_Hr0eA?usp=sharing")</f>
        <v>https://drive.google.com/drive/folders/1QCz4bH3wjl2517dnFzL0-0FyB0_Hr0eA?usp=sharing</v>
      </c>
      <c r="S90" s="11" t="str">
        <f>IFERROR(__xludf.DUMMYFUNCTION("""COMPUTED_VALUE"""),"https://drive.google.com/drive/folders/1QCz4bH3wjl2517dnFzL0-0FyB0_Hr0eA?usp=sharing")</f>
        <v>https://drive.google.com/drive/folders/1QCz4bH3wjl2517dnFzL0-0FyB0_Hr0eA?usp=sharing</v>
      </c>
      <c r="T90" s="5" t="str">
        <f>IFERROR(__xludf.DUMMYFUNCTION("""COMPUTED_VALUE"""),"Alumni PPG Calon Guru / Prajabatan FKIP UHO")</f>
        <v>Alumni PPG Calon Guru / Prajabatan FKIP UHO</v>
      </c>
      <c r="U90" s="5"/>
      <c r="V90" s="5"/>
      <c r="W90" s="5"/>
      <c r="X90" s="5"/>
      <c r="Y90" s="5" t="str">
        <f>IFERROR(__xludf.DUMMYFUNCTION("""COMPUTED_VALUE"""),"A3S223182")</f>
        <v>A3S223182</v>
      </c>
      <c r="Z90" s="5"/>
      <c r="AA90" s="5"/>
      <c r="AB90" s="5"/>
    </row>
    <row r="91" hidden="1">
      <c r="A91" s="4">
        <f>IFERROR(__xludf.DUMMYFUNCTION("""COMPUTED_VALUE"""),46234.67135128472)</f>
        <v>46234.67135</v>
      </c>
      <c r="B91" s="5" t="str">
        <f>IFERROR(__xludf.DUMMYFUNCTION("""COMPUTED_VALUE"""),"afdalandhy17@gmail.com")</f>
        <v>afdalandhy17@gmail.com</v>
      </c>
      <c r="C91" s="5" t="str">
        <f>IFERROR(__xludf.DUMMYFUNCTION("""COMPUTED_VALUE"""),"muh. andy afdal., M.Pd., Gr")</f>
        <v>muh. andy afdal., M.Pd., Gr</v>
      </c>
      <c r="D91" s="5">
        <f>IFERROR(__xludf.DUMMYFUNCTION("""COMPUTED_VALUE"""),7.000081678E9)</f>
        <v>7000081678</v>
      </c>
      <c r="E91" s="5" t="str">
        <f>IFERROR(__xludf.DUMMYFUNCTION("""COMPUTED_VALUE"""),"085242615796")</f>
        <v>085242615796</v>
      </c>
      <c r="F91" s="7">
        <f>IFERROR(__xludf.DUMMYFUNCTION("""COMPUTED_VALUE"""),36160.0)</f>
        <v>36160</v>
      </c>
      <c r="G91" s="5" t="str">
        <f>IFERROR(__xludf.DUMMYFUNCTION("""COMPUTED_VALUE"""),"Tadris Biologi ")</f>
        <v>Tadris Biologi </v>
      </c>
      <c r="H91" s="5" t="str">
        <f>IFERROR(__xludf.DUMMYFUNCTION("""COMPUTED_VALUE"""),"Institut Agama Islam Negeri Kendari ")</f>
        <v>Institut Agama Islam Negeri Kendari </v>
      </c>
      <c r="I91" s="5" t="str">
        <f>IFERROR(__xludf.DUMMYFUNCTION("""COMPUTED_VALUE"""),"Biologi")</f>
        <v>Biologi</v>
      </c>
      <c r="J91" s="5" t="str">
        <f>IFERROR(__xludf.DUMMYFUNCTION("""COMPUTED_VALUE"""),"PPG Prajabatan Gelombang 2 Tahun 2022")</f>
        <v>PPG Prajabatan Gelombang 2 Tahun 2022</v>
      </c>
      <c r="K91" s="5">
        <f>IFERROR(__xludf.DUMMYFUNCTION("""COMPUTED_VALUE"""),2023.0)</f>
        <v>2023</v>
      </c>
      <c r="L91" s="8" t="str">
        <f>IFERROR(__xludf.DUMMYFUNCTION("""COMPUTED_VALUE"""),"3.60")</f>
        <v>3.60</v>
      </c>
      <c r="M91" s="5" t="str">
        <f>IFERROR(__xludf.DUMMYFUNCTION("""COMPUTED_VALUE"""),"3.91")</f>
        <v>3.91</v>
      </c>
      <c r="N91" s="5" t="str">
        <f>IFERROR(__xludf.DUMMYFUNCTION("""COMPUTED_VALUE"""),"Kota Kendari, Sulawesi Tenggara")</f>
        <v>Kota Kendari, Sulawesi Tenggara</v>
      </c>
      <c r="O91" s="5" t="str">
        <f>IFERROR(__xludf.DUMMYFUNCTION("""COMPUTED_VALUE"""),"Tidak")</f>
        <v>Tidak</v>
      </c>
      <c r="P91" s="5" t="str">
        <f>IFERROR(__xludf.DUMMYFUNCTION("""COMPUTED_VALUE"""),"Tenaga pendampingan pembelajaran mata pelajaran TIK")</f>
        <v>Tenaga pendampingan pembelajaran mata pelajaran TIK</v>
      </c>
      <c r="Q91" s="5" t="str">
        <f>IFERROR(__xludf.DUMMYFUNCTION("""COMPUTED_VALUE"""),"Kabupaten Buton Tengah, Sulawesi Tenggara")</f>
        <v>Kabupaten Buton Tengah, Sulawesi Tenggara</v>
      </c>
      <c r="R91" s="5" t="str">
        <f>IFERROR(__xludf.DUMMYFUNCTION("""COMPUTED_VALUE"""),"tidak ada")</f>
        <v>tidak ada</v>
      </c>
      <c r="S91" s="11" t="str">
        <f>IFERROR(__xludf.DUMMYFUNCTION("""COMPUTED_VALUE"""),"https://drive.google.com/drive/folders/19r7Cl5nUN2M2MKhSE7bGX8tAGaPZ57JC")</f>
        <v>https://drive.google.com/drive/folders/19r7Cl5nUN2M2MKhSE7bGX8tAGaPZ57JC</v>
      </c>
      <c r="T91" s="5" t="str">
        <f>IFERROR(__xludf.DUMMYFUNCTION("""COMPUTED_VALUE"""),"Lainnya")</f>
        <v>Lainnya</v>
      </c>
      <c r="U91" s="5"/>
      <c r="V91" s="5"/>
      <c r="W91" s="5"/>
      <c r="X91" s="5"/>
      <c r="Y91" s="5"/>
      <c r="Z91" s="5"/>
      <c r="AA91" s="5"/>
      <c r="AB91" s="5"/>
    </row>
    <row r="92" hidden="1">
      <c r="A92" s="4">
        <f>IFERROR(__xludf.DUMMYFUNCTION("""COMPUTED_VALUE"""),46234.93636665509)</f>
        <v>46234.93637</v>
      </c>
      <c r="B92" s="5" t="str">
        <f>IFERROR(__xludf.DUMMYFUNCTION("""COMPUTED_VALUE"""),"nuzuliafitriana9@gmail.com")</f>
        <v>nuzuliafitriana9@gmail.com</v>
      </c>
      <c r="C92" s="5" t="str">
        <f>IFERROR(__xludf.DUMMYFUNCTION("""COMPUTED_VALUE"""),"Nuzulia Fitriana, S.Pd., M.Pd.")</f>
        <v>Nuzulia Fitriana, S.Pd., M.Pd.</v>
      </c>
      <c r="D92" s="5"/>
      <c r="E92" s="5" t="str">
        <f>IFERROR(__xludf.DUMMYFUNCTION("""COMPUTED_VALUE"""),"085702115262")</f>
        <v>085702115262</v>
      </c>
      <c r="F92" s="7">
        <f>IFERROR(__xludf.DUMMYFUNCTION("""COMPUTED_VALUE"""),34986.0)</f>
        <v>34986</v>
      </c>
      <c r="G92" s="5" t="str">
        <f>IFERROR(__xludf.DUMMYFUNCTION("""COMPUTED_VALUE"""),"Pendidikan Pancasila dan Kewarganegaraan")</f>
        <v>Pendidikan Pancasila dan Kewarganegaraan</v>
      </c>
      <c r="H92" s="5" t="str">
        <f>IFERROR(__xludf.DUMMYFUNCTION("""COMPUTED_VALUE"""),"Universitas Negeri Semarang")</f>
        <v>Universitas Negeri Semarang</v>
      </c>
      <c r="I92" s="5" t="str">
        <f>IFERROR(__xludf.DUMMYFUNCTION("""COMPUTED_VALUE"""),"Pendidikan Pancasila dan Kewarganegaraan (PKn)")</f>
        <v>Pendidikan Pancasila dan Kewarganegaraan (PKn)</v>
      </c>
      <c r="J92" s="5" t="str">
        <f>IFERROR(__xludf.DUMMYFUNCTION("""COMPUTED_VALUE"""),"Lainnya")</f>
        <v>Lainnya</v>
      </c>
      <c r="K92" s="5">
        <f>IFERROR(__xludf.DUMMYFUNCTION("""COMPUTED_VALUE"""),2023.0)</f>
        <v>2023</v>
      </c>
      <c r="L92" s="8" t="str">
        <f>IFERROR(__xludf.DUMMYFUNCTION("""COMPUTED_VALUE"""),"3.54")</f>
        <v>3.54</v>
      </c>
      <c r="M92" s="5" t="str">
        <f>IFERROR(__xludf.DUMMYFUNCTION("""COMPUTED_VALUE"""),"-")</f>
        <v>-</v>
      </c>
      <c r="N92" s="5" t="str">
        <f>IFERROR(__xludf.DUMMYFUNCTION("""COMPUTED_VALUE"""),"Kabupaten Jepara, Jawa Tengah")</f>
        <v>Kabupaten Jepara, Jawa Tengah</v>
      </c>
      <c r="O92" s="5" t="str">
        <f>IFERROR(__xludf.DUMMYFUNCTION("""COMPUTED_VALUE"""),"Tidak")</f>
        <v>Tidak</v>
      </c>
      <c r="P92" s="5" t="str">
        <f>IFERROR(__xludf.DUMMYFUNCTION("""COMPUTED_VALUE"""),"Kabupaten Buton Tengah - Tenaga pendampingan pembelajaran mata Pelajaran Pendidikan Pancasila")</f>
        <v>Kabupaten Buton Tengah - Tenaga pendampingan pembelajaran mata Pelajaran Pendidikan Pancasila</v>
      </c>
      <c r="Q92" s="5"/>
      <c r="R92" s="11" t="str">
        <f>IFERROR(__xludf.DUMMYFUNCTION("""COMPUTED_VALUE"""),"https://drive.google.com/drive/u/0/folders/1wXlUMPMbMO0PPDAIm87fHTYI2gRiO5u_")</f>
        <v>https://drive.google.com/drive/u/0/folders/1wXlUMPMbMO0PPDAIm87fHTYI2gRiO5u_</v>
      </c>
      <c r="S92" s="11" t="str">
        <f>IFERROR(__xludf.DUMMYFUNCTION("""COMPUTED_VALUE"""),"https://youtu.be/37xNnZIRYh8?si=ZntzwVImPe4feJBs")</f>
        <v>https://youtu.be/37xNnZIRYh8?si=ZntzwVImPe4feJBs</v>
      </c>
      <c r="T92" s="5" t="str">
        <f>IFERROR(__xludf.DUMMYFUNCTION("""COMPUTED_VALUE"""),"Lainnya")</f>
        <v>Lainnya</v>
      </c>
      <c r="U92" s="5"/>
      <c r="V92" s="5"/>
      <c r="W92" s="5"/>
      <c r="X92" s="5"/>
      <c r="Y92" s="5"/>
      <c r="Z92" s="5"/>
      <c r="AA92" s="5"/>
      <c r="AB92" s="5"/>
    </row>
    <row r="93" hidden="1">
      <c r="A93" s="4">
        <f>IFERROR(__xludf.DUMMYFUNCTION("""COMPUTED_VALUE"""),46235.314503923604)</f>
        <v>46235.3145</v>
      </c>
      <c r="B93" s="5" t="str">
        <f>IFERROR(__xludf.DUMMYFUNCTION("""COMPUTED_VALUE"""),"dewiindam27@gmail.com")</f>
        <v>dewiindam27@gmail.com</v>
      </c>
      <c r="C93" s="5" t="str">
        <f>IFERROR(__xludf.DUMMYFUNCTION("""COMPUTED_VALUE"""),"Dewi Inda Musni, S.Pd., Gr.")</f>
        <v>Dewi Inda Musni, S.Pd., Gr.</v>
      </c>
      <c r="D93" s="5">
        <f>IFERROR(__xludf.DUMMYFUNCTION("""COMPUTED_VALUE"""),7.000003007E9)</f>
        <v>7000003007</v>
      </c>
      <c r="E93" s="5" t="str">
        <f>IFERROR(__xludf.DUMMYFUNCTION("""COMPUTED_VALUE"""),"082323558624")</f>
        <v>082323558624</v>
      </c>
      <c r="F93" s="7">
        <f>IFERROR(__xludf.DUMMYFUNCTION("""COMPUTED_VALUE"""),36000.0)</f>
        <v>36000</v>
      </c>
      <c r="G93" s="5" t="str">
        <f>IFERROR(__xludf.DUMMYFUNCTION("""COMPUTED_VALUE"""),"Pendidikan IPA ")</f>
        <v>Pendidikan IPA </v>
      </c>
      <c r="H93" s="5" t="str">
        <f>IFERROR(__xludf.DUMMYFUNCTION("""COMPUTED_VALUE"""),"Universitas Tidar ")</f>
        <v>Universitas Tidar </v>
      </c>
      <c r="I93" s="5" t="str">
        <f>IFERROR(__xludf.DUMMYFUNCTION("""COMPUTED_VALUE"""),"Ilmu Pengetahuan Alam (IPA)")</f>
        <v>Ilmu Pengetahuan Alam (IPA)</v>
      </c>
      <c r="J93" s="5" t="str">
        <f>IFERROR(__xludf.DUMMYFUNCTION("""COMPUTED_VALUE"""),"PPG Prajabatan Gelombang 2 Tahun 2022")</f>
        <v>PPG Prajabatan Gelombang 2 Tahun 2022</v>
      </c>
      <c r="K93" s="5">
        <f>IFERROR(__xludf.DUMMYFUNCTION("""COMPUTED_VALUE"""),2023.0)</f>
        <v>2023</v>
      </c>
      <c r="L93" s="8" t="str">
        <f>IFERROR(__xludf.DUMMYFUNCTION("""COMPUTED_VALUE"""),"3.70")</f>
        <v>3.70</v>
      </c>
      <c r="M93" s="5" t="str">
        <f>IFERROR(__xludf.DUMMYFUNCTION("""COMPUTED_VALUE"""),"3.99")</f>
        <v>3.99</v>
      </c>
      <c r="N93" s="5" t="str">
        <f>IFERROR(__xludf.DUMMYFUNCTION("""COMPUTED_VALUE"""),"Kabupaten Blora, Jawa Tengah ")</f>
        <v>Kabupaten Blora, Jawa Tengah </v>
      </c>
      <c r="O93" s="5" t="str">
        <f>IFERROR(__xludf.DUMMYFUNCTION("""COMPUTED_VALUE"""),"Tidak")</f>
        <v>Tidak</v>
      </c>
      <c r="P93" s="5" t="str">
        <f>IFERROR(__xludf.DUMMYFUNCTION("""COMPUTED_VALUE"""),"Kabupaten Jepara - Tenaga pendampingan pembelajaran mata Pelajaran Bahasa Inggris")</f>
        <v>Kabupaten Jepara - Tenaga pendampingan pembelajaran mata Pelajaran Bahasa Inggris</v>
      </c>
      <c r="Q93" s="5"/>
      <c r="R93" s="11" t="str">
        <f>IFERROR(__xludf.DUMMYFUNCTION("""COMPUTED_VALUE"""),"https://drive.google.com/drive/folders/1Eea9hOlnFGbYLubLsrKFIDH0A0S4mwyr")</f>
        <v>https://drive.google.com/drive/folders/1Eea9hOlnFGbYLubLsrKFIDH0A0S4mwyr</v>
      </c>
      <c r="S93" s="11" t="str">
        <f>IFERROR(__xludf.DUMMYFUNCTION("""COMPUTED_VALUE"""),"https://drive.google.com/drive/folders/1YLcx8j3x4rEq2EPc1oUEnY0ns2CZx521")</f>
        <v>https://drive.google.com/drive/folders/1YLcx8j3x4rEq2EPc1oUEnY0ns2CZx521</v>
      </c>
      <c r="T93" s="5" t="str">
        <f>IFERROR(__xludf.DUMMYFUNCTION("""COMPUTED_VALUE"""),"Alumni PPG Calon Guru / Prajabatan FKIP UNS")</f>
        <v>Alumni PPG Calon Guru / Prajabatan FKIP UNS</v>
      </c>
      <c r="U93" s="5" t="str">
        <f>IFERROR(__xludf.DUMMYFUNCTION("""COMPUTED_VALUE"""),"X9022083854")</f>
        <v>X9022083854</v>
      </c>
      <c r="V93" s="5" t="str">
        <f>IFERROR(__xludf.DUMMYFUNCTION("""COMPUTED_VALUE"""),"-")</f>
        <v>-</v>
      </c>
      <c r="W93" s="5" t="str">
        <f>IFERROR(__xludf.DUMMYFUNCTION("""COMPUTED_VALUE"""),"-")</f>
        <v>-</v>
      </c>
      <c r="X93" s="5" t="str">
        <f>IFERROR(__xludf.DUMMYFUNCTION("""COMPUTED_VALUE"""),"-")</f>
        <v>-</v>
      </c>
      <c r="Y93" s="5" t="str">
        <f>IFERROR(__xludf.DUMMYFUNCTION("""COMPUTED_VALUE"""),"-")</f>
        <v>-</v>
      </c>
      <c r="Z93" s="5"/>
      <c r="AA93" s="5"/>
      <c r="AB93" s="5"/>
    </row>
    <row r="94" hidden="1">
      <c r="A94" s="4">
        <f>IFERROR(__xludf.DUMMYFUNCTION("""COMPUTED_VALUE"""),46235.50479650463)</f>
        <v>46235.5048</v>
      </c>
      <c r="B94" s="5" t="str">
        <f>IFERROR(__xludf.DUMMYFUNCTION("""COMPUTED_VALUE"""),"omsenodotcom@gmail.com")</f>
        <v>omsenodotcom@gmail.com</v>
      </c>
      <c r="C94" s="5" t="str">
        <f>IFERROR(__xludf.DUMMYFUNCTION("""COMPUTED_VALUE"""),"Seno Setiyawan, S.Si, Gr")</f>
        <v>Seno Setiyawan, S.Si, Gr</v>
      </c>
      <c r="D94" s="5">
        <f>IFERROR(__xludf.DUMMYFUNCTION("""COMPUTED_VALUE"""),7.000110408E9)</f>
        <v>7000110408</v>
      </c>
      <c r="E94" s="5" t="str">
        <f>IFERROR(__xludf.DUMMYFUNCTION("""COMPUTED_VALUE"""),"085799588894")</f>
        <v>085799588894</v>
      </c>
      <c r="F94" s="7">
        <f>IFERROR(__xludf.DUMMYFUNCTION("""COMPUTED_VALUE"""),34873.0)</f>
        <v>34873</v>
      </c>
      <c r="G94" s="5" t="str">
        <f>IFERROR(__xludf.DUMMYFUNCTION("""COMPUTED_VALUE"""),"Matematika")</f>
        <v>Matematika</v>
      </c>
      <c r="H94" s="5" t="str">
        <f>IFERROR(__xludf.DUMMYFUNCTION("""COMPUTED_VALUE"""),"Universitas Sebelas Maret")</f>
        <v>Universitas Sebelas Maret</v>
      </c>
      <c r="I94" s="5" t="str">
        <f>IFERROR(__xludf.DUMMYFUNCTION("""COMPUTED_VALUE"""),"Matematika")</f>
        <v>Matematika</v>
      </c>
      <c r="J94" s="5" t="str">
        <f>IFERROR(__xludf.DUMMYFUNCTION("""COMPUTED_VALUE"""),"PPG Prajabatan Gelombang 2 Tahun 2023")</f>
        <v>PPG Prajabatan Gelombang 2 Tahun 2023</v>
      </c>
      <c r="K94" s="5">
        <f>IFERROR(__xludf.DUMMYFUNCTION("""COMPUTED_VALUE"""),2024.0)</f>
        <v>2024</v>
      </c>
      <c r="L94" s="8" t="str">
        <f>IFERROR(__xludf.DUMMYFUNCTION("""COMPUTED_VALUE"""),"3.11")</f>
        <v>3.11</v>
      </c>
      <c r="M94" s="5" t="str">
        <f>IFERROR(__xludf.DUMMYFUNCTION("""COMPUTED_VALUE"""),"3.90")</f>
        <v>3.90</v>
      </c>
      <c r="N94" s="5" t="str">
        <f>IFERROR(__xludf.DUMMYFUNCTION("""COMPUTED_VALUE"""),"Surakarta")</f>
        <v>Surakarta</v>
      </c>
      <c r="O94" s="5" t="str">
        <f>IFERROR(__xludf.DUMMYFUNCTION("""COMPUTED_VALUE"""),"Tidak")</f>
        <v>Tidak</v>
      </c>
      <c r="P94" s="5" t="str">
        <f>IFERROR(__xludf.DUMMYFUNCTION("""COMPUTED_VALUE"""),"Kabupaten Buton Tengah - Tenaga pendampingan pembelajaran mata pelajaran TIK")</f>
        <v>Kabupaten Buton Tengah - Tenaga pendampingan pembelajaran mata pelajaran TIK</v>
      </c>
      <c r="Q94" s="5"/>
      <c r="R94" s="11" t="str">
        <f>IFERROR(__xludf.DUMMYFUNCTION("""COMPUTED_VALUE"""),"https://drive.google.com/drive/folders/17MT469v6DaHmpoLFdWBe241N_dObmepV?usp=drive_link")</f>
        <v>https://drive.google.com/drive/folders/17MT469v6DaHmpoLFdWBe241N_dObmepV?usp=drive_link</v>
      </c>
      <c r="S94" s="11" t="str">
        <f>IFERROR(__xludf.DUMMYFUNCTION("""COMPUTED_VALUE"""),"https://drive.google.com/drive/folders/17MT469v6DaHmpoLFdWBe241N_dObmepV?usp=drive_link")</f>
        <v>https://drive.google.com/drive/folders/17MT469v6DaHmpoLFdWBe241N_dObmepV?usp=drive_link</v>
      </c>
      <c r="T94" s="5" t="str">
        <f>IFERROR(__xludf.DUMMYFUNCTION("""COMPUTED_VALUE"""),"Alumni PPG Calon Guru / Prajabatan FKIP UNS")</f>
        <v>Alumni PPG Calon Guru / Prajabatan FKIP UNS</v>
      </c>
      <c r="U94" s="5" t="str">
        <f>IFERROR(__xludf.DUMMYFUNCTION("""COMPUTED_VALUE"""),"X9023083767")</f>
        <v>X9023083767</v>
      </c>
      <c r="V94" s="5" t="str">
        <f>IFERROR(__xludf.DUMMYFUNCTION("""COMPUTED_VALUE"""),"M0113045")</f>
        <v>M0113045</v>
      </c>
      <c r="W94" s="5" t="str">
        <f>IFERROR(__xludf.DUMMYFUNCTION("""COMPUTED_VALUE"""),"Matematika")</f>
        <v>Matematika</v>
      </c>
      <c r="X94" s="5" t="str">
        <f>IFERROR(__xludf.DUMMYFUNCTION("""COMPUTED_VALUE"""),"Universitas Sebelas Maret")</f>
        <v>Universitas Sebelas Maret</v>
      </c>
      <c r="Y94" s="5" t="str">
        <f>IFERROR(__xludf.DUMMYFUNCTION("""COMPUTED_VALUE"""),"X9023083767")</f>
        <v>X9023083767</v>
      </c>
      <c r="Z94" s="5"/>
      <c r="AA94" s="5"/>
      <c r="AB94" s="5"/>
    </row>
    <row r="95" hidden="1">
      <c r="A95" s="4">
        <f>IFERROR(__xludf.DUMMYFUNCTION("""COMPUTED_VALUE"""),46236.666839224534)</f>
        <v>46236.66684</v>
      </c>
      <c r="B95" s="5" t="str">
        <f>IFERROR(__xludf.DUMMYFUNCTION("""COMPUTED_VALUE"""),"talithan3@gmail.com")</f>
        <v>talithan3@gmail.com</v>
      </c>
      <c r="C95" s="5" t="str">
        <f>IFERROR(__xludf.DUMMYFUNCTION("""COMPUTED_VALUE"""),"Talitha Nabilah, S.Pd. Gr.")</f>
        <v>Talitha Nabilah, S.Pd. Gr.</v>
      </c>
      <c r="D95" s="5">
        <f>IFERROR(__xludf.DUMMYFUNCTION("""COMPUTED_VALUE"""),7.000227297E9)</f>
        <v>7000227297</v>
      </c>
      <c r="E95" s="5" t="str">
        <f>IFERROR(__xludf.DUMMYFUNCTION("""COMPUTED_VALUE"""),"082334453085")</f>
        <v>082334453085</v>
      </c>
      <c r="F95" s="7">
        <f>IFERROR(__xludf.DUMMYFUNCTION("""COMPUTED_VALUE"""),36964.0)</f>
        <v>36964</v>
      </c>
      <c r="G95" s="5" t="str">
        <f>IFERROR(__xludf.DUMMYFUNCTION("""COMPUTED_VALUE"""),"Pendidikan Fisika")</f>
        <v>Pendidikan Fisika</v>
      </c>
      <c r="H95" s="5" t="str">
        <f>IFERROR(__xludf.DUMMYFUNCTION("""COMPUTED_VALUE"""),"Universitas Jember")</f>
        <v>Universitas Jember</v>
      </c>
      <c r="I95" s="5" t="str">
        <f>IFERROR(__xludf.DUMMYFUNCTION("""COMPUTED_VALUE"""),"Pendidikan Guru Sekolah Dasar (PGSD)")</f>
        <v>Pendidikan Guru Sekolah Dasar (PGSD)</v>
      </c>
      <c r="J95" s="5" t="str">
        <f>IFERROR(__xludf.DUMMYFUNCTION("""COMPUTED_VALUE"""),"PPG Prajabatan Gelombang 1 Tahun 2024")</f>
        <v>PPG Prajabatan Gelombang 1 Tahun 2024</v>
      </c>
      <c r="K95" s="5">
        <f>IFERROR(__xludf.DUMMYFUNCTION("""COMPUTED_VALUE"""),2024.0)</f>
        <v>2024</v>
      </c>
      <c r="L95" s="8" t="str">
        <f>IFERROR(__xludf.DUMMYFUNCTION("""COMPUTED_VALUE"""),"3.77")</f>
        <v>3.77</v>
      </c>
      <c r="M95" s="5" t="str">
        <f>IFERROR(__xludf.DUMMYFUNCTION("""COMPUTED_VALUE"""),"3.96")</f>
        <v>3.96</v>
      </c>
      <c r="N95" s="5" t="str">
        <f>IFERROR(__xludf.DUMMYFUNCTION("""COMPUTED_VALUE"""),"Kabupaten Sidoarjo, Jawa Timur")</f>
        <v>Kabupaten Sidoarjo, Jawa Timur</v>
      </c>
      <c r="O95" s="5" t="str">
        <f>IFERROR(__xludf.DUMMYFUNCTION("""COMPUTED_VALUE"""),"Tidak")</f>
        <v>Tidak</v>
      </c>
      <c r="P95" s="5" t="str">
        <f>IFERROR(__xludf.DUMMYFUNCTION("""COMPUTED_VALUE"""),"Kabupaten Buton Tengah - Tenaga pendampingan pembelajaran mata pelajaran TIK")</f>
        <v>Kabupaten Buton Tengah - Tenaga pendampingan pembelajaran mata pelajaran TIK</v>
      </c>
      <c r="Q95" s="5"/>
      <c r="R95" s="5" t="str">
        <f>IFERROR(__xludf.DUMMYFUNCTION("""COMPUTED_VALUE"""),"-")</f>
        <v>-</v>
      </c>
      <c r="S95" s="11" t="str">
        <f>IFERROR(__xludf.DUMMYFUNCTION("""COMPUTED_VALUE"""),"https://drive.google.com/file/d/1esCIwzUph4H8JVvdlxBZpkGt2mgfGEOw/view?usp=sharing")</f>
        <v>https://drive.google.com/file/d/1esCIwzUph4H8JVvdlxBZpkGt2mgfGEOw/view?usp=sharing</v>
      </c>
      <c r="T95" s="5" t="str">
        <f>IFERROR(__xludf.DUMMYFUNCTION("""COMPUTED_VALUE"""),"Lainnya")</f>
        <v>Lainnya</v>
      </c>
      <c r="U95" s="5"/>
      <c r="V95" s="5"/>
      <c r="W95" s="5"/>
      <c r="X95" s="5"/>
      <c r="Y95" s="5"/>
      <c r="Z95" s="5"/>
      <c r="AA95" s="5"/>
      <c r="AB95" s="5"/>
    </row>
    <row r="96" hidden="1">
      <c r="A96" s="4">
        <f>IFERROR(__xludf.DUMMYFUNCTION("""COMPUTED_VALUE"""),46236.69062363426)</f>
        <v>46236.69062</v>
      </c>
      <c r="B96" s="5" t="str">
        <f>IFERROR(__xludf.DUMMYFUNCTION("""COMPUTED_VALUE"""),"fajaradyw@gmail.com")</f>
        <v>fajaradyw@gmail.com</v>
      </c>
      <c r="C96" s="5" t="str">
        <f>IFERROR(__xludf.DUMMYFUNCTION("""COMPUTED_VALUE"""),"Fajar Ady Widyanto, S.Pd., Gr.")</f>
        <v>Fajar Ady Widyanto, S.Pd., Gr.</v>
      </c>
      <c r="D96" s="5">
        <f>IFERROR(__xludf.DUMMYFUNCTION("""COMPUTED_VALUE"""),7.000166756E9)</f>
        <v>7000166756</v>
      </c>
      <c r="E96" s="5" t="str">
        <f>IFERROR(__xludf.DUMMYFUNCTION("""COMPUTED_VALUE"""),"08135761188")</f>
        <v>08135761188</v>
      </c>
      <c r="F96" s="7">
        <f>IFERROR(__xludf.DUMMYFUNCTION("""COMPUTED_VALUE"""),34480.0)</f>
        <v>34480</v>
      </c>
      <c r="G96" s="5" t="str">
        <f>IFERROR(__xludf.DUMMYFUNCTION("""COMPUTED_VALUE"""),"Pendidikan Seni Rupa")</f>
        <v>Pendidikan Seni Rupa</v>
      </c>
      <c r="H96" s="5" t="str">
        <f>IFERROR(__xludf.DUMMYFUNCTION("""COMPUTED_VALUE"""),"Universitas Sebelas Maret ")</f>
        <v>Universitas Sebelas Maret </v>
      </c>
      <c r="I96" s="5" t="str">
        <f>IFERROR(__xludf.DUMMYFUNCTION("""COMPUTED_VALUE"""),"Seni Budaya")</f>
        <v>Seni Budaya</v>
      </c>
      <c r="J96" s="5" t="str">
        <f>IFERROR(__xludf.DUMMYFUNCTION("""COMPUTED_VALUE"""),"PPG Prajabatan Gelombang 2 Tahun 2023")</f>
        <v>PPG Prajabatan Gelombang 2 Tahun 2023</v>
      </c>
      <c r="K96" s="5">
        <f>IFERROR(__xludf.DUMMYFUNCTION("""COMPUTED_VALUE"""),2024.0)</f>
        <v>2024</v>
      </c>
      <c r="L96" s="8" t="str">
        <f>IFERROR(__xludf.DUMMYFUNCTION("""COMPUTED_VALUE"""),"3.10")</f>
        <v>3.10</v>
      </c>
      <c r="M96" s="5" t="str">
        <f>IFERROR(__xludf.DUMMYFUNCTION("""COMPUTED_VALUE"""),"3.91")</f>
        <v>3.91</v>
      </c>
      <c r="N96" s="5" t="str">
        <f>IFERROR(__xludf.DUMMYFUNCTION("""COMPUTED_VALUE"""),"Kota Surakarta, Jawa Tengah")</f>
        <v>Kota Surakarta, Jawa Tengah</v>
      </c>
      <c r="O96" s="5" t="str">
        <f>IFERROR(__xludf.DUMMYFUNCTION("""COMPUTED_VALUE"""),"Tidak")</f>
        <v>Tidak</v>
      </c>
      <c r="P96" s="5" t="str">
        <f>IFERROR(__xludf.DUMMYFUNCTION("""COMPUTED_VALUE"""),"Kabupaten Jepara - Tenaga pendampingan pembelajaran mata Pelajaran Bahasa Inggris")</f>
        <v>Kabupaten Jepara - Tenaga pendampingan pembelajaran mata Pelajaran Bahasa Inggris</v>
      </c>
      <c r="Q96" s="5"/>
      <c r="R96" s="5" t="str">
        <f>IFERROR(__xludf.DUMMYFUNCTION("""COMPUTED_VALUE"""),"-")</f>
        <v>-</v>
      </c>
      <c r="S96" s="11" t="str">
        <f>IFERROR(__xludf.DUMMYFUNCTION("""COMPUTED_VALUE"""),"https://drive.google.com/file/d/1cmV4eplHOudpvjZyn_HVJK6lNiw9g58G/view?usp=drivesdk")</f>
        <v>https://drive.google.com/file/d/1cmV4eplHOudpvjZyn_HVJK6lNiw9g58G/view?usp=drivesdk</v>
      </c>
      <c r="T96" s="5" t="str">
        <f>IFERROR(__xludf.DUMMYFUNCTION("""COMPUTED_VALUE"""),"Alumni PPG Calon Guru / Prajabatan FKIP UNS")</f>
        <v>Alumni PPG Calon Guru / Prajabatan FKIP UNS</v>
      </c>
      <c r="U96" s="5" t="str">
        <f>IFERROR(__xludf.DUMMYFUNCTION("""COMPUTED_VALUE"""),"X9023083515")</f>
        <v>X9023083515</v>
      </c>
      <c r="V96" s="5" t="str">
        <f>IFERROR(__xludf.DUMMYFUNCTION("""COMPUTED_VALUE"""),"K3212026")</f>
        <v>K3212026</v>
      </c>
      <c r="W96" s="5" t="str">
        <f>IFERROR(__xludf.DUMMYFUNCTION("""COMPUTED_VALUE"""),"Pendidikan Seni Rupa")</f>
        <v>Pendidikan Seni Rupa</v>
      </c>
      <c r="X96" s="5" t="str">
        <f>IFERROR(__xludf.DUMMYFUNCTION("""COMPUTED_VALUE"""),"Universitas Sebelas Maret")</f>
        <v>Universitas Sebelas Maret</v>
      </c>
      <c r="Y96" s="5" t="str">
        <f>IFERROR(__xludf.DUMMYFUNCTION("""COMPUTED_VALUE"""),"X9023083515")</f>
        <v>X9023083515</v>
      </c>
      <c r="Z96" s="5"/>
      <c r="AA96" s="5"/>
      <c r="AB96" s="5"/>
    </row>
    <row r="97" hidden="1">
      <c r="A97" s="4">
        <f>IFERROR(__xludf.DUMMYFUNCTION("""COMPUTED_VALUE"""),46236.82947635417)</f>
        <v>46236.82948</v>
      </c>
      <c r="B97" s="5" t="str">
        <f>IFERROR(__xludf.DUMMYFUNCTION("""COMPUTED_VALUE"""),"muhammadmukammil2@gmail.com")</f>
        <v>muhammadmukammil2@gmail.com</v>
      </c>
      <c r="C97" s="5" t="str">
        <f>IFERROR(__xludf.DUMMYFUNCTION("""COMPUTED_VALUE"""),"Muhammad Mukammil, S.Pd., Gr")</f>
        <v>Muhammad Mukammil, S.Pd., Gr</v>
      </c>
      <c r="D97" s="5">
        <f>IFERROR(__xludf.DUMMYFUNCTION("""COMPUTED_VALUE"""),7.00025568E9)</f>
        <v>7000255680</v>
      </c>
      <c r="E97" s="5" t="str">
        <f>IFERROR(__xludf.DUMMYFUNCTION("""COMPUTED_VALUE"""),"082236786534")</f>
        <v>082236786534</v>
      </c>
      <c r="F97" s="7">
        <f>IFERROR(__xludf.DUMMYFUNCTION("""COMPUTED_VALUE"""),36856.0)</f>
        <v>36856</v>
      </c>
      <c r="G97" s="5" t="str">
        <f>IFERROR(__xludf.DUMMYFUNCTION("""COMPUTED_VALUE"""),"Pendidikan Teknologi Informasi")</f>
        <v>Pendidikan Teknologi Informasi</v>
      </c>
      <c r="H97" s="5" t="str">
        <f>IFERROR(__xludf.DUMMYFUNCTION("""COMPUTED_VALUE"""),"Universitas Muhammadiyah Kendari")</f>
        <v>Universitas Muhammadiyah Kendari</v>
      </c>
      <c r="I97" s="5" t="str">
        <f>IFERROR(__xludf.DUMMYFUNCTION("""COMPUTED_VALUE"""),"Informatika")</f>
        <v>Informatika</v>
      </c>
      <c r="J97" s="5" t="str">
        <f>IFERROR(__xludf.DUMMYFUNCTION("""COMPUTED_VALUE"""),"PPG Calon Guru Gelombang 2 Tahun 2024")</f>
        <v>PPG Calon Guru Gelombang 2 Tahun 2024</v>
      </c>
      <c r="K97" s="5">
        <f>IFERROR(__xludf.DUMMYFUNCTION("""COMPUTED_VALUE"""),2025.0)</f>
        <v>2025</v>
      </c>
      <c r="L97" s="8" t="str">
        <f>IFERROR(__xludf.DUMMYFUNCTION("""COMPUTED_VALUE"""),"3.73")</f>
        <v>3.73</v>
      </c>
      <c r="M97" s="5" t="str">
        <f>IFERROR(__xludf.DUMMYFUNCTION("""COMPUTED_VALUE"""),"3.98")</f>
        <v>3.98</v>
      </c>
      <c r="N97" s="5" t="str">
        <f>IFERROR(__xludf.DUMMYFUNCTION("""COMPUTED_VALUE"""),"Kabupaten Bombana, Sulawesi Tenggara")</f>
        <v>Kabupaten Bombana, Sulawesi Tenggara</v>
      </c>
      <c r="O97" s="5" t="str">
        <f>IFERROR(__xludf.DUMMYFUNCTION("""COMPUTED_VALUE"""),"Tidak")</f>
        <v>Tidak</v>
      </c>
      <c r="P97" s="5" t="str">
        <f>IFERROR(__xludf.DUMMYFUNCTION("""COMPUTED_VALUE"""),"Kabupaten Buton Tengah - Tenaga pendampingan pembelajaran mata pelajaran TIK")</f>
        <v>Kabupaten Buton Tengah - Tenaga pendampingan pembelajaran mata pelajaran TIK</v>
      </c>
      <c r="Q97" s="5"/>
      <c r="R97" s="11" t="str">
        <f>IFERROR(__xludf.DUMMYFUNCTION("""COMPUTED_VALUE"""),"https://drive.google.com/drive/folders/1p-kQdNiRgjOIiTD_RhX1uvRJKUvgJ4xc?usp=sharing")</f>
        <v>https://drive.google.com/drive/folders/1p-kQdNiRgjOIiTD_RhX1uvRJKUvgJ4xc?usp=sharing</v>
      </c>
      <c r="S97" s="11" t="str">
        <f>IFERROR(__xludf.DUMMYFUNCTION("""COMPUTED_VALUE"""),"https://drive.google.com/file/d/1Y1HflIYtf8a__N_hRkDkNxk37uHu01vn/view?usp=drive_link")</f>
        <v>https://drive.google.com/file/d/1Y1HflIYtf8a__N_hRkDkNxk37uHu01vn/view?usp=drive_link</v>
      </c>
      <c r="T97" s="5" t="str">
        <f>IFERROR(__xludf.DUMMYFUNCTION("""COMPUTED_VALUE"""),"Alumni S1 FKIP UNS yang telah lulus PPG Calon Guru/Prajabatan bukan di FKIP UNS")</f>
        <v>Alumni S1 FKIP UNS yang telah lulus PPG Calon Guru/Prajabatan bukan di FKIP UNS</v>
      </c>
      <c r="U97" s="5"/>
      <c r="V97" s="5" t="str">
        <f>IFERROR(__xludf.DUMMYFUNCTION("""COMPUTED_VALUE"""),"21916141")</f>
        <v>21916141</v>
      </c>
      <c r="W97" s="5" t="str">
        <f>IFERROR(__xludf.DUMMYFUNCTION("""COMPUTED_VALUE"""),"Pendidikan Teknologi Informasi")</f>
        <v>Pendidikan Teknologi Informasi</v>
      </c>
      <c r="X97" s="5" t="str">
        <f>IFERROR(__xludf.DUMMYFUNCTION("""COMPUTED_VALUE"""),"Universitas Negeri Gorontalo")</f>
        <v>Universitas Negeri Gorontalo</v>
      </c>
      <c r="Y97" s="5" t="str">
        <f>IFERROR(__xludf.DUMMYFUNCTION("""COMPUTED_VALUE"""),"121172410091")</f>
        <v>121172410091</v>
      </c>
      <c r="Z97" s="5"/>
      <c r="AA97" s="5"/>
      <c r="AB97" s="5"/>
    </row>
    <row r="98" hidden="1">
      <c r="A98" s="4">
        <f>IFERROR(__xludf.DUMMYFUNCTION("""COMPUTED_VALUE"""),46236.85504048611)</f>
        <v>46236.85504</v>
      </c>
      <c r="B98" s="5" t="str">
        <f>IFERROR(__xludf.DUMMYFUNCTION("""COMPUTED_VALUE"""),"viraoktaviana08@gmail.com")</f>
        <v>viraoktaviana08@gmail.com</v>
      </c>
      <c r="C98" s="5" t="str">
        <f>IFERROR(__xludf.DUMMYFUNCTION("""COMPUTED_VALUE"""),"Vira Oktaviana, S.Pd.Gr")</f>
        <v>Vira Oktaviana, S.Pd.Gr</v>
      </c>
      <c r="D98" s="5"/>
      <c r="E98" s="5" t="str">
        <f>IFERROR(__xludf.DUMMYFUNCTION("""COMPUTED_VALUE"""),"085875666255")</f>
        <v>085875666255</v>
      </c>
      <c r="F98" s="7">
        <f>IFERROR(__xludf.DUMMYFUNCTION("""COMPUTED_VALUE"""),36441.0)</f>
        <v>36441</v>
      </c>
      <c r="G98" s="5" t="str">
        <f>IFERROR(__xludf.DUMMYFUNCTION("""COMPUTED_VALUE"""),"Pendidikan Teknik Informatika dan Komputer")</f>
        <v>Pendidikan Teknik Informatika dan Komputer</v>
      </c>
      <c r="H98" s="5" t="str">
        <f>IFERROR(__xludf.DUMMYFUNCTION("""COMPUTED_VALUE"""),"Universitas Negeri Semarang")</f>
        <v>Universitas Negeri Semarang</v>
      </c>
      <c r="I98" s="5" t="str">
        <f>IFERROR(__xludf.DUMMYFUNCTION("""COMPUTED_VALUE"""),"Informatika")</f>
        <v>Informatika</v>
      </c>
      <c r="J98" s="5" t="str">
        <f>IFERROR(__xludf.DUMMYFUNCTION("""COMPUTED_VALUE"""),"PPG Calon Guru Gelombang 2 Tahun 2024")</f>
        <v>PPG Calon Guru Gelombang 2 Tahun 2024</v>
      </c>
      <c r="K98" s="5">
        <f>IFERROR(__xludf.DUMMYFUNCTION("""COMPUTED_VALUE"""),2025.0)</f>
        <v>2025</v>
      </c>
      <c r="L98" s="8" t="str">
        <f>IFERROR(__xludf.DUMMYFUNCTION("""COMPUTED_VALUE"""),"3.47")</f>
        <v>3.47</v>
      </c>
      <c r="M98" s="5" t="str">
        <f>IFERROR(__xludf.DUMMYFUNCTION("""COMPUTED_VALUE"""),"3.96")</f>
        <v>3.96</v>
      </c>
      <c r="N98" s="5" t="str">
        <f>IFERROR(__xludf.DUMMYFUNCTION("""COMPUTED_VALUE"""),"Kudus, Jawa Tengah")</f>
        <v>Kudus, Jawa Tengah</v>
      </c>
      <c r="O98" s="5" t="str">
        <f>IFERROR(__xludf.DUMMYFUNCTION("""COMPUTED_VALUE"""),"Tidak")</f>
        <v>Tidak</v>
      </c>
      <c r="P98" s="5" t="str">
        <f>IFERROR(__xludf.DUMMYFUNCTION("""COMPUTED_VALUE"""),"Kabupaten Buton Tengah - Tenaga pendampingan pembelajaran mata pelajaran TIK")</f>
        <v>Kabupaten Buton Tengah - Tenaga pendampingan pembelajaran mata pelajaran TIK</v>
      </c>
      <c r="Q98" s="5"/>
      <c r="R98" s="11" t="str">
        <f>IFERROR(__xludf.DUMMYFUNCTION("""COMPUTED_VALUE"""),"https://drive.google.com/drive/folders/1mnSHPVEjQdxRANgN3JMjVU82XqtfeJhp?usp=sharing")</f>
        <v>https://drive.google.com/drive/folders/1mnSHPVEjQdxRANgN3JMjVU82XqtfeJhp?usp=sharing</v>
      </c>
      <c r="S98" s="11" t="str">
        <f>IFERROR(__xludf.DUMMYFUNCTION("""COMPUTED_VALUE"""),"https://drive.google.com/file/d/16iPyUf7iTQQhSLQ91kRa-Q5r3R0NU1Zz/view?usp=drive_link")</f>
        <v>https://drive.google.com/file/d/16iPyUf7iTQQhSLQ91kRa-Q5r3R0NU1Zz/view?usp=drive_link</v>
      </c>
      <c r="T98" s="5" t="str">
        <f>IFERROR(__xludf.DUMMYFUNCTION("""COMPUTED_VALUE"""),"Lainnya")</f>
        <v>Lainnya</v>
      </c>
      <c r="U98" s="5"/>
      <c r="V98" s="5"/>
      <c r="W98" s="5"/>
      <c r="X98" s="5"/>
      <c r="Y98" s="5"/>
      <c r="Z98" s="5"/>
      <c r="AA98" s="5"/>
      <c r="AB98" s="5"/>
    </row>
    <row r="99" hidden="1">
      <c r="A99" s="4">
        <f>IFERROR(__xludf.DUMMYFUNCTION("""COMPUTED_VALUE"""),46236.86769559028)</f>
        <v>46236.8677</v>
      </c>
      <c r="B99" s="5" t="str">
        <f>IFERROR(__xludf.DUMMYFUNCTION("""COMPUTED_VALUE"""),"tompraks@gmail.com")</f>
        <v>tompraks@gmail.com</v>
      </c>
      <c r="C99" s="5" t="str">
        <f>IFERROR(__xludf.DUMMYFUNCTION("""COMPUTED_VALUE"""),"Cahyo Tomi Prakoso, S.Pd., Gr.")</f>
        <v>Cahyo Tomi Prakoso, S.Pd., Gr.</v>
      </c>
      <c r="D99" s="5">
        <f>IFERROR(__xludf.DUMMYFUNCTION("""COMPUTED_VALUE"""),2.02100016013E11)</f>
        <v>202100016013</v>
      </c>
      <c r="E99" s="5" t="str">
        <f>IFERROR(__xludf.DUMMYFUNCTION("""COMPUTED_VALUE"""),"08993882246")</f>
        <v>08993882246</v>
      </c>
      <c r="F99" s="7">
        <f>IFERROR(__xludf.DUMMYFUNCTION("""COMPUTED_VALUE"""),35562.0)</f>
        <v>35562</v>
      </c>
      <c r="G99" s="5" t="str">
        <f>IFERROR(__xludf.DUMMYFUNCTION("""COMPUTED_VALUE"""),"Pendidikan Bahasa Inggris")</f>
        <v>Pendidikan Bahasa Inggris</v>
      </c>
      <c r="H99" s="5" t="str">
        <f>IFERROR(__xludf.DUMMYFUNCTION("""COMPUTED_VALUE"""),"Universitas Negeri Yogyakarta")</f>
        <v>Universitas Negeri Yogyakarta</v>
      </c>
      <c r="I99" s="5" t="str">
        <f>IFERROR(__xludf.DUMMYFUNCTION("""COMPUTED_VALUE"""),"Bahasa Inggris")</f>
        <v>Bahasa Inggris</v>
      </c>
      <c r="J99" s="5" t="str">
        <f>IFERROR(__xludf.DUMMYFUNCTION("""COMPUTED_VALUE"""),"Lainnya")</f>
        <v>Lainnya</v>
      </c>
      <c r="K99" s="5">
        <f>IFERROR(__xludf.DUMMYFUNCTION("""COMPUTED_VALUE"""),2025.0)</f>
        <v>2025</v>
      </c>
      <c r="L99" s="8" t="str">
        <f>IFERROR(__xludf.DUMMYFUNCTION("""COMPUTED_VALUE"""),"3.37")</f>
        <v>3.37</v>
      </c>
      <c r="M99" s="5" t="str">
        <f>IFERROR(__xludf.DUMMYFUNCTION("""COMPUTED_VALUE"""),"3.31")</f>
        <v>3.31</v>
      </c>
      <c r="N99" s="5" t="str">
        <f>IFERROR(__xludf.DUMMYFUNCTION("""COMPUTED_VALUE"""),"OKU Timur, Sumatera Selatan ")</f>
        <v>OKU Timur, Sumatera Selatan </v>
      </c>
      <c r="O99" s="5" t="str">
        <f>IFERROR(__xludf.DUMMYFUNCTION("""COMPUTED_VALUE"""),"Tidak")</f>
        <v>Tidak</v>
      </c>
      <c r="P99" s="5" t="str">
        <f>IFERROR(__xludf.DUMMYFUNCTION("""COMPUTED_VALUE"""),"Kabupaten Jepara - Tenaga pendampingan pembelajaran mata Pelajaran Bahasa Inggris")</f>
        <v>Kabupaten Jepara - Tenaga pendampingan pembelajaran mata Pelajaran Bahasa Inggris</v>
      </c>
      <c r="Q99" s="5"/>
      <c r="R99" s="11" t="str">
        <f>IFERROR(__xludf.DUMMYFUNCTION("""COMPUTED_VALUE"""),"https://drive.google.com/drive/folders/1Jo5cOOJOGSkcnrln3SZE_oV49sGq04i6?usp=drive_link")</f>
        <v>https://drive.google.com/drive/folders/1Jo5cOOJOGSkcnrln3SZE_oV49sGq04i6?usp=drive_link</v>
      </c>
      <c r="S99" s="5" t="str">
        <f>IFERROR(__xludf.DUMMYFUNCTION("""COMPUTED_VALUE"""),"Link video utuh: https://drive.google.com/file/d/1hJZR1L1EfV2_QwLe63GQkuq7F1y_SEjQ/view?usp=drivesdk Link Video potong: https://drive.google.com/file/d/1pC-5PPO96WmgmPD63ulKwXOSpWLxgzJw/view?usp=drivesdk")</f>
        <v>Link video utuh: https://drive.google.com/file/d/1hJZR1L1EfV2_QwLe63GQkuq7F1y_SEjQ/view?usp=drivesdk Link Video potong: https://drive.google.com/file/d/1pC-5PPO96WmgmPD63ulKwXOSpWLxgzJw/view?usp=drivesdk</v>
      </c>
      <c r="T99" s="5" t="str">
        <f>IFERROR(__xludf.DUMMYFUNCTION("""COMPUTED_VALUE"""),"Lainnya")</f>
        <v>Lainnya</v>
      </c>
      <c r="U99" s="5"/>
      <c r="V99" s="5"/>
      <c r="W99" s="5"/>
      <c r="X99" s="5"/>
      <c r="Y99" s="5"/>
      <c r="Z99" s="5"/>
      <c r="AA99" s="5"/>
      <c r="AB99" s="5"/>
    </row>
    <row r="100" hidden="1">
      <c r="A100" s="4">
        <f>IFERROR(__xludf.DUMMYFUNCTION("""COMPUTED_VALUE"""),46237.32158684028)</f>
        <v>46237.32159</v>
      </c>
      <c r="B100" s="5" t="str">
        <f>IFERROR(__xludf.DUMMYFUNCTION("""COMPUTED_VALUE"""),"nurulkhairunnisa12@gmail.com")</f>
        <v>nurulkhairunnisa12@gmail.com</v>
      </c>
      <c r="C100" s="5" t="str">
        <f>IFERROR(__xludf.DUMMYFUNCTION("""COMPUTED_VALUE"""),"Nurul Khairunnisa, S.Pd.")</f>
        <v>Nurul Khairunnisa, S.Pd.</v>
      </c>
      <c r="D100" s="5">
        <f>IFERROR(__xludf.DUMMYFUNCTION("""COMPUTED_VALUE"""),7.000229496E9)</f>
        <v>7000229496</v>
      </c>
      <c r="E100" s="5" t="str">
        <f>IFERROR(__xludf.DUMMYFUNCTION("""COMPUTED_VALUE"""),"085154982120")</f>
        <v>085154982120</v>
      </c>
      <c r="F100" s="7">
        <f>IFERROR(__xludf.DUMMYFUNCTION("""COMPUTED_VALUE"""),36023.0)</f>
        <v>36023</v>
      </c>
      <c r="G100" s="5" t="str">
        <f>IFERROR(__xludf.DUMMYFUNCTION("""COMPUTED_VALUE"""),"Pendidikan bahasa Inggris ")</f>
        <v>Pendidikan bahasa Inggris </v>
      </c>
      <c r="H100" s="5" t="str">
        <f>IFERROR(__xludf.DUMMYFUNCTION("""COMPUTED_VALUE"""),"IAIN Parepare ")</f>
        <v>IAIN Parepare </v>
      </c>
      <c r="I100" s="5" t="str">
        <f>IFERROR(__xludf.DUMMYFUNCTION("""COMPUTED_VALUE"""),"Bahasa Inggris")</f>
        <v>Bahasa Inggris</v>
      </c>
      <c r="J100" s="5" t="str">
        <f>IFERROR(__xludf.DUMMYFUNCTION("""COMPUTED_VALUE"""),"PPG Calon Guru Gelombang 2 Tahun 2024")</f>
        <v>PPG Calon Guru Gelombang 2 Tahun 2024</v>
      </c>
      <c r="K100" s="5">
        <f>IFERROR(__xludf.DUMMYFUNCTION("""COMPUTED_VALUE"""),2025.0)</f>
        <v>2025</v>
      </c>
      <c r="L100" s="8" t="str">
        <f>IFERROR(__xludf.DUMMYFUNCTION("""COMPUTED_VALUE"""),"3.54")</f>
        <v>3.54</v>
      </c>
      <c r="M100" s="5" t="str">
        <f>IFERROR(__xludf.DUMMYFUNCTION("""COMPUTED_VALUE"""),"4.00")</f>
        <v>4.00</v>
      </c>
      <c r="N100" s="5" t="str">
        <f>IFERROR(__xludf.DUMMYFUNCTION("""COMPUTED_VALUE"""),"Kota palu, Sulawesi Tengah ")</f>
        <v>Kota palu, Sulawesi Tengah </v>
      </c>
      <c r="O100" s="5" t="str">
        <f>IFERROR(__xludf.DUMMYFUNCTION("""COMPUTED_VALUE"""),"Tidak")</f>
        <v>Tidak</v>
      </c>
      <c r="P100" s="5" t="str">
        <f>IFERROR(__xludf.DUMMYFUNCTION("""COMPUTED_VALUE"""),"Kabupaten Buton Tengah - Tenaga pendampingan pembelajaran mata Pelajaran Bahasa Inggris")</f>
        <v>Kabupaten Buton Tengah - Tenaga pendampingan pembelajaran mata Pelajaran Bahasa Inggris</v>
      </c>
      <c r="Q100" s="5"/>
      <c r="R100" s="5" t="str">
        <f>IFERROR(__xludf.DUMMYFUNCTION("""COMPUTED_VALUE"""),"-")</f>
        <v>-</v>
      </c>
      <c r="S100" s="11" t="str">
        <f>IFERROR(__xludf.DUMMYFUNCTION("""COMPUTED_VALUE"""),"https://drive.google.com/file/d/1W9Fy8z1hWSMDv7tcpLGtmPPvb85l4l67/view?usp=drivesdk")</f>
        <v>https://drive.google.com/file/d/1W9Fy8z1hWSMDv7tcpLGtmPPvb85l4l67/view?usp=drivesdk</v>
      </c>
      <c r="T100" s="5" t="str">
        <f>IFERROR(__xludf.DUMMYFUNCTION("""COMPUTED_VALUE"""),"Lainnya")</f>
        <v>Lainnya</v>
      </c>
      <c r="U100" s="5"/>
      <c r="V100" s="5"/>
      <c r="W100" s="5"/>
      <c r="X100" s="5"/>
      <c r="Y100" s="5"/>
      <c r="Z100" s="5"/>
      <c r="AA100" s="5"/>
      <c r="AB100" s="5"/>
    </row>
    <row r="101" hidden="1">
      <c r="A101" s="4">
        <f>IFERROR(__xludf.DUMMYFUNCTION("""COMPUTED_VALUE"""),46237.453292997685)</f>
        <v>46237.45329</v>
      </c>
      <c r="B101" s="5" t="str">
        <f>IFERROR(__xludf.DUMMYFUNCTION("""COMPUTED_VALUE"""),"riskaapriliamarsya147@gmail.com")</f>
        <v>riskaapriliamarsya147@gmail.com</v>
      </c>
      <c r="C101" s="5" t="str">
        <f>IFERROR(__xludf.DUMMYFUNCTION("""COMPUTED_VALUE"""),"Riska Aprilia")</f>
        <v>Riska Aprilia</v>
      </c>
      <c r="D101" s="5">
        <f>IFERROR(__xludf.DUMMYFUNCTION("""COMPUTED_VALUE"""),7.00024622E9)</f>
        <v>7000246220</v>
      </c>
      <c r="E101" s="5" t="str">
        <f>IFERROR(__xludf.DUMMYFUNCTION("""COMPUTED_VALUE"""),"085928110009")</f>
        <v>085928110009</v>
      </c>
      <c r="F101" s="7">
        <f>IFERROR(__xludf.DUMMYFUNCTION("""COMPUTED_VALUE"""),36982.0)</f>
        <v>36982</v>
      </c>
      <c r="G101" s="5" t="str">
        <f>IFERROR(__xludf.DUMMYFUNCTION("""COMPUTED_VALUE"""),"Pendidikan teknologi informasi ")</f>
        <v>Pendidikan teknologi informasi </v>
      </c>
      <c r="H101" s="5" t="str">
        <f>IFERROR(__xludf.DUMMYFUNCTION("""COMPUTED_VALUE"""),"Universitas muhammadiyah kendari")</f>
        <v>Universitas muhammadiyah kendari</v>
      </c>
      <c r="I101" s="5" t="str">
        <f>IFERROR(__xludf.DUMMYFUNCTION("""COMPUTED_VALUE"""),"Informatika")</f>
        <v>Informatika</v>
      </c>
      <c r="J101" s="5" t="str">
        <f>IFERROR(__xludf.DUMMYFUNCTION("""COMPUTED_VALUE"""),"PPG Calon Guru Gelombang 2 Tahun 2024")</f>
        <v>PPG Calon Guru Gelombang 2 Tahun 2024</v>
      </c>
      <c r="K101" s="5">
        <f>IFERROR(__xludf.DUMMYFUNCTION("""COMPUTED_VALUE"""),2025.0)</f>
        <v>2025</v>
      </c>
      <c r="L101" s="8" t="str">
        <f>IFERROR(__xludf.DUMMYFUNCTION("""COMPUTED_VALUE"""),"3,33")</f>
        <v>3,33</v>
      </c>
      <c r="M101" s="5" t="str">
        <f>IFERROR(__xludf.DUMMYFUNCTION("""COMPUTED_VALUE"""),"3,96")</f>
        <v>3,96</v>
      </c>
      <c r="N101" s="5" t="str">
        <f>IFERROR(__xludf.DUMMYFUNCTION("""COMPUTED_VALUE"""),"Kota Kendari ")</f>
        <v>Kota Kendari </v>
      </c>
      <c r="O101" s="5" t="str">
        <f>IFERROR(__xludf.DUMMYFUNCTION("""COMPUTED_VALUE"""),"Tidak")</f>
        <v>Tidak</v>
      </c>
      <c r="P101" s="5" t="str">
        <f>IFERROR(__xludf.DUMMYFUNCTION("""COMPUTED_VALUE"""),"Kabupaten Buton Tengah - Tenaga pendampingan pembelajaran mata pelajaran TIK")</f>
        <v>Kabupaten Buton Tengah - Tenaga pendampingan pembelajaran mata pelajaran TIK</v>
      </c>
      <c r="Q101" s="5"/>
      <c r="R101" s="5" t="str">
        <f>IFERROR(__xludf.DUMMYFUNCTION("""COMPUTED_VALUE"""),"-")</f>
        <v>-</v>
      </c>
      <c r="S101" s="11" t="str">
        <f>IFERROR(__xludf.DUMMYFUNCTION("""COMPUTED_VALUE"""),"https://drive.google.com/file/d/1-SETGpp9B0XD1g83-CBJArNMGexKzuCJ/view?usp=drivesdk")</f>
        <v>https://drive.google.com/file/d/1-SETGpp9B0XD1g83-CBJArNMGexKzuCJ/view?usp=drivesdk</v>
      </c>
      <c r="T101" s="5" t="str">
        <f>IFERROR(__xludf.DUMMYFUNCTION("""COMPUTED_VALUE"""),"Lainnya")</f>
        <v>Lainnya</v>
      </c>
      <c r="U101" s="5"/>
      <c r="V101" s="5"/>
      <c r="W101" s="5"/>
      <c r="X101" s="5"/>
      <c r="Y101" s="5"/>
      <c r="Z101" s="5"/>
      <c r="AA101" s="5"/>
      <c r="AB101" s="5"/>
    </row>
    <row r="102" hidden="1">
      <c r="A102" s="4">
        <f>IFERROR(__xludf.DUMMYFUNCTION("""COMPUTED_VALUE"""),46237.48001119213)</f>
        <v>46237.48001</v>
      </c>
      <c r="B102" s="5" t="str">
        <f>IFERROR(__xludf.DUMMYFUNCTION("""COMPUTED_VALUE"""),"endahrahma60@gmail.com")</f>
        <v>endahrahma60@gmail.com</v>
      </c>
      <c r="C102" s="5" t="str">
        <f>IFERROR(__xludf.DUMMYFUNCTION("""COMPUTED_VALUE"""),"ENDAH EKA HANDAYANI, S.S., Gr. ")</f>
        <v>ENDAH EKA HANDAYANI, S.S., Gr. </v>
      </c>
      <c r="D102" s="5">
        <f>IFERROR(__xludf.DUMMYFUNCTION("""COMPUTED_VALUE"""),7.000301278E9)</f>
        <v>7000301278</v>
      </c>
      <c r="E102" s="5" t="str">
        <f>IFERROR(__xludf.DUMMYFUNCTION("""COMPUTED_VALUE"""),"082314829012")</f>
        <v>082314829012</v>
      </c>
      <c r="F102" s="7">
        <f>IFERROR(__xludf.DUMMYFUNCTION("""COMPUTED_VALUE"""),35303.0)</f>
        <v>35303</v>
      </c>
      <c r="G102" s="5" t="str">
        <f>IFERROR(__xludf.DUMMYFUNCTION("""COMPUTED_VALUE"""),"Bahasa Inggris")</f>
        <v>Bahasa Inggris</v>
      </c>
      <c r="H102" s="5" t="str">
        <f>IFERROR(__xludf.DUMMYFUNCTION("""COMPUTED_VALUE"""),"Universitas Negeri Semarang")</f>
        <v>Universitas Negeri Semarang</v>
      </c>
      <c r="I102" s="5" t="str">
        <f>IFERROR(__xludf.DUMMYFUNCTION("""COMPUTED_VALUE"""),"Bahasa Inggris")</f>
        <v>Bahasa Inggris</v>
      </c>
      <c r="J102" s="5" t="str">
        <f>IFERROR(__xludf.DUMMYFUNCTION("""COMPUTED_VALUE"""),"PPG Calon Guru Gelombang 2 Tahun 2024")</f>
        <v>PPG Calon Guru Gelombang 2 Tahun 2024</v>
      </c>
      <c r="K102" s="5">
        <f>IFERROR(__xludf.DUMMYFUNCTION("""COMPUTED_VALUE"""),2025.0)</f>
        <v>2025</v>
      </c>
      <c r="L102" s="8" t="str">
        <f>IFERROR(__xludf.DUMMYFUNCTION("""COMPUTED_VALUE"""),"3.54")</f>
        <v>3.54</v>
      </c>
      <c r="M102" s="5" t="str">
        <f>IFERROR(__xludf.DUMMYFUNCTION("""COMPUTED_VALUE"""),"3.96")</f>
        <v>3.96</v>
      </c>
      <c r="N102" s="5" t="str">
        <f>IFERROR(__xludf.DUMMYFUNCTION("""COMPUTED_VALUE"""),"Kabupaten Tulang Bawang, Lampung")</f>
        <v>Kabupaten Tulang Bawang, Lampung</v>
      </c>
      <c r="O102" s="5" t="str">
        <f>IFERROR(__xludf.DUMMYFUNCTION("""COMPUTED_VALUE"""),"Tidak")</f>
        <v>Tidak</v>
      </c>
      <c r="P102" s="5" t="str">
        <f>IFERROR(__xludf.DUMMYFUNCTION("""COMPUTED_VALUE"""),"Kabupaten Jepara - Tenaga pendampingan pembelajaran mata Pelajaran Bahasa Inggris")</f>
        <v>Kabupaten Jepara - Tenaga pendampingan pembelajaran mata Pelajaran Bahasa Inggris</v>
      </c>
      <c r="Q102" s="5"/>
      <c r="R102" s="11" t="str">
        <f>IFERROR(__xludf.DUMMYFUNCTION("""COMPUTED_VALUE"""),"https://drive.google.com/drive/folders/1UYBeT19vfcK88TXH2vxKfNkkOJm3Yxon?usp=sharing")</f>
        <v>https://drive.google.com/drive/folders/1UYBeT19vfcK88TXH2vxKfNkkOJm3Yxon?usp=sharing</v>
      </c>
      <c r="S102" s="11" t="str">
        <f>IFERROR(__xludf.DUMMYFUNCTION("""COMPUTED_VALUE"""),"https://drive.google.com/file/d/1g0DJjf0-Ir1o_hN675z6JetJWDctZMtK/view?usp=drive_link")</f>
        <v>https://drive.google.com/file/d/1g0DJjf0-Ir1o_hN675z6JetJWDctZMtK/view?usp=drive_link</v>
      </c>
      <c r="T102" s="5" t="str">
        <f>IFERROR(__xludf.DUMMYFUNCTION("""COMPUTED_VALUE"""),"Lainnya")</f>
        <v>Lainnya</v>
      </c>
      <c r="U102" s="5"/>
      <c r="V102" s="5"/>
      <c r="W102" s="5"/>
      <c r="X102" s="5"/>
      <c r="Y102" s="5"/>
      <c r="Z102" s="5"/>
      <c r="AA102" s="5"/>
      <c r="AB102" s="5"/>
    </row>
    <row r="103" hidden="1">
      <c r="A103" s="4">
        <f>IFERROR(__xludf.DUMMYFUNCTION("""COMPUTED_VALUE"""),46237.60026357639)</f>
        <v>46237.60026</v>
      </c>
      <c r="B103" s="5" t="str">
        <f>IFERROR(__xludf.DUMMYFUNCTION("""COMPUTED_VALUE"""),"monicaokta228@gmail.com")</f>
        <v>monicaokta228@gmail.com</v>
      </c>
      <c r="C103" s="5" t="str">
        <f>IFERROR(__xludf.DUMMYFUNCTION("""COMPUTED_VALUE"""),"Monica Synthia Oktaviani,S.Pd")</f>
        <v>Monica Synthia Oktaviani,S.Pd</v>
      </c>
      <c r="D103" s="5">
        <f>IFERROR(__xludf.DUMMYFUNCTION("""COMPUTED_VALUE"""),7.000151681E9)</f>
        <v>7000151681</v>
      </c>
      <c r="E103" s="5" t="str">
        <f>IFERROR(__xludf.DUMMYFUNCTION("""COMPUTED_VALUE"""),"081252164744")</f>
        <v>081252164744</v>
      </c>
      <c r="F103" s="7">
        <f>IFERROR(__xludf.DUMMYFUNCTION("""COMPUTED_VALUE"""),36813.0)</f>
        <v>36813</v>
      </c>
      <c r="G103" s="5" t="str">
        <f>IFERROR(__xludf.DUMMYFUNCTION("""COMPUTED_VALUE"""),"S-1 PGSD")</f>
        <v>S-1 PGSD</v>
      </c>
      <c r="H103" s="5" t="str">
        <f>IFERROR(__xludf.DUMMYFUNCTION("""COMPUTED_VALUE"""),"Universitas Kristen Satya Wacana")</f>
        <v>Universitas Kristen Satya Wacana</v>
      </c>
      <c r="I103" s="5" t="str">
        <f>IFERROR(__xludf.DUMMYFUNCTION("""COMPUTED_VALUE"""),"Pendidikan Guru Sekolah Dasar (PGSD)")</f>
        <v>Pendidikan Guru Sekolah Dasar (PGSD)</v>
      </c>
      <c r="J103" s="5" t="str">
        <f>IFERROR(__xludf.DUMMYFUNCTION("""COMPUTED_VALUE"""),"PPG Prajabatan Gelombang 1 Tahun 2023")</f>
        <v>PPG Prajabatan Gelombang 1 Tahun 2023</v>
      </c>
      <c r="K103" s="5">
        <f>IFERROR(__xludf.DUMMYFUNCTION("""COMPUTED_VALUE"""),2023.0)</f>
        <v>2023</v>
      </c>
      <c r="L103" s="8" t="str">
        <f>IFERROR(__xludf.DUMMYFUNCTION("""COMPUTED_VALUE"""),"3.68")</f>
        <v>3.68</v>
      </c>
      <c r="M103" s="5" t="str">
        <f>IFERROR(__xludf.DUMMYFUNCTION("""COMPUTED_VALUE"""),"-")</f>
        <v>-</v>
      </c>
      <c r="N103" s="5" t="str">
        <f>IFERROR(__xludf.DUMMYFUNCTION("""COMPUTED_VALUE"""),"Kota Blora, Jawa Tengah ")</f>
        <v>Kota Blora, Jawa Tengah </v>
      </c>
      <c r="O103" s="5" t="str">
        <f>IFERROR(__xludf.DUMMYFUNCTION("""COMPUTED_VALUE"""),"Tidak")</f>
        <v>Tidak</v>
      </c>
      <c r="P103" s="5" t="str">
        <f>IFERROR(__xludf.DUMMYFUNCTION("""COMPUTED_VALUE"""),"Kabupeten Jepara - Tenaga pendampingan pembelajaran mata pelajaran Pendidikan Agama Kristen")</f>
        <v>Kabupeten Jepara - Tenaga pendampingan pembelajaran mata pelajaran Pendidikan Agama Kristen</v>
      </c>
      <c r="Q103" s="5"/>
      <c r="R103" s="11" t="str">
        <f>IFERROR(__xludf.DUMMYFUNCTION("""COMPUTED_VALUE"""),"https://drive.google.com/drive/folders/1LTWCeJsS3uOTO0e7hqMI7AzpaE9Twr0Q ")</f>
        <v>https://drive.google.com/drive/folders/1LTWCeJsS3uOTO0e7hqMI7AzpaE9Twr0Q </v>
      </c>
      <c r="S103" s="11" t="str">
        <f>IFERROR(__xludf.DUMMYFUNCTION("""COMPUTED_VALUE"""),"https://youtu.be/O5RQVJUPqL4?feature=shared")</f>
        <v>https://youtu.be/O5RQVJUPqL4?feature=shared</v>
      </c>
      <c r="T103" s="5" t="str">
        <f>IFERROR(__xludf.DUMMYFUNCTION("""COMPUTED_VALUE"""),"Lainnya")</f>
        <v>Lainnya</v>
      </c>
      <c r="U103" s="5"/>
      <c r="V103" s="5"/>
      <c r="W103" s="5"/>
      <c r="X103" s="5"/>
      <c r="Y103" s="5"/>
      <c r="Z103" s="5"/>
      <c r="AA103" s="5"/>
      <c r="AB103" s="5"/>
    </row>
    <row r="104" hidden="1">
      <c r="A104" s="4">
        <f>IFERROR(__xludf.DUMMYFUNCTION("""COMPUTED_VALUE"""),46237.668844074076)</f>
        <v>46237.66884</v>
      </c>
      <c r="B104" s="5" t="str">
        <f>IFERROR(__xludf.DUMMYFUNCTION("""COMPUTED_VALUE"""),"nurulftha11@gmail.com")</f>
        <v>nurulftha11@gmail.com</v>
      </c>
      <c r="C104" s="5" t="str">
        <f>IFERROR(__xludf.DUMMYFUNCTION("""COMPUTED_VALUE"""),"Nurul Fatha, S.S.")</f>
        <v>Nurul Fatha, S.S.</v>
      </c>
      <c r="D104" s="5">
        <f>IFERROR(__xludf.DUMMYFUNCTION("""COMPUTED_VALUE"""),7.00031931E9)</f>
        <v>7000319310</v>
      </c>
      <c r="E104" s="5" t="str">
        <f>IFERROR(__xludf.DUMMYFUNCTION("""COMPUTED_VALUE"""),"085954307048")</f>
        <v>085954307048</v>
      </c>
      <c r="F104" s="7">
        <f>IFERROR(__xludf.DUMMYFUNCTION("""COMPUTED_VALUE"""),37171.0)</f>
        <v>37171</v>
      </c>
      <c r="G104" s="5" t="str">
        <f>IFERROR(__xludf.DUMMYFUNCTION("""COMPUTED_VALUE"""),"Sastra Inggris")</f>
        <v>Sastra Inggris</v>
      </c>
      <c r="H104" s="5" t="str">
        <f>IFERROR(__xludf.DUMMYFUNCTION("""COMPUTED_VALUE"""),"Universitas Muhammadiyah Gorontalo ")</f>
        <v>Universitas Muhammadiyah Gorontalo </v>
      </c>
      <c r="I104" s="5" t="str">
        <f>IFERROR(__xludf.DUMMYFUNCTION("""COMPUTED_VALUE"""),"Bahasa Inggris")</f>
        <v>Bahasa Inggris</v>
      </c>
      <c r="J104" s="5" t="str">
        <f>IFERROR(__xludf.DUMMYFUNCTION("""COMPUTED_VALUE"""),"PPG Calon Guru Gelombang 2 Tahun 2024")</f>
        <v>PPG Calon Guru Gelombang 2 Tahun 2024</v>
      </c>
      <c r="K104" s="5">
        <f>IFERROR(__xludf.DUMMYFUNCTION("""COMPUTED_VALUE"""),2025.0)</f>
        <v>2025</v>
      </c>
      <c r="L104" s="8" t="str">
        <f>IFERROR(__xludf.DUMMYFUNCTION("""COMPUTED_VALUE"""),"3.82")</f>
        <v>3.82</v>
      </c>
      <c r="M104" s="5" t="str">
        <f>IFERROR(__xludf.DUMMYFUNCTION("""COMPUTED_VALUE"""),"3.95")</f>
        <v>3.95</v>
      </c>
      <c r="N104" s="5" t="str">
        <f>IFERROR(__xludf.DUMMYFUNCTION("""COMPUTED_VALUE"""),"Kota Gorontalo, Provinsi Gorontalo")</f>
        <v>Kota Gorontalo, Provinsi Gorontalo</v>
      </c>
      <c r="O104" s="5" t="str">
        <f>IFERROR(__xludf.DUMMYFUNCTION("""COMPUTED_VALUE"""),"Tidak")</f>
        <v>Tidak</v>
      </c>
      <c r="P104" s="5" t="str">
        <f>IFERROR(__xludf.DUMMYFUNCTION("""COMPUTED_VALUE"""),"Kabupaten Buton Tengah - Tenaga pendampingan pembelajaran mata Pelajaran Bahasa Inggris")</f>
        <v>Kabupaten Buton Tengah - Tenaga pendampingan pembelajaran mata Pelajaran Bahasa Inggris</v>
      </c>
      <c r="Q104" s="5"/>
      <c r="R104" s="5" t="str">
        <f>IFERROR(__xludf.DUMMYFUNCTION("""COMPUTED_VALUE"""),"-")</f>
        <v>-</v>
      </c>
      <c r="S104" s="11" t="str">
        <f>IFERROR(__xludf.DUMMYFUNCTION("""COMPUTED_VALUE"""),"https://drive.google.com/file/d/1oidTQvbYYr9E_r5QpJQ4_ChE2QZYGqwu/view?usp=drivesdk")</f>
        <v>https://drive.google.com/file/d/1oidTQvbYYr9E_r5QpJQ4_ChE2QZYGqwu/view?usp=drivesdk</v>
      </c>
      <c r="T104" s="5" t="str">
        <f>IFERROR(__xludf.DUMMYFUNCTION("""COMPUTED_VALUE"""),"Alumni S1 FKIP UNS yang telah lulus PPG Calon Guru/Prajabatan bukan di FKIP UNS")</f>
        <v>Alumni S1 FKIP UNS yang telah lulus PPG Calon Guru/Prajabatan bukan di FKIP UNS</v>
      </c>
      <c r="U104" s="5"/>
      <c r="V104" s="5" t="str">
        <f>IFERROR(__xludf.DUMMYFUNCTION("""COMPUTED_VALUE"""),"E02419007")</f>
        <v>E02419007</v>
      </c>
      <c r="W104" s="5" t="str">
        <f>IFERROR(__xludf.DUMMYFUNCTION("""COMPUTED_VALUE"""),"Sastra Inggris")</f>
        <v>Sastra Inggris</v>
      </c>
      <c r="X104" s="5" t="str">
        <f>IFERROR(__xludf.DUMMYFUNCTION("""COMPUTED_VALUE"""),"Universitas Negeri Gorontalo")</f>
        <v>Universitas Negeri Gorontalo</v>
      </c>
      <c r="Y104" s="5" t="str">
        <f>IFERROR(__xludf.DUMMYFUNCTION("""COMPUTED_VALUE"""),"121172410111")</f>
        <v>121172410111</v>
      </c>
      <c r="Z104" s="5"/>
      <c r="AA104" s="5"/>
      <c r="AB104" s="5"/>
    </row>
    <row r="105" hidden="1">
      <c r="A105" s="4">
        <f>IFERROR(__xludf.DUMMYFUNCTION("""COMPUTED_VALUE"""),46237.74556886574)</f>
        <v>46237.74557</v>
      </c>
      <c r="B105" s="5" t="str">
        <f>IFERROR(__xludf.DUMMYFUNCTION("""COMPUTED_VALUE"""),"putridindameuraintan949@gmail.com")</f>
        <v>putridindameuraintan949@gmail.com</v>
      </c>
      <c r="C105" s="5" t="str">
        <f>IFERROR(__xludf.DUMMYFUNCTION("""COMPUTED_VALUE"""),"Putri dinda meura intan")</f>
        <v>Putri dinda meura intan</v>
      </c>
      <c r="D105" s="5">
        <f>IFERROR(__xludf.DUMMYFUNCTION("""COMPUTED_VALUE"""),2.02200237187E11)</f>
        <v>202200237187</v>
      </c>
      <c r="E105" s="5" t="str">
        <f>IFERROR(__xludf.DUMMYFUNCTION("""COMPUTED_VALUE"""),"081346229762")</f>
        <v>081346229762</v>
      </c>
      <c r="F105" s="7">
        <f>IFERROR(__xludf.DUMMYFUNCTION("""COMPUTED_VALUE"""),36798.0)</f>
        <v>36798</v>
      </c>
      <c r="G105" s="5" t="str">
        <f>IFERROR(__xludf.DUMMYFUNCTION("""COMPUTED_VALUE"""),"Manajemen pendidikan islam")</f>
        <v>Manajemen pendidikan islam</v>
      </c>
      <c r="H105" s="5" t="str">
        <f>IFERROR(__xludf.DUMMYFUNCTION("""COMPUTED_VALUE"""),"Universitas islam negeri datokarama palu")</f>
        <v>Universitas islam negeri datokarama palu</v>
      </c>
      <c r="I105" s="5" t="str">
        <f>IFERROR(__xludf.DUMMYFUNCTION("""COMPUTED_VALUE"""),"Pendidikan Guru Sekolah Dasar (PGSD)")</f>
        <v>Pendidikan Guru Sekolah Dasar (PGSD)</v>
      </c>
      <c r="J105" s="5" t="str">
        <f>IFERROR(__xludf.DUMMYFUNCTION("""COMPUTED_VALUE"""),"Lainnya")</f>
        <v>Lainnya</v>
      </c>
      <c r="K105" s="5">
        <f>IFERROR(__xludf.DUMMYFUNCTION("""COMPUTED_VALUE"""),2026.0)</f>
        <v>2026</v>
      </c>
      <c r="L105" s="8" t="str">
        <f>IFERROR(__xludf.DUMMYFUNCTION("""COMPUTED_VALUE"""),"3.78")</f>
        <v>3.78</v>
      </c>
      <c r="M105" s="5" t="str">
        <f>IFERROR(__xludf.DUMMYFUNCTION("""COMPUTED_VALUE"""),"3.80")</f>
        <v>3.80</v>
      </c>
      <c r="N105" s="5" t="str">
        <f>IFERROR(__xludf.DUMMYFUNCTION("""COMPUTED_VALUE"""),"Kota palu, sulawesi tengah")</f>
        <v>Kota palu, sulawesi tengah</v>
      </c>
      <c r="O105" s="5" t="str">
        <f>IFERROR(__xludf.DUMMYFUNCTION("""COMPUTED_VALUE"""),"Tidak")</f>
        <v>Tidak</v>
      </c>
      <c r="P105" s="5" t="str">
        <f>IFERROR(__xludf.DUMMYFUNCTION("""COMPUTED_VALUE"""),"Kabupaten Buton Tengah - Tenaga pendampingan pembelajaran mata pelajaran Pendidikan Agama Islam")</f>
        <v>Kabupaten Buton Tengah - Tenaga pendampingan pembelajaran mata pelajaran Pendidikan Agama Islam</v>
      </c>
      <c r="Q105" s="5"/>
      <c r="R105" s="5" t="str">
        <f>IFERROR(__xludf.DUMMYFUNCTION("""COMPUTED_VALUE"""),"-")</f>
        <v>-</v>
      </c>
      <c r="S105" s="11" t="str">
        <f>IFERROR(__xludf.DUMMYFUNCTION("""COMPUTED_VALUE"""),"https://drive.google.com/file/d/1LqTRWW3H2LxmnAH_IaS6gp1Fb_Cf23vf/view?usp=drivesdk")</f>
        <v>https://drive.google.com/file/d/1LqTRWW3H2LxmnAH_IaS6gp1Fb_Cf23vf/view?usp=drivesdk</v>
      </c>
      <c r="T105" s="5" t="str">
        <f>IFERROR(__xludf.DUMMYFUNCTION("""COMPUTED_VALUE"""),"Lainnya")</f>
        <v>Lainnya</v>
      </c>
      <c r="U105" s="5"/>
      <c r="V105" s="5"/>
      <c r="W105" s="5"/>
      <c r="X105" s="5"/>
      <c r="Y105" s="5"/>
      <c r="Z105" s="5"/>
      <c r="AA105" s="5"/>
      <c r="AB105" s="5"/>
    </row>
    <row r="106" hidden="1">
      <c r="A106" s="4">
        <f>IFERROR(__xludf.DUMMYFUNCTION("""COMPUTED_VALUE"""),46238.34422318287)</f>
        <v>46238.34422</v>
      </c>
      <c r="B106" s="5" t="str">
        <f>IFERROR(__xludf.DUMMYFUNCTION("""COMPUTED_VALUE"""),"muhammadghozali217@gmail.com")</f>
        <v>muhammadghozali217@gmail.com</v>
      </c>
      <c r="C106" s="5" t="str">
        <f>IFERROR(__xludf.DUMMYFUNCTION("""COMPUTED_VALUE"""),"Muhammad Ghozali, S.Pd., Gr.")</f>
        <v>Muhammad Ghozali, S.Pd., Gr.</v>
      </c>
      <c r="D106" s="5">
        <f>IFERROR(__xludf.DUMMYFUNCTION("""COMPUTED_VALUE"""),7.000316091E9)</f>
        <v>7000316091</v>
      </c>
      <c r="E106" s="5" t="str">
        <f>IFERROR(__xludf.DUMMYFUNCTION("""COMPUTED_VALUE"""),"085741124616")</f>
        <v>085741124616</v>
      </c>
      <c r="F106" s="7">
        <f>IFERROR(__xludf.DUMMYFUNCTION("""COMPUTED_VALUE"""),36726.0)</f>
        <v>36726</v>
      </c>
      <c r="G106" s="5" t="str">
        <f>IFERROR(__xludf.DUMMYFUNCTION("""COMPUTED_VALUE"""),"Pendidikan Seni Drama, Tari, dan Musik Konsentrasi Pendidikan Seni Musik")</f>
        <v>Pendidikan Seni Drama, Tari, dan Musik Konsentrasi Pendidikan Seni Musik</v>
      </c>
      <c r="H106" s="5" t="str">
        <f>IFERROR(__xludf.DUMMYFUNCTION("""COMPUTED_VALUE"""),"Universitas Negeri Semarang")</f>
        <v>Universitas Negeri Semarang</v>
      </c>
      <c r="I106" s="5" t="str">
        <f>IFERROR(__xludf.DUMMYFUNCTION("""COMPUTED_VALUE"""),"Seni Budaya")</f>
        <v>Seni Budaya</v>
      </c>
      <c r="J106" s="5" t="str">
        <f>IFERROR(__xludf.DUMMYFUNCTION("""COMPUTED_VALUE"""),"PPG Calon Guru Gelombang 2 Tahun 2024")</f>
        <v>PPG Calon Guru Gelombang 2 Tahun 2024</v>
      </c>
      <c r="K106" s="5">
        <f>IFERROR(__xludf.DUMMYFUNCTION("""COMPUTED_VALUE"""),2025.0)</f>
        <v>2025</v>
      </c>
      <c r="L106" s="8" t="str">
        <f>IFERROR(__xludf.DUMMYFUNCTION("""COMPUTED_VALUE"""),"3,42")</f>
        <v>3,42</v>
      </c>
      <c r="M106" s="5" t="str">
        <f>IFERROR(__xludf.DUMMYFUNCTION("""COMPUTED_VALUE"""),"3,8")</f>
        <v>3,8</v>
      </c>
      <c r="N106" s="5" t="str">
        <f>IFERROR(__xludf.DUMMYFUNCTION("""COMPUTED_VALUE"""),"Kabupaten Pekalongan, Jawa Tengah")</f>
        <v>Kabupaten Pekalongan, Jawa Tengah</v>
      </c>
      <c r="O106" s="5" t="str">
        <f>IFERROR(__xludf.DUMMYFUNCTION("""COMPUTED_VALUE"""),"Tidak")</f>
        <v>Tidak</v>
      </c>
      <c r="P106" s="5" t="str">
        <f>IFERROR(__xludf.DUMMYFUNCTION("""COMPUTED_VALUE"""),"Kabupaten Buton Tengah - Tenaga pendampingan pembelajaran mata Pelajaran Seni, Budaya, dan Prakarya")</f>
        <v>Kabupaten Buton Tengah - Tenaga pendampingan pembelajaran mata Pelajaran Seni, Budaya, dan Prakarya</v>
      </c>
      <c r="Q106" s="5"/>
      <c r="R106" s="5" t="str">
        <f>IFERROR(__xludf.DUMMYFUNCTION("""COMPUTED_VALUE"""),"-")</f>
        <v>-</v>
      </c>
      <c r="S106" s="11" t="str">
        <f>IFERROR(__xludf.DUMMYFUNCTION("""COMPUTED_VALUE"""),"https://drive.google.com/file/d/1-hu-TQKdbX2yJqHvYDuEs4clAxm-Zpym/view?usp=drivesdk ")</f>
        <v>https://drive.google.com/file/d/1-hu-TQKdbX2yJqHvYDuEs4clAxm-Zpym/view?usp=drivesdk </v>
      </c>
      <c r="T106" s="5" t="str">
        <f>IFERROR(__xludf.DUMMYFUNCTION("""COMPUTED_VALUE"""),"Lainnya")</f>
        <v>Lainnya</v>
      </c>
      <c r="U106" s="5"/>
      <c r="V106" s="5"/>
      <c r="W106" s="5"/>
      <c r="X106" s="5"/>
      <c r="Y106" s="5"/>
      <c r="Z106" s="5"/>
      <c r="AA106" s="5"/>
      <c r="AB106" s="5"/>
    </row>
    <row r="107" hidden="1">
      <c r="A107" s="4">
        <f>IFERROR(__xludf.DUMMYFUNCTION("""COMPUTED_VALUE"""),46241.009511620374)</f>
        <v>46241.00951</v>
      </c>
      <c r="B107" s="5" t="str">
        <f>IFERROR(__xludf.DUMMYFUNCTION("""COMPUTED_VALUE"""),"khaafidhatulka@gmail.com")</f>
        <v>khaafidhatulka@gmail.com</v>
      </c>
      <c r="C107" s="5" t="str">
        <f>IFERROR(__xludf.DUMMYFUNCTION("""COMPUTED_VALUE"""),"Khaafidhatul Kalaamiyah S.Pd. Gr.")</f>
        <v>Khaafidhatul Kalaamiyah S.Pd. Gr.</v>
      </c>
      <c r="D107" s="5">
        <f>IFERROR(__xludf.DUMMYFUNCTION("""COMPUTED_VALUE"""),7.000286747E9)</f>
        <v>7000286747</v>
      </c>
      <c r="E107" s="5" t="str">
        <f>IFERROR(__xludf.DUMMYFUNCTION("""COMPUTED_VALUE"""),"082164694216")</f>
        <v>082164694216</v>
      </c>
      <c r="F107" s="7">
        <f>IFERROR(__xludf.DUMMYFUNCTION("""COMPUTED_VALUE"""),37089.0)</f>
        <v>37089</v>
      </c>
      <c r="G107" s="5" t="str">
        <f>IFERROR(__xludf.DUMMYFUNCTION("""COMPUTED_VALUE"""),"Pendidikan Bahasa dan Sastra Indonesia ")</f>
        <v>Pendidikan Bahasa dan Sastra Indonesia </v>
      </c>
      <c r="H107" s="5" t="str">
        <f>IFERROR(__xludf.DUMMYFUNCTION("""COMPUTED_VALUE"""),"Universitas Muhammadiyah Surakarta ")</f>
        <v>Universitas Muhammadiyah Surakarta </v>
      </c>
      <c r="I107" s="5" t="str">
        <f>IFERROR(__xludf.DUMMYFUNCTION("""COMPUTED_VALUE"""),"Bahasa Indonesia")</f>
        <v>Bahasa Indonesia</v>
      </c>
      <c r="J107" s="5" t="str">
        <f>IFERROR(__xludf.DUMMYFUNCTION("""COMPUTED_VALUE"""),"PPG Calon Guru Gelombang 2 Tahun 2024")</f>
        <v>PPG Calon Guru Gelombang 2 Tahun 2024</v>
      </c>
      <c r="K107" s="5">
        <f>IFERROR(__xludf.DUMMYFUNCTION("""COMPUTED_VALUE"""),2025.0)</f>
        <v>2025</v>
      </c>
      <c r="L107" s="8" t="str">
        <f>IFERROR(__xludf.DUMMYFUNCTION("""COMPUTED_VALUE"""),"3.74")</f>
        <v>3.74</v>
      </c>
      <c r="M107" s="5" t="str">
        <f>IFERROR(__xludf.DUMMYFUNCTION("""COMPUTED_VALUE"""),"3.87")</f>
        <v>3.87</v>
      </c>
      <c r="N107" s="5" t="str">
        <f>IFERROR(__xludf.DUMMYFUNCTION("""COMPUTED_VALUE"""),"Kabupaten Sragen, Jawa Tengah ")</f>
        <v>Kabupaten Sragen, Jawa Tengah </v>
      </c>
      <c r="O107" s="5" t="str">
        <f>IFERROR(__xludf.DUMMYFUNCTION("""COMPUTED_VALUE"""),"Tidak")</f>
        <v>Tidak</v>
      </c>
      <c r="P107" s="5" t="str">
        <f>IFERROR(__xludf.DUMMYFUNCTION("""COMPUTED_VALUE"""),"Kabupaten Buton Tengah - Tenaga pendampingan pembelajaran mata pelajaran Pendidikan Agama Katolik")</f>
        <v>Kabupaten Buton Tengah - Tenaga pendampingan pembelajaran mata pelajaran Pendidikan Agama Katolik</v>
      </c>
      <c r="Q107" s="5"/>
      <c r="R107" s="5" t="str">
        <f>IFERROR(__xludf.DUMMYFUNCTION("""COMPUTED_VALUE"""),"-")</f>
        <v>-</v>
      </c>
      <c r="S107" s="11" t="str">
        <f>IFERROR(__xludf.DUMMYFUNCTION("""COMPUTED_VALUE"""),"https://drive.google.com/file/d/15q8UosXFDYh3syfvPaoLfg-s64HJpX-M/view?usp=drivesdk")</f>
        <v>https://drive.google.com/file/d/15q8UosXFDYh3syfvPaoLfg-s64HJpX-M/view?usp=drivesdk</v>
      </c>
      <c r="T107" s="5" t="str">
        <f>IFERROR(__xludf.DUMMYFUNCTION("""COMPUTED_VALUE"""),"Alumni PPG Calon Guru / Prajabatan FKIP UNS")</f>
        <v>Alumni PPG Calon Guru / Prajabatan FKIP UNS</v>
      </c>
      <c r="U107" s="5" t="str">
        <f>IFERROR(__xludf.DUMMYFUNCTION("""COMPUTED_VALUE"""),"X942408257")</f>
        <v>X942408257</v>
      </c>
      <c r="V107" s="5" t="str">
        <f>IFERROR(__xludf.DUMMYFUNCTION("""COMPUTED_VALUE"""),"A310200151")</f>
        <v>A310200151</v>
      </c>
      <c r="W107" s="5" t="str">
        <f>IFERROR(__xludf.DUMMYFUNCTION("""COMPUTED_VALUE"""),"Pendidikan Bahasa dan Sastra Indonesia ")</f>
        <v>Pendidikan Bahasa dan Sastra Indonesia </v>
      </c>
      <c r="X107" s="5" t="str">
        <f>IFERROR(__xludf.DUMMYFUNCTION("""COMPUTED_VALUE"""),"Universitas Sebelas Maret ")</f>
        <v>Universitas Sebelas Maret </v>
      </c>
      <c r="Y107" s="5" t="str">
        <f>IFERROR(__xludf.DUMMYFUNCTION("""COMPUTED_VALUE"""),"X942408257")</f>
        <v>X942408257</v>
      </c>
      <c r="Z107" s="5"/>
      <c r="AA107" s="5"/>
      <c r="AB107" s="5"/>
    </row>
    <row r="108" hidden="1">
      <c r="A108" s="4">
        <f>IFERROR(__xludf.DUMMYFUNCTION("""COMPUTED_VALUE"""),46241.57487641204)</f>
        <v>46241.57488</v>
      </c>
      <c r="B108" s="5" t="str">
        <f>IFERROR(__xludf.DUMMYFUNCTION("""COMPUTED_VALUE"""),"sofyansoleh19@gmail.com")</f>
        <v>sofyansoleh19@gmail.com</v>
      </c>
      <c r="C108" s="5" t="str">
        <f>IFERROR(__xludf.DUMMYFUNCTION("""COMPUTED_VALUE"""),"Sofyan Soleh Nur Hidayatulloh, S.Pd., Gr.")</f>
        <v>Sofyan Soleh Nur Hidayatulloh, S.Pd., Gr.</v>
      </c>
      <c r="D108" s="5">
        <f>IFERROR(__xludf.DUMMYFUNCTION("""COMPUTED_VALUE"""),7.000153949E9)</f>
        <v>7000153949</v>
      </c>
      <c r="E108" s="5" t="str">
        <f>IFERROR(__xludf.DUMMYFUNCTION("""COMPUTED_VALUE"""),"081394581595")</f>
        <v>081394581595</v>
      </c>
      <c r="F108" s="7">
        <f>IFERROR(__xludf.DUMMYFUNCTION("""COMPUTED_VALUE"""),37180.0)</f>
        <v>37180</v>
      </c>
      <c r="G108" s="5" t="str">
        <f>IFERROR(__xludf.DUMMYFUNCTION("""COMPUTED_VALUE"""),"Pendidikan IPS")</f>
        <v>Pendidikan IPS</v>
      </c>
      <c r="H108" s="5" t="str">
        <f>IFERROR(__xludf.DUMMYFUNCTION("""COMPUTED_VALUE"""),"Universitas Negeri Semarang")</f>
        <v>Universitas Negeri Semarang</v>
      </c>
      <c r="I108" s="5" t="str">
        <f>IFERROR(__xludf.DUMMYFUNCTION("""COMPUTED_VALUE"""),"Lainnya")</f>
        <v>Lainnya</v>
      </c>
      <c r="J108" s="5" t="str">
        <f>IFERROR(__xludf.DUMMYFUNCTION("""COMPUTED_VALUE"""),"PPG Prajabatan Gelombang 1 Tahun 2023")</f>
        <v>PPG Prajabatan Gelombang 1 Tahun 2023</v>
      </c>
      <c r="K108" s="5">
        <f>IFERROR(__xludf.DUMMYFUNCTION("""COMPUTED_VALUE"""),2024.0)</f>
        <v>2024</v>
      </c>
      <c r="L108" s="8" t="str">
        <f>IFERROR(__xludf.DUMMYFUNCTION("""COMPUTED_VALUE"""),"3.76")</f>
        <v>3.76</v>
      </c>
      <c r="M108" s="5" t="str">
        <f>IFERROR(__xludf.DUMMYFUNCTION("""COMPUTED_VALUE"""),"3.97")</f>
        <v>3.97</v>
      </c>
      <c r="N108" s="5" t="str">
        <f>IFERROR(__xludf.DUMMYFUNCTION("""COMPUTED_VALUE"""),"Banjarnegara, Jawa Tengah")</f>
        <v>Banjarnegara, Jawa Tengah</v>
      </c>
      <c r="O108" s="5" t="str">
        <f>IFERROR(__xludf.DUMMYFUNCTION("""COMPUTED_VALUE"""),"Tidak")</f>
        <v>Tidak</v>
      </c>
      <c r="P108" s="5" t="str">
        <f>IFERROR(__xludf.DUMMYFUNCTION("""COMPUTED_VALUE"""),"Kabupaten Buton Tengah - Tenaga pendampingan pembelajaran mata pelajaran Pendidikan Agama Katolik")</f>
        <v>Kabupaten Buton Tengah - Tenaga pendampingan pembelajaran mata pelajaran Pendidikan Agama Katolik</v>
      </c>
      <c r="Q108" s="5"/>
      <c r="R108" s="5" t="str">
        <f>IFERROR(__xludf.DUMMYFUNCTION("""COMPUTED_VALUE"""),"Tidak ada")</f>
        <v>Tidak ada</v>
      </c>
      <c r="S108" s="11" t="str">
        <f>IFERROR(__xludf.DUMMYFUNCTION("""COMPUTED_VALUE"""),"https://drive.google.com/file/d/1-Po-XTK9UlujepB_GgEvK8kp6CHoC-3E/view?usp=drivesdk")</f>
        <v>https://drive.google.com/file/d/1-Po-XTK9UlujepB_GgEvK8kp6CHoC-3E/view?usp=drivesdk</v>
      </c>
      <c r="T108" s="5" t="str">
        <f>IFERROR(__xludf.DUMMYFUNCTION("""COMPUTED_VALUE"""),"Lainnya")</f>
        <v>Lainnya</v>
      </c>
      <c r="U108" s="5"/>
      <c r="V108" s="5"/>
      <c r="W108" s="5"/>
      <c r="X108" s="5"/>
      <c r="Y108" s="5"/>
      <c r="Z108" s="5"/>
      <c r="AA108" s="5"/>
      <c r="AB108" s="5"/>
    </row>
    <row r="109" hidden="1">
      <c r="A109" s="4">
        <f>IFERROR(__xludf.DUMMYFUNCTION("""COMPUTED_VALUE"""),46243.47938315972)</f>
        <v>46243.47938</v>
      </c>
      <c r="B109" s="5" t="str">
        <f>IFERROR(__xludf.DUMMYFUNCTION("""COMPUTED_VALUE"""),"ongkyalbert033@gmail.com")</f>
        <v>ongkyalbert033@gmail.com</v>
      </c>
      <c r="C109" s="5" t="str">
        <f>IFERROR(__xludf.DUMMYFUNCTION("""COMPUTED_VALUE"""),"ONGKY ALBERT, S. Fil. ")</f>
        <v>ONGKY ALBERT, S. Fil. </v>
      </c>
      <c r="D109" s="5"/>
      <c r="E109" s="5" t="str">
        <f>IFERROR(__xludf.DUMMYFUNCTION("""COMPUTED_VALUE"""),"085399807430")</f>
        <v>085399807430</v>
      </c>
      <c r="F109" s="7">
        <f>IFERROR(__xludf.DUMMYFUNCTION("""COMPUTED_VALUE"""),34918.0)</f>
        <v>34918</v>
      </c>
      <c r="G109" s="5" t="str">
        <f>IFERROR(__xludf.DUMMYFUNCTION("""COMPUTED_VALUE"""),"S-1")</f>
        <v>S-1</v>
      </c>
      <c r="H109" s="5" t="str">
        <f>IFERROR(__xludf.DUMMYFUNCTION("""COMPUTED_VALUE"""),"Sekolah Tinggi Filsafat Driyarkara")</f>
        <v>Sekolah Tinggi Filsafat Driyarkara</v>
      </c>
      <c r="I109" s="5" t="str">
        <f>IFERROR(__xludf.DUMMYFUNCTION("""COMPUTED_VALUE"""),"Lainnya")</f>
        <v>Lainnya</v>
      </c>
      <c r="J109" s="5" t="str">
        <f>IFERROR(__xludf.DUMMYFUNCTION("""COMPUTED_VALUE"""),"Lainnya")</f>
        <v>Lainnya</v>
      </c>
      <c r="K109" s="5"/>
      <c r="L109" s="8" t="str">
        <f>IFERROR(__xludf.DUMMYFUNCTION("""COMPUTED_VALUE"""),"2.96")</f>
        <v>2.96</v>
      </c>
      <c r="M109" s="5" t="str">
        <f>IFERROR(__xludf.DUMMYFUNCTION("""COMPUTED_VALUE"""),"Tidak ada")</f>
        <v>Tidak ada</v>
      </c>
      <c r="N109" s="5" t="str">
        <f>IFERROR(__xludf.DUMMYFUNCTION("""COMPUTED_VALUE"""),"Desa Kulidawa, Kabupaten Muna")</f>
        <v>Desa Kulidawa, Kabupaten Muna</v>
      </c>
      <c r="O109" s="5" t="str">
        <f>IFERROR(__xludf.DUMMYFUNCTION("""COMPUTED_VALUE"""),"Tidak")</f>
        <v>Tidak</v>
      </c>
      <c r="P109" s="5" t="str">
        <f>IFERROR(__xludf.DUMMYFUNCTION("""COMPUTED_VALUE"""),"Kabupaten Buton Tengah - Tenaga pendampingan pembelajaran mata pelajaran Pendidikan Agama Katolik")</f>
        <v>Kabupaten Buton Tengah - Tenaga pendampingan pembelajaran mata pelajaran Pendidikan Agama Katolik</v>
      </c>
      <c r="Q109" s="5"/>
      <c r="R109" s="5" t="str">
        <f>IFERROR(__xludf.DUMMYFUNCTION("""COMPUTED_VALUE"""),"-")</f>
        <v>-</v>
      </c>
      <c r="S109" s="5" t="str">
        <f>IFERROR(__xludf.DUMMYFUNCTION("""COMPUTED_VALUE"""),"-")</f>
        <v>-</v>
      </c>
      <c r="T109" s="5" t="str">
        <f>IFERROR(__xludf.DUMMYFUNCTION("""COMPUTED_VALUE"""),"Lainnya")</f>
        <v>Lainnya</v>
      </c>
      <c r="U109" s="5"/>
      <c r="V109" s="5"/>
      <c r="W109" s="5"/>
      <c r="X109" s="5"/>
      <c r="Y109" s="5"/>
      <c r="Z109" s="5"/>
      <c r="AA109" s="5"/>
      <c r="AB109" s="5"/>
    </row>
    <row r="110" hidden="1">
      <c r="A110" s="4">
        <f>IFERROR(__xludf.DUMMYFUNCTION("""COMPUTED_VALUE"""),46246.69573498842)</f>
        <v>46246.69573</v>
      </c>
      <c r="B110" s="5" t="str">
        <f>IFERROR(__xludf.DUMMYFUNCTION("""COMPUTED_VALUE"""),"putrimaria451@gmail.com")</f>
        <v>putrimaria451@gmail.com</v>
      </c>
      <c r="C110" s="5" t="str">
        <f>IFERROR(__xludf.DUMMYFUNCTION("""COMPUTED_VALUE"""),"Maria Putri Ayeng, S.Pd.")</f>
        <v>Maria Putri Ayeng, S.Pd.</v>
      </c>
      <c r="D110" s="5">
        <f>IFERROR(__xludf.DUMMYFUNCTION("""COMPUTED_VALUE"""),4.0401017102001E13)</f>
        <v>40401017102001</v>
      </c>
      <c r="E110" s="5" t="str">
        <f>IFERROR(__xludf.DUMMYFUNCTION("""COMPUTED_VALUE"""),"082192696090")</f>
        <v>082192696090</v>
      </c>
      <c r="F110" s="7">
        <f>IFERROR(__xludf.DUMMYFUNCTION("""COMPUTED_VALUE"""),37552.0)</f>
        <v>37552</v>
      </c>
      <c r="G110" s="5" t="str">
        <f>IFERROR(__xludf.DUMMYFUNCTION("""COMPUTED_VALUE"""),"S1 Program Studi Pendidikan Keagamaan Katolik")</f>
        <v>S1 Program Studi Pendidikan Keagamaan Katolik</v>
      </c>
      <c r="H110" s="5" t="str">
        <f>IFERROR(__xludf.DUMMYFUNCTION("""COMPUTED_VALUE"""),"Sekolah Tinggi Agama Katolik Negeri Pontianak")</f>
        <v>Sekolah Tinggi Agama Katolik Negeri Pontianak</v>
      </c>
      <c r="I110" s="5" t="str">
        <f>IFERROR(__xludf.DUMMYFUNCTION("""COMPUTED_VALUE"""),"Lainnya")</f>
        <v>Lainnya</v>
      </c>
      <c r="J110" s="5" t="str">
        <f>IFERROR(__xludf.DUMMYFUNCTION("""COMPUTED_VALUE"""),"Lainnya")</f>
        <v>Lainnya</v>
      </c>
      <c r="K110" s="5"/>
      <c r="L110" s="8" t="str">
        <f>IFERROR(__xludf.DUMMYFUNCTION("""COMPUTED_VALUE"""),"3.88")</f>
        <v>3.88</v>
      </c>
      <c r="M110" s="5" t="str">
        <f>IFERROR(__xludf.DUMMYFUNCTION("""COMPUTED_VALUE"""),"-")</f>
        <v>-</v>
      </c>
      <c r="N110" s="5" t="str">
        <f>IFERROR(__xludf.DUMMYFUNCTION("""COMPUTED_VALUE"""),"Kecamatan Tongkuno Selatan, Kabupaten Muna")</f>
        <v>Kecamatan Tongkuno Selatan, Kabupaten Muna</v>
      </c>
      <c r="O110" s="5" t="str">
        <f>IFERROR(__xludf.DUMMYFUNCTION("""COMPUTED_VALUE"""),"Tidak")</f>
        <v>Tidak</v>
      </c>
      <c r="P110" s="5" t="str">
        <f>IFERROR(__xludf.DUMMYFUNCTION("""COMPUTED_VALUE"""),"Kabupaten Buton Tengah - Tenaga pendampingan pembelajaran mata pelajaran Pendidikan Agama Katolik")</f>
        <v>Kabupaten Buton Tengah - Tenaga pendampingan pembelajaran mata pelajaran Pendidikan Agama Katolik</v>
      </c>
      <c r="Q110" s="5"/>
      <c r="R110" s="5" t="str">
        <f>IFERROR(__xludf.DUMMYFUNCTION("""COMPUTED_VALUE"""),"-")</f>
        <v>-</v>
      </c>
      <c r="S110" s="11" t="str">
        <f>IFERROR(__xludf.DUMMYFUNCTION("""COMPUTED_VALUE"""),"https://drive.google.com/drive/folders/1PqLz8RYnnSg7ZDxnd7U7A6x_JUgroK7k")</f>
        <v>https://drive.google.com/drive/folders/1PqLz8RYnnSg7ZDxnd7U7A6x_JUgroK7k</v>
      </c>
      <c r="T110" s="5" t="str">
        <f>IFERROR(__xludf.DUMMYFUNCTION("""COMPUTED_VALUE"""),"Lainnya")</f>
        <v>Lainnya</v>
      </c>
      <c r="U110" s="5"/>
      <c r="V110" s="5"/>
      <c r="W110" s="5"/>
      <c r="X110" s="5"/>
      <c r="Y110" s="5"/>
      <c r="Z110" s="5"/>
      <c r="AA110" s="5"/>
      <c r="AB110" s="5"/>
    </row>
    <row r="111">
      <c r="A111" s="4">
        <f>IFERROR(__xludf.DUMMYFUNCTION("""COMPUTED_VALUE"""),46262.59492799769)</f>
        <v>46262.59493</v>
      </c>
      <c r="B111" s="5" t="str">
        <f>IFERROR(__xludf.DUMMYFUNCTION("""COMPUTED_VALUE"""),"azizahfajriatul@student.uns.ac.id")</f>
        <v>azizahfajriatul@student.uns.ac.id</v>
      </c>
      <c r="C111" s="5" t="str">
        <f>IFERROR(__xludf.DUMMYFUNCTION("""COMPUTED_VALUE"""),"Fajriatul 'Azizah, S.Ak, Gr")</f>
        <v>Fajriatul 'Azizah, S.Ak, Gr</v>
      </c>
      <c r="D111" s="5">
        <f>IFERROR(__xludf.DUMMYFUNCTION("""COMPUTED_VALUE"""),7.000058324E9)</f>
        <v>7000058324</v>
      </c>
      <c r="E111" s="5" t="str">
        <f>IFERROR(__xludf.DUMMYFUNCTION("""COMPUTED_VALUE"""),"085743571470")</f>
        <v>085743571470</v>
      </c>
      <c r="F111" s="7">
        <f>IFERROR(__xludf.DUMMYFUNCTION("""COMPUTED_VALUE"""),34712.0)</f>
        <v>34712</v>
      </c>
      <c r="G111" s="5" t="str">
        <f>IFERROR(__xludf.DUMMYFUNCTION("""COMPUTED_VALUE"""),"Akuntansi")</f>
        <v>Akuntansi</v>
      </c>
      <c r="H111" s="5" t="str">
        <f>IFERROR(__xludf.DUMMYFUNCTION("""COMPUTED_VALUE"""),"Universitas Muhammadiyah Magelang")</f>
        <v>Universitas Muhammadiyah Magelang</v>
      </c>
      <c r="I111" s="5" t="str">
        <f>IFERROR(__xludf.DUMMYFUNCTION("""COMPUTED_VALUE"""),"Akuntansi dan Keuangan")</f>
        <v>Akuntansi dan Keuangan</v>
      </c>
      <c r="J111" s="5" t="str">
        <f>IFERROR(__xludf.DUMMYFUNCTION("""COMPUTED_VALUE"""),"PPG Calon Guru Gelombang 2 Tahun 2024")</f>
        <v>PPG Calon Guru Gelombang 2 Tahun 2024</v>
      </c>
      <c r="K111" s="5">
        <f>IFERROR(__xludf.DUMMYFUNCTION("""COMPUTED_VALUE"""),2025.0)</f>
        <v>2025</v>
      </c>
      <c r="L111" s="8" t="str">
        <f>IFERROR(__xludf.DUMMYFUNCTION("""COMPUTED_VALUE"""),"3.82")</f>
        <v>3.82</v>
      </c>
      <c r="M111" s="5" t="str">
        <f>IFERROR(__xludf.DUMMYFUNCTION("""COMPUTED_VALUE"""),"3.98")</f>
        <v>3.98</v>
      </c>
      <c r="N111" s="5" t="str">
        <f>IFERROR(__xludf.DUMMYFUNCTION("""COMPUTED_VALUE"""),"Monosari Donorojo Tegalrejo Magelang Jawa Tengah")</f>
        <v>Monosari Donorojo Tegalrejo Magelang Jawa Tengah</v>
      </c>
      <c r="O111" s="5" t="str">
        <f>IFERROR(__xludf.DUMMYFUNCTION("""COMPUTED_VALUE"""),"Tidak")</f>
        <v>Tidak</v>
      </c>
      <c r="P111" s="5" t="str">
        <f>IFERROR(__xludf.DUMMYFUNCTION("""COMPUTED_VALUE"""),"Kabupaten Buton Tengah - Tenaga pendampingan pembelajaran mata pelajaran Ekonomi")</f>
        <v>Kabupaten Buton Tengah - Tenaga pendampingan pembelajaran mata pelajaran Ekonomi</v>
      </c>
      <c r="Q111" s="5"/>
      <c r="R111" s="11" t="str">
        <f>IFERROR(__xludf.DUMMYFUNCTION("""COMPUTED_VALUE"""),"https://drive.google.com/drive/folders/1aYXA4C27v4RjA_Uci2XyWDLUHMd94gOA?usp=sharing")</f>
        <v>https://drive.google.com/drive/folders/1aYXA4C27v4RjA_Uci2XyWDLUHMd94gOA?usp=sharing</v>
      </c>
      <c r="S111" s="11" t="str">
        <f>IFERROR(__xludf.DUMMYFUNCTION("""COMPUTED_VALUE"""),"https://drive.google.com/file/d/1W12YEq3GjE_L-y-bTkeot7UzdvOLJSjt/view?usp=sharing")</f>
        <v>https://drive.google.com/file/d/1W12YEq3GjE_L-y-bTkeot7UzdvOLJSjt/view?usp=sharing</v>
      </c>
      <c r="T111" s="5" t="str">
        <f>IFERROR(__xludf.DUMMYFUNCTION("""COMPUTED_VALUE"""),"Alumni PPG Calon Guru / Prajabatan FKIP UNS")</f>
        <v>Alumni PPG Calon Guru / Prajabatan FKIP UNS</v>
      </c>
      <c r="U111" s="5" t="str">
        <f>IFERROR(__xludf.DUMMYFUNCTION("""COMPUTED_VALUE"""),"X942408172")</f>
        <v>X942408172</v>
      </c>
      <c r="V111" s="5" t="str">
        <f>IFERROR(__xludf.DUMMYFUNCTION("""COMPUTED_VALUE"""),"1601020011")</f>
        <v>1601020011</v>
      </c>
      <c r="W111" s="5" t="str">
        <f>IFERROR(__xludf.DUMMYFUNCTION("""COMPUTED_VALUE"""),"Akuntansi")</f>
        <v>Akuntansi</v>
      </c>
      <c r="X111" s="5" t="str">
        <f>IFERROR(__xludf.DUMMYFUNCTION("""COMPUTED_VALUE"""),"Universitas Sebelas Maret")</f>
        <v>Universitas Sebelas Maret</v>
      </c>
      <c r="Y111" s="5" t="str">
        <f>IFERROR(__xludf.DUMMYFUNCTION("""COMPUTED_VALUE"""),"X942408172")</f>
        <v>X942408172</v>
      </c>
      <c r="Z111" s="11" t="str">
        <f>IFERROR(__xludf.DUMMYFUNCTION("""COMPUTED_VALUE"""),"https://drive.google.com/open?id=1-YUnvwdNiYug1XyXP1s5OcnNyLH_tN69")</f>
        <v>https://drive.google.com/open?id=1-YUnvwdNiYug1XyXP1s5OcnNyLH_tN69</v>
      </c>
      <c r="AA111" s="42" t="s">
        <v>44</v>
      </c>
      <c r="AB111" s="5"/>
    </row>
    <row r="112">
      <c r="A112" s="4">
        <f>IFERROR(__xludf.DUMMYFUNCTION("""COMPUTED_VALUE"""),46262.70767682871)</f>
        <v>46262.70768</v>
      </c>
      <c r="B112" s="5" t="str">
        <f>IFERROR(__xludf.DUMMYFUNCTION("""COMPUTED_VALUE"""),"jumyafisika18@gmail.com")</f>
        <v>jumyafisika18@gmail.com</v>
      </c>
      <c r="C112" s="5" t="str">
        <f>IFERROR(__xludf.DUMMYFUNCTION("""COMPUTED_VALUE"""),"JUMYANY SYNTHA MAOLA KADANG, S.Pd.,Gr")</f>
        <v>JUMYANY SYNTHA MAOLA KADANG, S.Pd.,Gr</v>
      </c>
      <c r="D112" s="5">
        <f>IFERROR(__xludf.DUMMYFUNCTION("""COMPUTED_VALUE"""),2.02400153852E11)</f>
        <v>202400153852</v>
      </c>
      <c r="E112" s="5" t="str">
        <f>IFERROR(__xludf.DUMMYFUNCTION("""COMPUTED_VALUE"""),"085314164181")</f>
        <v>085314164181</v>
      </c>
      <c r="F112" s="7">
        <f>IFERROR(__xludf.DUMMYFUNCTION("""COMPUTED_VALUE"""),36658.0)</f>
        <v>36658</v>
      </c>
      <c r="G112" s="5" t="str">
        <f>IFERROR(__xludf.DUMMYFUNCTION("""COMPUTED_VALUE"""),"S1 Pendidikan Fisika")</f>
        <v>S1 Pendidikan Fisika</v>
      </c>
      <c r="H112" s="5" t="str">
        <f>IFERROR(__xludf.DUMMYFUNCTION("""COMPUTED_VALUE"""),"Universitas Halu Oleo")</f>
        <v>Universitas Halu Oleo</v>
      </c>
      <c r="I112" s="5" t="str">
        <f>IFERROR(__xludf.DUMMYFUNCTION("""COMPUTED_VALUE"""),"Fisika")</f>
        <v>Fisika</v>
      </c>
      <c r="J112" s="5" t="str">
        <f>IFERROR(__xludf.DUMMYFUNCTION("""COMPUTED_VALUE"""),"Lainnya")</f>
        <v>Lainnya</v>
      </c>
      <c r="K112" s="5">
        <f>IFERROR(__xludf.DUMMYFUNCTION("""COMPUTED_VALUE"""),2025.0)</f>
        <v>2025</v>
      </c>
      <c r="L112" s="8" t="str">
        <f>IFERROR(__xludf.DUMMYFUNCTION("""COMPUTED_VALUE"""),"3.62")</f>
        <v>3.62</v>
      </c>
      <c r="M112" s="5" t="str">
        <f>IFERROR(__xludf.DUMMYFUNCTION("""COMPUTED_VALUE"""),"3.25")</f>
        <v>3.25</v>
      </c>
      <c r="N112" s="5" t="str">
        <f>IFERROR(__xludf.DUMMYFUNCTION("""COMPUTED_VALUE"""),"Desa Kabawo, Kabupaten Muna, Sulawesi Tenggara")</f>
        <v>Desa Kabawo, Kabupaten Muna, Sulawesi Tenggara</v>
      </c>
      <c r="O112" s="5" t="str">
        <f>IFERROR(__xludf.DUMMYFUNCTION("""COMPUTED_VALUE"""),"Tidak")</f>
        <v>Tidak</v>
      </c>
      <c r="P112" s="5" t="str">
        <f>IFERROR(__xludf.DUMMYFUNCTION("""COMPUTED_VALUE"""),"Kabupaten Buton Tengah - Tenaga pendampingan pembelajaran mata pelajaran FISIKA")</f>
        <v>Kabupaten Buton Tengah - Tenaga pendampingan pembelajaran mata pelajaran FISIKA</v>
      </c>
      <c r="Q112" s="5"/>
      <c r="R112" s="11" t="str">
        <f>IFERROR(__xludf.DUMMYFUNCTION("""COMPUTED_VALUE"""),"https://drive.google.com/drive/folders/1D4s0ysl23nOrJgQmY_nJosQ0JjPXaT2X")</f>
        <v>https://drive.google.com/drive/folders/1D4s0ysl23nOrJgQmY_nJosQ0JjPXaT2X</v>
      </c>
      <c r="S112" s="11" t="str">
        <f>IFERROR(__xludf.DUMMYFUNCTION("""COMPUTED_VALUE"""),"https://drive.google.com/file/d/1-4bh_3Gsx8QMHDML1RTcjQU860Yb8vUF/view?usp=drivesdk")</f>
        <v>https://drive.google.com/file/d/1-4bh_3Gsx8QMHDML1RTcjQU860Yb8vUF/view?usp=drivesdk</v>
      </c>
      <c r="T112" s="5" t="str">
        <f>IFERROR(__xludf.DUMMYFUNCTION("""COMPUTED_VALUE"""),"Lainnya")</f>
        <v>Lainnya</v>
      </c>
      <c r="U112" s="5"/>
      <c r="V112" s="5"/>
      <c r="W112" s="5"/>
      <c r="X112" s="5"/>
      <c r="Y112" s="5"/>
      <c r="Z112" s="11" t="str">
        <f>IFERROR(__xludf.DUMMYFUNCTION("""COMPUTED_VALUE"""),"https://drive.google.com/open?id=1ArTrUXGa5_LwDpsgC7-ab0pmArpupKhp")</f>
        <v>https://drive.google.com/open?id=1ArTrUXGa5_LwDpsgC7-ab0pmArpupKhp</v>
      </c>
      <c r="AA112" s="42" t="s">
        <v>44</v>
      </c>
      <c r="AB112" s="5"/>
    </row>
    <row r="113">
      <c r="A113" s="4">
        <f>IFERROR(__xludf.DUMMYFUNCTION("""COMPUTED_VALUE"""),46262.781621712966)</f>
        <v>46262.78162</v>
      </c>
      <c r="B113" s="5" t="str">
        <f>IFERROR(__xludf.DUMMYFUNCTION("""COMPUTED_VALUE"""),"hikaru.qreina@gmail.com")</f>
        <v>hikaru.qreina@gmail.com</v>
      </c>
      <c r="C113" s="5" t="str">
        <f>IFERROR(__xludf.DUMMYFUNCTION("""COMPUTED_VALUE"""),"Nur Laili Afrida, S.Pd")</f>
        <v>Nur Laili Afrida, S.Pd</v>
      </c>
      <c r="D113" s="5">
        <f>IFERROR(__xludf.DUMMYFUNCTION("""COMPUTED_VALUE"""),2.02400236945E11)</f>
        <v>202400236945</v>
      </c>
      <c r="E113" s="5" t="str">
        <f>IFERROR(__xludf.DUMMYFUNCTION("""COMPUTED_VALUE"""),"089514818386")</f>
        <v>089514818386</v>
      </c>
      <c r="F113" s="7">
        <f>IFERROR(__xludf.DUMMYFUNCTION("""COMPUTED_VALUE"""),32544.0)</f>
        <v>32544</v>
      </c>
      <c r="G113" s="5" t="str">
        <f>IFERROR(__xludf.DUMMYFUNCTION("""COMPUTED_VALUE"""),"S1. Pendidikan Biologi")</f>
        <v>S1. Pendidikan Biologi</v>
      </c>
      <c r="H113" s="5" t="str">
        <f>IFERROR(__xludf.DUMMYFUNCTION("""COMPUTED_VALUE"""),"Universitas Negeri Malang")</f>
        <v>Universitas Negeri Malang</v>
      </c>
      <c r="I113" s="5" t="str">
        <f>IFERROR(__xludf.DUMMYFUNCTION("""COMPUTED_VALUE"""),"Ilmu Pengetahuan Alam (IPA)")</f>
        <v>Ilmu Pengetahuan Alam (IPA)</v>
      </c>
      <c r="J113" s="5" t="str">
        <f>IFERROR(__xludf.DUMMYFUNCTION("""COMPUTED_VALUE"""),"Lainnya")</f>
        <v>Lainnya</v>
      </c>
      <c r="K113" s="5">
        <f>IFERROR(__xludf.DUMMYFUNCTION("""COMPUTED_VALUE"""),2025.0)</f>
        <v>2025</v>
      </c>
      <c r="L113" s="8" t="str">
        <f>IFERROR(__xludf.DUMMYFUNCTION("""COMPUTED_VALUE"""),"3,12")</f>
        <v>3,12</v>
      </c>
      <c r="M113" s="5" t="str">
        <f>IFERROR(__xludf.DUMMYFUNCTION("""COMPUTED_VALUE"""),"3,25")</f>
        <v>3,25</v>
      </c>
      <c r="N113" s="5" t="str">
        <f>IFERROR(__xludf.DUMMYFUNCTION("""COMPUTED_VALUE"""),"Malang, Jawa Timur")</f>
        <v>Malang, Jawa Timur</v>
      </c>
      <c r="O113" s="5" t="str">
        <f>IFERROR(__xludf.DUMMYFUNCTION("""COMPUTED_VALUE"""),"Tidak")</f>
        <v>Tidak</v>
      </c>
      <c r="P113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113" s="5"/>
      <c r="R113" s="5" t="str">
        <f>IFERROR(__xludf.DUMMYFUNCTION("""COMPUTED_VALUE"""),"-")</f>
        <v>-</v>
      </c>
      <c r="S113" s="11" t="str">
        <f>IFERROR(__xludf.DUMMYFUNCTION("""COMPUTED_VALUE"""),"https://drive.google.com/file/d/1egvuICb9Fe5dZ-cPpgczoxhMGrxXWj7x/view?usp=sharing")</f>
        <v>https://drive.google.com/file/d/1egvuICb9Fe5dZ-cPpgczoxhMGrxXWj7x/view?usp=sharing</v>
      </c>
      <c r="T113" s="5" t="str">
        <f>IFERROR(__xludf.DUMMYFUNCTION("""COMPUTED_VALUE"""),"Lainnya")</f>
        <v>Lainnya</v>
      </c>
      <c r="U113" s="5"/>
      <c r="V113" s="5"/>
      <c r="W113" s="5"/>
      <c r="X113" s="5"/>
      <c r="Y113" s="5"/>
      <c r="Z113" s="11" t="str">
        <f>IFERROR(__xludf.DUMMYFUNCTION("""COMPUTED_VALUE"""),"https://drive.google.com/open?id=1JuEq4djty-y8fLohK7DzB44mwckUib5b")</f>
        <v>https://drive.google.com/open?id=1JuEq4djty-y8fLohK7DzB44mwckUib5b</v>
      </c>
      <c r="AA113" s="42" t="s">
        <v>54</v>
      </c>
      <c r="AB113" s="42" t="s">
        <v>2434</v>
      </c>
    </row>
    <row r="114">
      <c r="A114" s="4">
        <f>IFERROR(__xludf.DUMMYFUNCTION("""COMPUTED_VALUE"""),46262.87488633102)</f>
        <v>46262.87489</v>
      </c>
      <c r="B114" s="5" t="str">
        <f>IFERROR(__xludf.DUMMYFUNCTION("""COMPUTED_VALUE"""),"nurfazria.m@gmail.com")</f>
        <v>nurfazria.m@gmail.com</v>
      </c>
      <c r="C114" s="5" t="str">
        <f>IFERROR(__xludf.DUMMYFUNCTION("""COMPUTED_VALUE"""),"Nur Fazria Masfufah, S.Pd., M.Pd")</f>
        <v>Nur Fazria Masfufah, S.Pd., M.Pd</v>
      </c>
      <c r="D114" s="5">
        <f>IFERROR(__xludf.DUMMYFUNCTION("""COMPUTED_VALUE"""),7.00013764E9)</f>
        <v>7000137640</v>
      </c>
      <c r="E114" s="5" t="str">
        <f>IFERROR(__xludf.DUMMYFUNCTION("""COMPUTED_VALUE"""),"081217709708")</f>
        <v>081217709708</v>
      </c>
      <c r="F114" s="7">
        <f>IFERROR(__xludf.DUMMYFUNCTION("""COMPUTED_VALUE"""),34250.0)</f>
        <v>34250</v>
      </c>
      <c r="G114" s="5" t="str">
        <f>IFERROR(__xludf.DUMMYFUNCTION("""COMPUTED_VALUE"""),"Pendidikan Guru Sekolah Dasar")</f>
        <v>Pendidikan Guru Sekolah Dasar</v>
      </c>
      <c r="H114" s="5" t="str">
        <f>IFERROR(__xludf.DUMMYFUNCTION("""COMPUTED_VALUE"""),"Universitas Muhammadiyah Sidoarjo")</f>
        <v>Universitas Muhammadiyah Sidoarjo</v>
      </c>
      <c r="I114" s="5" t="str">
        <f>IFERROR(__xludf.DUMMYFUNCTION("""COMPUTED_VALUE"""),"Pendidikan Guru Sekolah Dasar (PGSD)")</f>
        <v>Pendidikan Guru Sekolah Dasar (PGSD)</v>
      </c>
      <c r="J114" s="5" t="str">
        <f>IFERROR(__xludf.DUMMYFUNCTION("""COMPUTED_VALUE"""),"PPG Prajabatan Gelombang 1 Tahun 2024")</f>
        <v>PPG Prajabatan Gelombang 1 Tahun 2024</v>
      </c>
      <c r="K114" s="5">
        <f>IFERROR(__xludf.DUMMYFUNCTION("""COMPUTED_VALUE"""),2024.0)</f>
        <v>2024</v>
      </c>
      <c r="L114" s="8" t="str">
        <f>IFERROR(__xludf.DUMMYFUNCTION("""COMPUTED_VALUE"""),"3.78")</f>
        <v>3.78</v>
      </c>
      <c r="M114" s="5" t="str">
        <f>IFERROR(__xludf.DUMMYFUNCTION("""COMPUTED_VALUE"""),"4.00")</f>
        <v>4.00</v>
      </c>
      <c r="N114" s="5" t="str">
        <f>IFERROR(__xludf.DUMMYFUNCTION("""COMPUTED_VALUE"""),"Sidoarjo, Jawa Timur")</f>
        <v>Sidoarjo, Jawa Timur</v>
      </c>
      <c r="O114" s="5" t="str">
        <f>IFERROR(__xludf.DUMMYFUNCTION("""COMPUTED_VALUE"""),"Tidak")</f>
        <v>Tidak</v>
      </c>
      <c r="P114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114" s="5"/>
      <c r="R114" s="11" t="str">
        <f>IFERROR(__xludf.DUMMYFUNCTION("""COMPUTED_VALUE"""),"https://drive.google.com/drive/folders/1uiFCL4Z40gteEeW8JX4SV-y9TpDFELEc")</f>
        <v>https://drive.google.com/drive/folders/1uiFCL4Z40gteEeW8JX4SV-y9TpDFELEc</v>
      </c>
      <c r="S114" s="11" t="str">
        <f>IFERROR(__xludf.DUMMYFUNCTION("""COMPUTED_VALUE"""),"https://drive.google.com/drive/folders/10gdRNvHaesOYapEBw9VjuyApTvEMW3oo ")</f>
        <v>https://drive.google.com/drive/folders/10gdRNvHaesOYapEBw9VjuyApTvEMW3oo </v>
      </c>
      <c r="T114" s="5" t="str">
        <f>IFERROR(__xludf.DUMMYFUNCTION("""COMPUTED_VALUE"""),"Lainnya")</f>
        <v>Lainnya</v>
      </c>
      <c r="U114" s="5"/>
      <c r="V114" s="5"/>
      <c r="W114" s="5"/>
      <c r="X114" s="5"/>
      <c r="Y114" s="5"/>
      <c r="Z114" s="11" t="str">
        <f>IFERROR(__xludf.DUMMYFUNCTION("""COMPUTED_VALUE"""),"https://drive.google.com/open?id=1bDNTo08NetCUDF1bVK6Max1FqTNZPTWV")</f>
        <v>https://drive.google.com/open?id=1bDNTo08NetCUDF1bVK6Max1FqTNZPTWV</v>
      </c>
      <c r="AA114" s="42" t="s">
        <v>54</v>
      </c>
      <c r="AB114" s="42" t="s">
        <v>2439</v>
      </c>
    </row>
    <row r="115">
      <c r="A115" s="4">
        <f>IFERROR(__xludf.DUMMYFUNCTION("""COMPUTED_VALUE"""),46262.886579907405)</f>
        <v>46262.88658</v>
      </c>
      <c r="B115" s="5" t="str">
        <f>IFERROR(__xludf.DUMMYFUNCTION("""COMPUTED_VALUE"""),"rahmawatiputri593@gmail.com")</f>
        <v>rahmawatiputri593@gmail.com</v>
      </c>
      <c r="C115" s="5" t="str">
        <f>IFERROR(__xludf.DUMMYFUNCTION("""COMPUTED_VALUE"""),"Putri Rahmawati, S.Pd., Gr.")</f>
        <v>Putri Rahmawati, S.Pd., Gr.</v>
      </c>
      <c r="D115" s="5">
        <f>IFERROR(__xludf.DUMMYFUNCTION("""COMPUTED_VALUE"""),7.000265349E9)</f>
        <v>7000265349</v>
      </c>
      <c r="E115" s="5" t="str">
        <f>IFERROR(__xludf.DUMMYFUNCTION("""COMPUTED_VALUE"""),"0895800035315")</f>
        <v>0895800035315</v>
      </c>
      <c r="F115" s="7">
        <f>IFERROR(__xludf.DUMMYFUNCTION("""COMPUTED_VALUE"""),37629.0)</f>
        <v>37629</v>
      </c>
      <c r="G115" s="5" t="str">
        <f>IFERROR(__xludf.DUMMYFUNCTION("""COMPUTED_VALUE"""),"Pendidikan Ilmu Pengetahuan Alam")</f>
        <v>Pendidikan Ilmu Pengetahuan Alam</v>
      </c>
      <c r="H115" s="5" t="str">
        <f>IFERROR(__xludf.DUMMYFUNCTION("""COMPUTED_VALUE"""),"Universitas Negeri Semarang")</f>
        <v>Universitas Negeri Semarang</v>
      </c>
      <c r="I115" s="5" t="str">
        <f>IFERROR(__xludf.DUMMYFUNCTION("""COMPUTED_VALUE"""),"Ilmu Pengetahuan Alam (IPA)")</f>
        <v>Ilmu Pengetahuan Alam (IPA)</v>
      </c>
      <c r="J115" s="5" t="str">
        <f>IFERROR(__xludf.DUMMYFUNCTION("""COMPUTED_VALUE"""),"PPG Calon Guru Gelombang 2 Tahun 2024")</f>
        <v>PPG Calon Guru Gelombang 2 Tahun 2024</v>
      </c>
      <c r="K115" s="5">
        <f>IFERROR(__xludf.DUMMYFUNCTION("""COMPUTED_VALUE"""),2025.0)</f>
        <v>2025</v>
      </c>
      <c r="L115" s="8" t="str">
        <f>IFERROR(__xludf.DUMMYFUNCTION("""COMPUTED_VALUE"""),"3.73")</f>
        <v>3.73</v>
      </c>
      <c r="M115" s="5" t="str">
        <f>IFERROR(__xludf.DUMMYFUNCTION("""COMPUTED_VALUE"""),"3.98")</f>
        <v>3.98</v>
      </c>
      <c r="N115" s="5" t="str">
        <f>IFERROR(__xludf.DUMMYFUNCTION("""COMPUTED_VALUE"""),"Kota Kudus, Jawa Tengah")</f>
        <v>Kota Kudus, Jawa Tengah</v>
      </c>
      <c r="O115" s="5" t="str">
        <f>IFERROR(__xludf.DUMMYFUNCTION("""COMPUTED_VALUE"""),"Tidak")</f>
        <v>Tidak</v>
      </c>
      <c r="P115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115" s="5"/>
      <c r="R115" s="5" t="str">
        <f>IFERROR(__xludf.DUMMYFUNCTION("""COMPUTED_VALUE"""),"-")</f>
        <v>-</v>
      </c>
      <c r="S115" s="11" t="str">
        <f>IFERROR(__xludf.DUMMYFUNCTION("""COMPUTED_VALUE"""),"https://drive.google.com/file/d/1czFk9KIDKjBbNttApLuhEDIHMjlZgs_J/view?usp=drivesdk")</f>
        <v>https://drive.google.com/file/d/1czFk9KIDKjBbNttApLuhEDIHMjlZgs_J/view?usp=drivesdk</v>
      </c>
      <c r="T115" s="5" t="str">
        <f>IFERROR(__xludf.DUMMYFUNCTION("""COMPUTED_VALUE"""),"Lainnya")</f>
        <v>Lainnya</v>
      </c>
      <c r="U115" s="5"/>
      <c r="V115" s="5"/>
      <c r="W115" s="5"/>
      <c r="X115" s="5"/>
      <c r="Y115" s="5"/>
      <c r="Z115" s="11" t="str">
        <f>IFERROR(__xludf.DUMMYFUNCTION("""COMPUTED_VALUE"""),"https://drive.google.com/open?id=1qSuSI31VSIYpGGFUa8mK2rYS5II8WDLd")</f>
        <v>https://drive.google.com/open?id=1qSuSI31VSIYpGGFUa8mK2rYS5II8WDLd</v>
      </c>
      <c r="AA115" s="42" t="s">
        <v>44</v>
      </c>
      <c r="AB115" s="5"/>
    </row>
    <row r="116">
      <c r="A116" s="4">
        <f>IFERROR(__xludf.DUMMYFUNCTION("""COMPUTED_VALUE"""),46262.89609657407)</f>
        <v>46262.8961</v>
      </c>
      <c r="B116" s="5" t="str">
        <f>IFERROR(__xludf.DUMMYFUNCTION("""COMPUTED_VALUE"""),"roufjepara23@gmail.com")</f>
        <v>roufjepara23@gmail.com</v>
      </c>
      <c r="C116" s="5" t="str">
        <f>IFERROR(__xludf.DUMMYFUNCTION("""COMPUTED_VALUE"""),"Muhammad Abdur Rouf, M.Pd., Gr")</f>
        <v>Muhammad Abdur Rouf, M.Pd., Gr</v>
      </c>
      <c r="D116" s="5">
        <f>IFERROR(__xludf.DUMMYFUNCTION("""COMPUTED_VALUE"""),2.02300247944E11)</f>
        <v>202300247944</v>
      </c>
      <c r="E116" s="5" t="str">
        <f>IFERROR(__xludf.DUMMYFUNCTION("""COMPUTED_VALUE"""),"081548818552")</f>
        <v>081548818552</v>
      </c>
      <c r="F116" s="7">
        <f>IFERROR(__xludf.DUMMYFUNCTION("""COMPUTED_VALUE"""),35556.0)</f>
        <v>35556</v>
      </c>
      <c r="G116" s="5" t="str">
        <f>IFERROR(__xludf.DUMMYFUNCTION("""COMPUTED_VALUE"""),"Pendidikan Agama Islam")</f>
        <v>Pendidikan Agama Islam</v>
      </c>
      <c r="H116" s="5" t="str">
        <f>IFERROR(__xludf.DUMMYFUNCTION("""COMPUTED_VALUE"""),"Universitas Sains Alquran")</f>
        <v>Universitas Sains Alquran</v>
      </c>
      <c r="I116" s="5" t="str">
        <f>IFERROR(__xludf.DUMMYFUNCTION("""COMPUTED_VALUE"""),"Agama Islam")</f>
        <v>Agama Islam</v>
      </c>
      <c r="J116" s="5" t="str">
        <f>IFERROR(__xludf.DUMMYFUNCTION("""COMPUTED_VALUE"""),"Lainnya")</f>
        <v>Lainnya</v>
      </c>
      <c r="K116" s="5">
        <f>IFERROR(__xludf.DUMMYFUNCTION("""COMPUTED_VALUE"""),2026.0)</f>
        <v>2026</v>
      </c>
      <c r="L116" s="8" t="str">
        <f>IFERROR(__xludf.DUMMYFUNCTION("""COMPUTED_VALUE"""),"3.87")</f>
        <v>3.87</v>
      </c>
      <c r="M116" s="5" t="str">
        <f>IFERROR(__xludf.DUMMYFUNCTION("""COMPUTED_VALUE"""),"4")</f>
        <v>4</v>
      </c>
      <c r="N116" s="5" t="str">
        <f>IFERROR(__xludf.DUMMYFUNCTION("""COMPUTED_VALUE"""),"Jepara, Jawa Tengah")</f>
        <v>Jepara, Jawa Tengah</v>
      </c>
      <c r="O116" s="5" t="str">
        <f>IFERROR(__xludf.DUMMYFUNCTION("""COMPUTED_VALUE"""),"Tidak")</f>
        <v>Tidak</v>
      </c>
      <c r="P116" s="5" t="str">
        <f>IFERROR(__xludf.DUMMYFUNCTION("""COMPUTED_VALUE"""),"Kabupaten Jepara - Tenaga pendampingan pembelajaran mata pelajaran Pendidikan Agama Islam")</f>
        <v>Kabupaten Jepara - Tenaga pendampingan pembelajaran mata pelajaran Pendidikan Agama Islam</v>
      </c>
      <c r="Q116" s="5"/>
      <c r="R116" s="11" t="str">
        <f>IFERROR(__xludf.DUMMYFUNCTION("""COMPUTED_VALUE"""),"https://drive.google.com/drive/folders/1zr9jpWWKJhLxyFvydPkYe9rMQodbRowa?usp=sharing")</f>
        <v>https://drive.google.com/drive/folders/1zr9jpWWKJhLxyFvydPkYe9rMQodbRowa?usp=sharing</v>
      </c>
      <c r="S116" s="11" t="str">
        <f>IFERROR(__xludf.DUMMYFUNCTION("""COMPUTED_VALUE"""),"https://drive.google.com/file/d/1Csp-KkryWS8OW0y5WtdeB1RAF5D19SxY/view?usp=sharing")</f>
        <v>https://drive.google.com/file/d/1Csp-KkryWS8OW0y5WtdeB1RAF5D19SxY/view?usp=sharing</v>
      </c>
      <c r="T116" s="5" t="str">
        <f>IFERROR(__xludf.DUMMYFUNCTION("""COMPUTED_VALUE"""),"Lainnya")</f>
        <v>Lainnya</v>
      </c>
      <c r="U116" s="5"/>
      <c r="V116" s="5"/>
      <c r="W116" s="5"/>
      <c r="X116" s="5"/>
      <c r="Y116" s="5"/>
      <c r="Z116" s="11" t="str">
        <f>IFERROR(__xludf.DUMMYFUNCTION("""COMPUTED_VALUE"""),"https://drive.google.com/open?id=1bljDvqw0hCR-1KQfSqBqY7fgf1IBh9mz")</f>
        <v>https://drive.google.com/open?id=1bljDvqw0hCR-1KQfSqBqY7fgf1IBh9mz</v>
      </c>
      <c r="AA116" s="42" t="s">
        <v>44</v>
      </c>
      <c r="AB116" s="5"/>
    </row>
    <row r="117">
      <c r="A117" s="4">
        <f>IFERROR(__xludf.DUMMYFUNCTION("""COMPUTED_VALUE"""),46262.902140162034)</f>
        <v>46262.90214</v>
      </c>
      <c r="B117" s="5" t="str">
        <f>IFERROR(__xludf.DUMMYFUNCTION("""COMPUTED_VALUE"""),"nadiyya.husna26@gmail.com")</f>
        <v>nadiyya.husna26@gmail.com</v>
      </c>
      <c r="C117" s="5" t="str">
        <f>IFERROR(__xludf.DUMMYFUNCTION("""COMPUTED_VALUE"""),"Nadiyyatul Husna, S.PD., Gr.")</f>
        <v>Nadiyyatul Husna, S.PD., Gr.</v>
      </c>
      <c r="D117" s="5">
        <f>IFERROR(__xludf.DUMMYFUNCTION("""COMPUTED_VALUE"""),7.000309665E9)</f>
        <v>7000309665</v>
      </c>
      <c r="E117" s="5" t="str">
        <f>IFERROR(__xludf.DUMMYFUNCTION("""COMPUTED_VALUE"""),"082336965593")</f>
        <v>082336965593</v>
      </c>
      <c r="F117" s="7">
        <f>IFERROR(__xludf.DUMMYFUNCTION("""COMPUTED_VALUE"""),36703.0)</f>
        <v>36703</v>
      </c>
      <c r="G117" s="5" t="str">
        <f>IFERROR(__xludf.DUMMYFUNCTION("""COMPUTED_VALUE"""),"S1 Pendidikan IPA")</f>
        <v>S1 Pendidikan IPA</v>
      </c>
      <c r="H117" s="5" t="str">
        <f>IFERROR(__xludf.DUMMYFUNCTION("""COMPUTED_VALUE"""),"Universitas Negeri Malang")</f>
        <v>Universitas Negeri Malang</v>
      </c>
      <c r="I117" s="5" t="str">
        <f>IFERROR(__xludf.DUMMYFUNCTION("""COMPUTED_VALUE"""),"Ilmu Pengetahuan Alam (IPA)")</f>
        <v>Ilmu Pengetahuan Alam (IPA)</v>
      </c>
      <c r="J117" s="5" t="str">
        <f>IFERROR(__xludf.DUMMYFUNCTION("""COMPUTED_VALUE"""),"PPG Calon Guru Gelombang 2 Tahun 2024")</f>
        <v>PPG Calon Guru Gelombang 2 Tahun 2024</v>
      </c>
      <c r="K117" s="5">
        <f>IFERROR(__xludf.DUMMYFUNCTION("""COMPUTED_VALUE"""),2025.0)</f>
        <v>2025</v>
      </c>
      <c r="L117" s="8" t="str">
        <f>IFERROR(__xludf.DUMMYFUNCTION("""COMPUTED_VALUE"""),"3.76")</f>
        <v>3.76</v>
      </c>
      <c r="M117" s="5" t="str">
        <f>IFERROR(__xludf.DUMMYFUNCTION("""COMPUTED_VALUE"""),"3.98")</f>
        <v>3.98</v>
      </c>
      <c r="N117" s="5" t="str">
        <f>IFERROR(__xludf.DUMMYFUNCTION("""COMPUTED_VALUE"""),"Kab. Tulungagung, Jawa Timur")</f>
        <v>Kab. Tulungagung, Jawa Timur</v>
      </c>
      <c r="O117" s="5" t="str">
        <f>IFERROR(__xludf.DUMMYFUNCTION("""COMPUTED_VALUE"""),"Tidak")</f>
        <v>Tidak</v>
      </c>
      <c r="P117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117" s="5"/>
      <c r="R117" s="5" t="str">
        <f>IFERROR(__xludf.DUMMYFUNCTION("""COMPUTED_VALUE"""),"-")</f>
        <v>-</v>
      </c>
      <c r="S117" s="11" t="str">
        <f>IFERROR(__xludf.DUMMYFUNCTION("""COMPUTED_VALUE"""),"https://drive.google.com/file/d/1ZP7zckiKpLuo6ihpZfeBTDIdqQ5XkoCD/view?usp=drive_link")</f>
        <v>https://drive.google.com/file/d/1ZP7zckiKpLuo6ihpZfeBTDIdqQ5XkoCD/view?usp=drive_link</v>
      </c>
      <c r="T117" s="5" t="str">
        <f>IFERROR(__xludf.DUMMYFUNCTION("""COMPUTED_VALUE"""),"Lainnya")</f>
        <v>Lainnya</v>
      </c>
      <c r="U117" s="5"/>
      <c r="V117" s="5"/>
      <c r="W117" s="5"/>
      <c r="X117" s="5"/>
      <c r="Y117" s="5"/>
      <c r="Z117" s="11" t="str">
        <f>IFERROR(__xludf.DUMMYFUNCTION("""COMPUTED_VALUE"""),"https://drive.google.com/open?id=1Aejyf_GILUbTtV5qiNfaM6kisjoRwbMV")</f>
        <v>https://drive.google.com/open?id=1Aejyf_GILUbTtV5qiNfaM6kisjoRwbMV</v>
      </c>
      <c r="AA117" s="42" t="s">
        <v>44</v>
      </c>
      <c r="AB117" s="5"/>
    </row>
    <row r="118">
      <c r="A118" s="4">
        <f>IFERROR(__xludf.DUMMYFUNCTION("""COMPUTED_VALUE"""),46262.90445310185)</f>
        <v>46262.90445</v>
      </c>
      <c r="B118" s="5" t="str">
        <f>IFERROR(__xludf.DUMMYFUNCTION("""COMPUTED_VALUE"""),"renildaariyani@gmail.com")</f>
        <v>renildaariyani@gmail.com</v>
      </c>
      <c r="C118" s="5" t="str">
        <f>IFERROR(__xludf.DUMMYFUNCTION("""COMPUTED_VALUE"""),"Renilda Ariyani Saragih")</f>
        <v>Renilda Ariyani Saragih</v>
      </c>
      <c r="D118" s="5">
        <f>IFERROR(__xludf.DUMMYFUNCTION("""COMPUTED_VALUE"""),7.000279399E9)</f>
        <v>7000279399</v>
      </c>
      <c r="E118" s="5" t="str">
        <f>IFERROR(__xludf.DUMMYFUNCTION("""COMPUTED_VALUE"""),"081370861174")</f>
        <v>081370861174</v>
      </c>
      <c r="F118" s="7">
        <f>IFERROR(__xludf.DUMMYFUNCTION("""COMPUTED_VALUE"""),34971.0)</f>
        <v>34971</v>
      </c>
      <c r="G118" s="5" t="str">
        <f>IFERROR(__xludf.DUMMYFUNCTION("""COMPUTED_VALUE"""),"S1")</f>
        <v>S1</v>
      </c>
      <c r="H118" s="5" t="str">
        <f>IFERROR(__xludf.DUMMYFUNCTION("""COMPUTED_VALUE"""),"Universitas Negeri Medan")</f>
        <v>Universitas Negeri Medan</v>
      </c>
      <c r="I118" s="5" t="str">
        <f>IFERROR(__xludf.DUMMYFUNCTION("""COMPUTED_VALUE"""),"Pendidikan Guru Sekolah Dasar (PGSD)")</f>
        <v>Pendidikan Guru Sekolah Dasar (PGSD)</v>
      </c>
      <c r="J118" s="5" t="str">
        <f>IFERROR(__xludf.DUMMYFUNCTION("""COMPUTED_VALUE"""),"PPG Calon Guru Gelombang 2 Tahun 2024")</f>
        <v>PPG Calon Guru Gelombang 2 Tahun 2024</v>
      </c>
      <c r="K118" s="5">
        <f>IFERROR(__xludf.DUMMYFUNCTION("""COMPUTED_VALUE"""),2025.0)</f>
        <v>2025</v>
      </c>
      <c r="L118" s="8" t="str">
        <f>IFERROR(__xludf.DUMMYFUNCTION("""COMPUTED_VALUE"""),"3.34")</f>
        <v>3.34</v>
      </c>
      <c r="M118" s="5" t="str">
        <f>IFERROR(__xludf.DUMMYFUNCTION("""COMPUTED_VALUE"""),"3.96")</f>
        <v>3.96</v>
      </c>
      <c r="N118" s="5" t="str">
        <f>IFERROR(__xludf.DUMMYFUNCTION("""COMPUTED_VALUE"""),"Medan")</f>
        <v>Medan</v>
      </c>
      <c r="O118" s="5" t="str">
        <f>IFERROR(__xludf.DUMMYFUNCTION("""COMPUTED_VALUE"""),"Tidak")</f>
        <v>Tidak</v>
      </c>
      <c r="P118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118" s="5"/>
      <c r="R118" s="11" t="str">
        <f>IFERROR(__xludf.DUMMYFUNCTION("""COMPUTED_VALUE"""),"https://drive.google.com/file/d/14nqA5xOhaV7LTMonONLJ2-rWSCf3FYn0/view?usp=sharing")</f>
        <v>https://drive.google.com/file/d/14nqA5xOhaV7LTMonONLJ2-rWSCf3FYn0/view?usp=sharing</v>
      </c>
      <c r="S118" s="11" t="str">
        <f>IFERROR(__xludf.DUMMYFUNCTION("""COMPUTED_VALUE"""),"https://drive.google.com/file/d/1hzKaO3nYD5NWhwX-5DNSbiKnTHiwK7T3/view?usp=sharing")</f>
        <v>https://drive.google.com/file/d/1hzKaO3nYD5NWhwX-5DNSbiKnTHiwK7T3/view?usp=sharing</v>
      </c>
      <c r="T118" s="5" t="str">
        <f>IFERROR(__xludf.DUMMYFUNCTION("""COMPUTED_VALUE"""),"Lainnya")</f>
        <v>Lainnya</v>
      </c>
      <c r="U118" s="5"/>
      <c r="V118" s="5"/>
      <c r="W118" s="5"/>
      <c r="X118" s="5"/>
      <c r="Y118" s="5"/>
      <c r="Z118" s="11" t="str">
        <f>IFERROR(__xludf.DUMMYFUNCTION("""COMPUTED_VALUE"""),"https://drive.google.com/open?id=19Zu3BViff_1_VoM_S3prAdYok3iTGWuE")</f>
        <v>https://drive.google.com/open?id=19Zu3BViff_1_VoM_S3prAdYok3iTGWuE</v>
      </c>
      <c r="AA118" s="42" t="s">
        <v>54</v>
      </c>
      <c r="AB118" s="5"/>
    </row>
    <row r="119">
      <c r="A119" s="4">
        <f>IFERROR(__xludf.DUMMYFUNCTION("""COMPUTED_VALUE"""),46262.97277458334)</f>
        <v>46262.97277</v>
      </c>
      <c r="B119" s="5" t="str">
        <f>IFERROR(__xludf.DUMMYFUNCTION("""COMPUTED_VALUE"""),"samsulbahrinangalili@gmail.com")</f>
        <v>samsulbahrinangalili@gmail.com</v>
      </c>
      <c r="C119" s="5" t="str">
        <f>IFERROR(__xludf.DUMMYFUNCTION("""COMPUTED_VALUE"""),"samsul bahri S.Pd, Gr")</f>
        <v>samsul bahri S.Pd, Gr</v>
      </c>
      <c r="D119" s="5"/>
      <c r="E119" s="5" t="str">
        <f>IFERROR(__xludf.DUMMYFUNCTION("""COMPUTED_VALUE"""),"085338093792")</f>
        <v>085338093792</v>
      </c>
      <c r="F119" s="7">
        <f>IFERROR(__xludf.DUMMYFUNCTION("""COMPUTED_VALUE"""),35168.0)</f>
        <v>35168</v>
      </c>
      <c r="G119" s="5" t="str">
        <f>IFERROR(__xludf.DUMMYFUNCTION("""COMPUTED_VALUE"""),"S1 Tadris IPS")</f>
        <v>S1 Tadris IPS</v>
      </c>
      <c r="H119" s="5" t="str">
        <f>IFERROR(__xludf.DUMMYFUNCTION("""COMPUTED_VALUE"""),"universitas islam negeri Mataram")</f>
        <v>universitas islam negeri Mataram</v>
      </c>
      <c r="I119" s="5" t="str">
        <f>IFERROR(__xludf.DUMMYFUNCTION("""COMPUTED_VALUE"""),"Lainnya")</f>
        <v>Lainnya</v>
      </c>
      <c r="J119" s="5" t="str">
        <f>IFERROR(__xludf.DUMMYFUNCTION("""COMPUTED_VALUE"""),"PPG Calon Guru Gelombang 2 Tahun 2024")</f>
        <v>PPG Calon Guru Gelombang 2 Tahun 2024</v>
      </c>
      <c r="K119" s="5">
        <f>IFERROR(__xludf.DUMMYFUNCTION("""COMPUTED_VALUE"""),2025.0)</f>
        <v>2025</v>
      </c>
      <c r="L119" s="8" t="str">
        <f>IFERROR(__xludf.DUMMYFUNCTION("""COMPUTED_VALUE"""),"3.60")</f>
        <v>3.60</v>
      </c>
      <c r="M119" s="5" t="str">
        <f>IFERROR(__xludf.DUMMYFUNCTION("""COMPUTED_VALUE"""),"4.00")</f>
        <v>4.00</v>
      </c>
      <c r="N119" s="5" t="str">
        <f>IFERROR(__xludf.DUMMYFUNCTION("""COMPUTED_VALUE"""),"Malang, Jawa Timur")</f>
        <v>Malang, Jawa Timur</v>
      </c>
      <c r="O119" s="5" t="str">
        <f>IFERROR(__xludf.DUMMYFUNCTION("""COMPUTED_VALUE"""),"Tidak")</f>
        <v>Tidak</v>
      </c>
      <c r="P119" s="5" t="str">
        <f>IFERROR(__xludf.DUMMYFUNCTION("""COMPUTED_VALUE"""),"Kabupaten Buton Tengah - Tenaga pendampingan pembelajaran mata pelajaran Ekonomi")</f>
        <v>Kabupaten Buton Tengah - Tenaga pendampingan pembelajaran mata pelajaran Ekonomi</v>
      </c>
      <c r="Q119" s="5"/>
      <c r="R119" s="11" t="str">
        <f>IFERROR(__xludf.DUMMYFUNCTION("""COMPUTED_VALUE"""),"https://drive.google.com/drive/folders/1ndrLT3x5BYcWVV2mZSLe8u0fR4zUiFTP")</f>
        <v>https://drive.google.com/drive/folders/1ndrLT3x5BYcWVV2mZSLe8u0fR4zUiFTP</v>
      </c>
      <c r="S119" s="11" t="str">
        <f>IFERROR(__xludf.DUMMYFUNCTION("""COMPUTED_VALUE"""),"https://drive.google.com/file/d/18IhcwPWDtcUg9_pBLGWNVBKS261-qceu/view?usp=drivesdk")</f>
        <v>https://drive.google.com/file/d/18IhcwPWDtcUg9_pBLGWNVBKS261-qceu/view?usp=drivesdk</v>
      </c>
      <c r="T119" s="5" t="str">
        <f>IFERROR(__xludf.DUMMYFUNCTION("""COMPUTED_VALUE"""),"Lainnya")</f>
        <v>Lainnya</v>
      </c>
      <c r="U119" s="5"/>
      <c r="V119" s="5"/>
      <c r="W119" s="5"/>
      <c r="X119" s="5"/>
      <c r="Y119" s="5"/>
      <c r="Z119" s="11" t="str">
        <f>IFERROR(__xludf.DUMMYFUNCTION("""COMPUTED_VALUE"""),"https://drive.google.com/open?id=1T8fL4JQu_dZTEF-gygT-D1RFT_vRfKlB")</f>
        <v>https://drive.google.com/open?id=1T8fL4JQu_dZTEF-gygT-D1RFT_vRfKlB</v>
      </c>
      <c r="AA119" s="42" t="s">
        <v>54</v>
      </c>
      <c r="AB119" s="42" t="s">
        <v>2439</v>
      </c>
    </row>
    <row r="120">
      <c r="A120" s="4">
        <f>IFERROR(__xludf.DUMMYFUNCTION("""COMPUTED_VALUE"""),46262.975038564815)</f>
        <v>46262.97504</v>
      </c>
      <c r="B120" s="5" t="str">
        <f>IFERROR(__xludf.DUMMYFUNCTION("""COMPUTED_VALUE"""),"awmega12@gmail.com")</f>
        <v>awmega12@gmail.com</v>
      </c>
      <c r="C120" s="5" t="str">
        <f>IFERROR(__xludf.DUMMYFUNCTION("""COMPUTED_VALUE"""),"Mega Asyha Widiyarti, S.Pd")</f>
        <v>Mega Asyha Widiyarti, S.Pd</v>
      </c>
      <c r="D120" s="5">
        <f>IFERROR(__xludf.DUMMYFUNCTION("""COMPUTED_VALUE"""),7.000267286E9)</f>
        <v>7000267286</v>
      </c>
      <c r="E120" s="5" t="str">
        <f>IFERROR(__xludf.DUMMYFUNCTION("""COMPUTED_VALUE"""),"085803336883")</f>
        <v>085803336883</v>
      </c>
      <c r="F120" s="7">
        <f>IFERROR(__xludf.DUMMYFUNCTION("""COMPUTED_VALUE"""),37023.0)</f>
        <v>37023</v>
      </c>
      <c r="G120" s="5" t="str">
        <f>IFERROR(__xludf.DUMMYFUNCTION("""COMPUTED_VALUE"""),"Pendidikan Ilmu Pengetahuan Alam (IPA)")</f>
        <v>Pendidikan Ilmu Pengetahuan Alam (IPA)</v>
      </c>
      <c r="H120" s="5" t="str">
        <f>IFERROR(__xludf.DUMMYFUNCTION("""COMPUTED_VALUE"""),"Universitas Pancasakti Tegal")</f>
        <v>Universitas Pancasakti Tegal</v>
      </c>
      <c r="I120" s="5" t="str">
        <f>IFERROR(__xludf.DUMMYFUNCTION("""COMPUTED_VALUE"""),"Ilmu Pengetahuan Alam (IPA)")</f>
        <v>Ilmu Pengetahuan Alam (IPA)</v>
      </c>
      <c r="J120" s="5" t="str">
        <f>IFERROR(__xludf.DUMMYFUNCTION("""COMPUTED_VALUE"""),"PPG Calon Guru Gelombang 2 Tahun 2024")</f>
        <v>PPG Calon Guru Gelombang 2 Tahun 2024</v>
      </c>
      <c r="K120" s="5">
        <f>IFERROR(__xludf.DUMMYFUNCTION("""COMPUTED_VALUE"""),2025.0)</f>
        <v>2025</v>
      </c>
      <c r="L120" s="8" t="str">
        <f>IFERROR(__xludf.DUMMYFUNCTION("""COMPUTED_VALUE"""),"3.66")</f>
        <v>3.66</v>
      </c>
      <c r="M120" s="5" t="str">
        <f>IFERROR(__xludf.DUMMYFUNCTION("""COMPUTED_VALUE"""),"4")</f>
        <v>4</v>
      </c>
      <c r="N120" s="5" t="str">
        <f>IFERROR(__xludf.DUMMYFUNCTION("""COMPUTED_VALUE"""),"Kabupaten Tegal, Jawa Tengah")</f>
        <v>Kabupaten Tegal, Jawa Tengah</v>
      </c>
      <c r="O120" s="5" t="str">
        <f>IFERROR(__xludf.DUMMYFUNCTION("""COMPUTED_VALUE"""),"Tidak")</f>
        <v>Tidak</v>
      </c>
      <c r="P120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120" s="5"/>
      <c r="R120" s="11" t="str">
        <f>IFERROR(__xludf.DUMMYFUNCTION("""COMPUTED_VALUE"""),"https://drive.google.com/drive/folders/1FWmxvG1wvGsYFwBfDwOLmVkwH5i5gSik")</f>
        <v>https://drive.google.com/drive/folders/1FWmxvG1wvGsYFwBfDwOLmVkwH5i5gSik</v>
      </c>
      <c r="S120" s="11" t="str">
        <f>IFERROR(__xludf.DUMMYFUNCTION("""COMPUTED_VALUE"""),"https://drive.google.com/file/d/1BRliNG08XfeSGbcZmOIvGmwpGeM8FGuB/view?usp=drivesdk")</f>
        <v>https://drive.google.com/file/d/1BRliNG08XfeSGbcZmOIvGmwpGeM8FGuB/view?usp=drivesdk</v>
      </c>
      <c r="T120" s="5" t="str">
        <f>IFERROR(__xludf.DUMMYFUNCTION("""COMPUTED_VALUE"""),"Lainnya")</f>
        <v>Lainnya</v>
      </c>
      <c r="U120" s="5"/>
      <c r="V120" s="5"/>
      <c r="W120" s="5"/>
      <c r="X120" s="5"/>
      <c r="Y120" s="5"/>
      <c r="Z120" s="11" t="str">
        <f>IFERROR(__xludf.DUMMYFUNCTION("""COMPUTED_VALUE"""),"https://drive.google.com/open?id=1lXk4bE7aW9KN7NbwtBqFemMU4a7AezXR")</f>
        <v>https://drive.google.com/open?id=1lXk4bE7aW9KN7NbwtBqFemMU4a7AezXR</v>
      </c>
      <c r="AA120" s="42" t="s">
        <v>44</v>
      </c>
      <c r="AB120" s="5"/>
    </row>
    <row r="121">
      <c r="A121" s="4">
        <f>IFERROR(__xludf.DUMMYFUNCTION("""COMPUTED_VALUE"""),46263.25490665509)</f>
        <v>46263.25491</v>
      </c>
      <c r="B121" s="5" t="str">
        <f>IFERROR(__xludf.DUMMYFUNCTION("""COMPUTED_VALUE"""),"afdalandhy22@gmail.com")</f>
        <v>afdalandhy22@gmail.com</v>
      </c>
      <c r="C121" s="5" t="str">
        <f>IFERROR(__xludf.DUMMYFUNCTION("""COMPUTED_VALUE"""),"Muh. Andy Afdal, S.Pd., M.Pd., Gr.")</f>
        <v>Muh. Andy Afdal, S.Pd., M.Pd., Gr.</v>
      </c>
      <c r="D121" s="5">
        <f>IFERROR(__xludf.DUMMYFUNCTION("""COMPUTED_VALUE"""),7.000081678E9)</f>
        <v>7000081678</v>
      </c>
      <c r="E121" s="5" t="str">
        <f>IFERROR(__xludf.DUMMYFUNCTION("""COMPUTED_VALUE"""),"085242615796")</f>
        <v>085242615796</v>
      </c>
      <c r="F121" s="7">
        <f>IFERROR(__xludf.DUMMYFUNCTION("""COMPUTED_VALUE"""),36160.0)</f>
        <v>36160</v>
      </c>
      <c r="G121" s="5" t="str">
        <f>IFERROR(__xludf.DUMMYFUNCTION("""COMPUTED_VALUE"""),"Tadris Biologi ")</f>
        <v>Tadris Biologi </v>
      </c>
      <c r="H121" s="5" t="str">
        <f>IFERROR(__xludf.DUMMYFUNCTION("""COMPUTED_VALUE"""),"Institut Agama Islam Negeri Kendari")</f>
        <v>Institut Agama Islam Negeri Kendari</v>
      </c>
      <c r="I121" s="5" t="str">
        <f>IFERROR(__xludf.DUMMYFUNCTION("""COMPUTED_VALUE"""),"Biologi")</f>
        <v>Biologi</v>
      </c>
      <c r="J121" s="5" t="str">
        <f>IFERROR(__xludf.DUMMYFUNCTION("""COMPUTED_VALUE"""),"PPG Prajabatan Gelombang 2 Tahun 2022")</f>
        <v>PPG Prajabatan Gelombang 2 Tahun 2022</v>
      </c>
      <c r="K121" s="5">
        <f>IFERROR(__xludf.DUMMYFUNCTION("""COMPUTED_VALUE"""),2023.0)</f>
        <v>2023</v>
      </c>
      <c r="L121" s="8" t="str">
        <f>IFERROR(__xludf.DUMMYFUNCTION("""COMPUTED_VALUE"""),"3.60")</f>
        <v>3.60</v>
      </c>
      <c r="M121" s="5" t="str">
        <f>IFERROR(__xludf.DUMMYFUNCTION("""COMPUTED_VALUE"""),"3.91")</f>
        <v>3.91</v>
      </c>
      <c r="N121" s="5" t="str">
        <f>IFERROR(__xludf.DUMMYFUNCTION("""COMPUTED_VALUE"""),"Kendari, Sulawesi Tenggara ")</f>
        <v>Kendari, Sulawesi Tenggara </v>
      </c>
      <c r="O121" s="5" t="str">
        <f>IFERROR(__xludf.DUMMYFUNCTION("""COMPUTED_VALUE"""),"Tidak")</f>
        <v>Tidak</v>
      </c>
      <c r="P121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121" s="5"/>
      <c r="R121" s="5" t="str">
        <f>IFERROR(__xludf.DUMMYFUNCTION("""COMPUTED_VALUE"""),"-")</f>
        <v>-</v>
      </c>
      <c r="S121" s="11" t="str">
        <f>IFERROR(__xludf.DUMMYFUNCTION("""COMPUTED_VALUE"""),"https://drive.google.com/drive/folders/19r7Cl5nUN2M2MKhSE7bGX8tAGaPZ57JC")</f>
        <v>https://drive.google.com/drive/folders/19r7Cl5nUN2M2MKhSE7bGX8tAGaPZ57JC</v>
      </c>
      <c r="T121" s="5" t="str">
        <f>IFERROR(__xludf.DUMMYFUNCTION("""COMPUTED_VALUE"""),"Lainnya")</f>
        <v>Lainnya</v>
      </c>
      <c r="U121" s="5"/>
      <c r="V121" s="5"/>
      <c r="W121" s="5"/>
      <c r="X121" s="5"/>
      <c r="Y121" s="5"/>
      <c r="Z121" s="11" t="str">
        <f>IFERROR(__xludf.DUMMYFUNCTION("""COMPUTED_VALUE"""),"https://drive.google.com/open?id=1aqkog-PXiYotxzfxmceQCfuMHI427cBp")</f>
        <v>https://drive.google.com/open?id=1aqkog-PXiYotxzfxmceQCfuMHI427cBp</v>
      </c>
      <c r="AA121" s="42" t="s">
        <v>44</v>
      </c>
      <c r="AB121" s="5"/>
    </row>
    <row r="122">
      <c r="A122" s="4">
        <f>IFERROR(__xludf.DUMMYFUNCTION("""COMPUTED_VALUE"""),46263.394654027776)</f>
        <v>46263.39465</v>
      </c>
      <c r="B122" s="5" t="str">
        <f>IFERROR(__xludf.DUMMYFUNCTION("""COMPUTED_VALUE"""),"arisetya20@gmail.com")</f>
        <v>arisetya20@gmail.com</v>
      </c>
      <c r="C122" s="5" t="str">
        <f>IFERROR(__xludf.DUMMYFUNCTION("""COMPUTED_VALUE"""),"Ari Setya Kusuma Ningrum,S.Pd.,Gr.")</f>
        <v>Ari Setya Kusuma Ningrum,S.Pd.,Gr.</v>
      </c>
      <c r="D122" s="5">
        <f>IFERROR(__xludf.DUMMYFUNCTION("""COMPUTED_VALUE"""),2.02300041053E11)</f>
        <v>202300041053</v>
      </c>
      <c r="E122" s="5" t="str">
        <f>IFERROR(__xludf.DUMMYFUNCTION("""COMPUTED_VALUE"""),"085641941566")</f>
        <v>085641941566</v>
      </c>
      <c r="F122" s="7">
        <f>IFERROR(__xludf.DUMMYFUNCTION("""COMPUTED_VALUE"""),36806.0)</f>
        <v>36806</v>
      </c>
      <c r="G122" s="5" t="str">
        <f>IFERROR(__xludf.DUMMYFUNCTION("""COMPUTED_VALUE"""),"Pendidikan Kimia")</f>
        <v>Pendidikan Kimia</v>
      </c>
      <c r="H122" s="5" t="str">
        <f>IFERROR(__xludf.DUMMYFUNCTION("""COMPUTED_VALUE"""),"Universitas Islam Negeri Sunan Kalijaga")</f>
        <v>Universitas Islam Negeri Sunan Kalijaga</v>
      </c>
      <c r="I122" s="5" t="str">
        <f>IFERROR(__xludf.DUMMYFUNCTION("""COMPUTED_VALUE"""),"Ilmu Pengetahuan Alam (IPA)")</f>
        <v>Ilmu Pengetahuan Alam (IPA)</v>
      </c>
      <c r="J122" s="5" t="str">
        <f>IFERROR(__xludf.DUMMYFUNCTION("""COMPUTED_VALUE"""),"Lainnya")</f>
        <v>Lainnya</v>
      </c>
      <c r="K122" s="5">
        <f>IFERROR(__xludf.DUMMYFUNCTION("""COMPUTED_VALUE"""),2025.0)</f>
        <v>2025</v>
      </c>
      <c r="L122" s="8" t="str">
        <f>IFERROR(__xludf.DUMMYFUNCTION("""COMPUTED_VALUE"""),"3,65")</f>
        <v>3,65</v>
      </c>
      <c r="M122" s="5" t="str">
        <f>IFERROR(__xludf.DUMMYFUNCTION("""COMPUTED_VALUE"""),"3,25")</f>
        <v>3,25</v>
      </c>
      <c r="N122" s="5" t="str">
        <f>IFERROR(__xludf.DUMMYFUNCTION("""COMPUTED_VALUE"""),"Samarinda, Kalimantan Timur")</f>
        <v>Samarinda, Kalimantan Timur</v>
      </c>
      <c r="O122" s="5" t="str">
        <f>IFERROR(__xludf.DUMMYFUNCTION("""COMPUTED_VALUE"""),"Tidak")</f>
        <v>Tidak</v>
      </c>
      <c r="P122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122" s="5"/>
      <c r="R122" s="5" t="str">
        <f>IFERROR(__xludf.DUMMYFUNCTION("""COMPUTED_VALUE"""),"-")</f>
        <v>-</v>
      </c>
      <c r="S122" s="11" t="str">
        <f>IFERROR(__xludf.DUMMYFUNCTION("""COMPUTED_VALUE"""),"https://drive.google.com/file/d/1h63cWRCshoOEWZoma2HqgpkbKwWhXdk_/view?usp=sharing")</f>
        <v>https://drive.google.com/file/d/1h63cWRCshoOEWZoma2HqgpkbKwWhXdk_/view?usp=sharing</v>
      </c>
      <c r="T122" s="5" t="str">
        <f>IFERROR(__xludf.DUMMYFUNCTION("""COMPUTED_VALUE"""),"Lainnya")</f>
        <v>Lainnya</v>
      </c>
      <c r="U122" s="5"/>
      <c r="V122" s="5"/>
      <c r="W122" s="5"/>
      <c r="X122" s="5"/>
      <c r="Y122" s="5"/>
      <c r="Z122" s="11" t="str">
        <f>IFERROR(__xludf.DUMMYFUNCTION("""COMPUTED_VALUE"""),"https://drive.google.com/open?id=1HF3ICibnE4CSQlskdawFSKMvSxyCwRxK")</f>
        <v>https://drive.google.com/open?id=1HF3ICibnE4CSQlskdawFSKMvSxyCwRxK</v>
      </c>
      <c r="AA122" s="42" t="s">
        <v>44</v>
      </c>
      <c r="AB122" s="5"/>
    </row>
    <row r="123">
      <c r="A123" s="4">
        <f>IFERROR(__xludf.DUMMYFUNCTION("""COMPUTED_VALUE"""),46263.40610298611)</f>
        <v>46263.4061</v>
      </c>
      <c r="B123" s="5" t="str">
        <f>IFERROR(__xludf.DUMMYFUNCTION("""COMPUTED_VALUE"""),"alimdad573@gmail.com")</f>
        <v>alimdad573@gmail.com</v>
      </c>
      <c r="C123" s="5" t="str">
        <f>IFERROR(__xludf.DUMMYFUNCTION("""COMPUTED_VALUE"""),"Al Imdad Kholid Mawardi ")</f>
        <v>Al Imdad Kholid Mawardi </v>
      </c>
      <c r="D123" s="5"/>
      <c r="E123" s="5" t="str">
        <f>IFERROR(__xludf.DUMMYFUNCTION("""COMPUTED_VALUE"""),"085786378412")</f>
        <v>085786378412</v>
      </c>
      <c r="F123" s="7">
        <f>IFERROR(__xludf.DUMMYFUNCTION("""COMPUTED_VALUE"""),35677.0)</f>
        <v>35677</v>
      </c>
      <c r="G123" s="5" t="str">
        <f>IFERROR(__xludf.DUMMYFUNCTION("""COMPUTED_VALUE"""),"S1 Pendidikan Bahasa Inggris ")</f>
        <v>S1 Pendidikan Bahasa Inggris </v>
      </c>
      <c r="H123" s="5" t="str">
        <f>IFERROR(__xludf.DUMMYFUNCTION("""COMPUTED_VALUE"""),"UIN Sunan Kudus ")</f>
        <v>UIN Sunan Kudus </v>
      </c>
      <c r="I123" s="5" t="str">
        <f>IFERROR(__xludf.DUMMYFUNCTION("""COMPUTED_VALUE"""),"Bahasa Inggris")</f>
        <v>Bahasa Inggris</v>
      </c>
      <c r="J123" s="5" t="str">
        <f>IFERROR(__xludf.DUMMYFUNCTION("""COMPUTED_VALUE"""),"Lainnya")</f>
        <v>Lainnya</v>
      </c>
      <c r="K123" s="5"/>
      <c r="L123" s="8" t="str">
        <f>IFERROR(__xludf.DUMMYFUNCTION("""COMPUTED_VALUE"""),"3.52")</f>
        <v>3.52</v>
      </c>
      <c r="M123" s="5" t="str">
        <f>IFERROR(__xludf.DUMMYFUNCTION("""COMPUTED_VALUE"""),"Belum pernah PPG")</f>
        <v>Belum pernah PPG</v>
      </c>
      <c r="N123" s="5" t="str">
        <f>IFERROR(__xludf.DUMMYFUNCTION("""COMPUTED_VALUE"""),"Sumanding RT 13 RW 4 Kembang Jepara ")</f>
        <v>Sumanding RT 13 RW 4 Kembang Jepara </v>
      </c>
      <c r="O123" s="5" t="str">
        <f>IFERROR(__xludf.DUMMYFUNCTION("""COMPUTED_VALUE"""),"Tidak")</f>
        <v>Tidak</v>
      </c>
      <c r="P123" s="5" t="str">
        <f>IFERROR(__xludf.DUMMYFUNCTION("""COMPUTED_VALUE"""),"Kabupaten Jepara - Tenaga pendampingan pembelajaran mata pelajaran Pendidikan Agama Islam")</f>
        <v>Kabupaten Jepara - Tenaga pendampingan pembelajaran mata pelajaran Pendidikan Agama Islam</v>
      </c>
      <c r="Q123" s="5"/>
      <c r="R123" s="11" t="str">
        <f>IFERROR(__xludf.DUMMYFUNCTION("""COMPUTED_VALUE"""),"https://drive.google.com/file/d/1-lG7m3YIWvMtVFoWqOY1Riq3aCDpb8XH/view?usp=drivesdk")</f>
        <v>https://drive.google.com/file/d/1-lG7m3YIWvMtVFoWqOY1Riq3aCDpb8XH/view?usp=drivesdk</v>
      </c>
      <c r="S123" s="11" t="str">
        <f>IFERROR(__xludf.DUMMYFUNCTION("""COMPUTED_VALUE"""),"https://youtu.be/oP0RAgZwB20?si=hO9OzKPNJI9RBPI1")</f>
        <v>https://youtu.be/oP0RAgZwB20?si=hO9OzKPNJI9RBPI1</v>
      </c>
      <c r="T123" s="5" t="str">
        <f>IFERROR(__xludf.DUMMYFUNCTION("""COMPUTED_VALUE"""),"Lainnya")</f>
        <v>Lainnya</v>
      </c>
      <c r="U123" s="5"/>
      <c r="V123" s="5"/>
      <c r="W123" s="5"/>
      <c r="X123" s="5"/>
      <c r="Y123" s="5"/>
      <c r="Z123" s="11" t="str">
        <f>IFERROR(__xludf.DUMMYFUNCTION("""COMPUTED_VALUE"""),"https://drive.google.com/open?id=105NaJyJ8n3Hpra3k3TXydc_dL3Jd0sl5")</f>
        <v>https://drive.google.com/open?id=105NaJyJ8n3Hpra3k3TXydc_dL3Jd0sl5</v>
      </c>
      <c r="AA123" s="42" t="s">
        <v>54</v>
      </c>
      <c r="AB123" s="42" t="s">
        <v>2439</v>
      </c>
    </row>
    <row r="124">
      <c r="A124" s="4">
        <f>IFERROR(__xludf.DUMMYFUNCTION("""COMPUTED_VALUE"""),46263.44426012732)</f>
        <v>46263.44426</v>
      </c>
      <c r="B124" s="5" t="str">
        <f>IFERROR(__xludf.DUMMYFUNCTION("""COMPUTED_VALUE"""),"badruntamam22@gmail.com")</f>
        <v>badruntamam22@gmail.com</v>
      </c>
      <c r="C124" s="5" t="str">
        <f>IFERROR(__xludf.DUMMYFUNCTION("""COMPUTED_VALUE"""),"M Badrun Tamam,S.M.,M.Pd.,Gr.")</f>
        <v>M Badrun Tamam,S.M.,M.Pd.,Gr.</v>
      </c>
      <c r="D124" s="5">
        <f>IFERROR(__xludf.DUMMYFUNCTION("""COMPUTED_VALUE"""),2.02100262388E11)</f>
        <v>202100262388</v>
      </c>
      <c r="E124" s="5" t="str">
        <f>IFERROR(__xludf.DUMMYFUNCTION("""COMPUTED_VALUE"""),"082291417198")</f>
        <v>082291417198</v>
      </c>
      <c r="F124" s="7">
        <f>IFERROR(__xludf.DUMMYFUNCTION("""COMPUTED_VALUE"""),36455.0)</f>
        <v>36455</v>
      </c>
      <c r="G124" s="5" t="str">
        <f>IFERROR(__xludf.DUMMYFUNCTION("""COMPUTED_VALUE"""),"Manajemen ")</f>
        <v>Manajemen </v>
      </c>
      <c r="H124" s="5" t="str">
        <f>IFERROR(__xludf.DUMMYFUNCTION("""COMPUTED_VALUE"""),"Universitas Terbuka ")</f>
        <v>Universitas Terbuka </v>
      </c>
      <c r="I124" s="5" t="str">
        <f>IFERROR(__xludf.DUMMYFUNCTION("""COMPUTED_VALUE"""),"Ekonomi")</f>
        <v>Ekonomi</v>
      </c>
      <c r="J124" s="5" t="str">
        <f>IFERROR(__xludf.DUMMYFUNCTION("""COMPUTED_VALUE"""),"Lainnya")</f>
        <v>Lainnya</v>
      </c>
      <c r="K124" s="5">
        <f>IFERROR(__xludf.DUMMYFUNCTION("""COMPUTED_VALUE"""),2025.0)</f>
        <v>2025</v>
      </c>
      <c r="L124" s="8" t="str">
        <f>IFERROR(__xludf.DUMMYFUNCTION("""COMPUTED_VALUE"""),"3.67")</f>
        <v>3.67</v>
      </c>
      <c r="M124" s="5" t="str">
        <f>IFERROR(__xludf.DUMMYFUNCTION("""COMPUTED_VALUE"""),"3.80")</f>
        <v>3.80</v>
      </c>
      <c r="N124" s="5" t="str">
        <f>IFERROR(__xludf.DUMMYFUNCTION("""COMPUTED_VALUE"""),"Sumatera Selatan ")</f>
        <v>Sumatera Selatan </v>
      </c>
      <c r="O124" s="5" t="str">
        <f>IFERROR(__xludf.DUMMYFUNCTION("""COMPUTED_VALUE"""),"Tidak")</f>
        <v>Tidak</v>
      </c>
      <c r="P124" s="5" t="str">
        <f>IFERROR(__xludf.DUMMYFUNCTION("""COMPUTED_VALUE"""),"Kabupaten Buton Tengah - Tenaga pendampingan pembelajaran mata pelajaran Ekonomi")</f>
        <v>Kabupaten Buton Tengah - Tenaga pendampingan pembelajaran mata pelajaran Ekonomi</v>
      </c>
      <c r="Q124" s="5"/>
      <c r="R124" s="11" t="str">
        <f>IFERROR(__xludf.DUMMYFUNCTION("""COMPUTED_VALUE"""),"https://drive.google.com/drive/folders/1ImdPZJI12fytqEYqcUZifUZ2g9G3zYFB?usp=drive_link")</f>
        <v>https://drive.google.com/drive/folders/1ImdPZJI12fytqEYqcUZifUZ2g9G3zYFB?usp=drive_link</v>
      </c>
      <c r="S124" s="11" t="str">
        <f>IFERROR(__xludf.DUMMYFUNCTION("""COMPUTED_VALUE"""),"https://drive.google.com/file/d/1GQENiDMv0dD3I-c0kM8Drtvu50DBv0Vv/view?usp=sharing")</f>
        <v>https://drive.google.com/file/d/1GQENiDMv0dD3I-c0kM8Drtvu50DBv0Vv/view?usp=sharing</v>
      </c>
      <c r="T124" s="5" t="str">
        <f>IFERROR(__xludf.DUMMYFUNCTION("""COMPUTED_VALUE"""),"Lainnya")</f>
        <v>Lainnya</v>
      </c>
      <c r="U124" s="5"/>
      <c r="V124" s="5"/>
      <c r="W124" s="5"/>
      <c r="X124" s="5"/>
      <c r="Y124" s="5"/>
      <c r="Z124" s="11" t="str">
        <f>IFERROR(__xludf.DUMMYFUNCTION("""COMPUTED_VALUE"""),"https://drive.google.com/open?id=1FYmGInbC4EY_QQZME-rwgBsRPczS9zfe")</f>
        <v>https://drive.google.com/open?id=1FYmGInbC4EY_QQZME-rwgBsRPczS9zfe</v>
      </c>
      <c r="AA124" s="42" t="s">
        <v>44</v>
      </c>
      <c r="AB124" s="5"/>
    </row>
    <row r="125">
      <c r="A125" s="4">
        <f>IFERROR(__xludf.DUMMYFUNCTION("""COMPUTED_VALUE"""),46263.56249267361)</f>
        <v>46263.56249</v>
      </c>
      <c r="B125" s="5" t="str">
        <f>IFERROR(__xludf.DUMMYFUNCTION("""COMPUTED_VALUE"""),"setyatya885@gmail.com")</f>
        <v>setyatya885@gmail.com</v>
      </c>
      <c r="C125" s="5" t="str">
        <f>IFERROR(__xludf.DUMMYFUNCTION("""COMPUTED_VALUE"""),"Tri Wahyu Setyaningrum, S.Pd. Gr.")</f>
        <v>Tri Wahyu Setyaningrum, S.Pd. Gr.</v>
      </c>
      <c r="D125" s="5">
        <f>IFERROR(__xludf.DUMMYFUNCTION("""COMPUTED_VALUE"""),7.000126178E9)</f>
        <v>7000126178</v>
      </c>
      <c r="E125" s="5" t="str">
        <f>IFERROR(__xludf.DUMMYFUNCTION("""COMPUTED_VALUE"""),"089651235056")</f>
        <v>089651235056</v>
      </c>
      <c r="F125" s="7">
        <f>IFERROR(__xludf.DUMMYFUNCTION("""COMPUTED_VALUE"""),36302.0)</f>
        <v>36302</v>
      </c>
      <c r="G125" s="5" t="str">
        <f>IFERROR(__xludf.DUMMYFUNCTION("""COMPUTED_VALUE"""),"Pendidikan Bahasa dan Sastra Indonesia")</f>
        <v>Pendidikan Bahasa dan Sastra Indonesia</v>
      </c>
      <c r="H125" s="5" t="str">
        <f>IFERROR(__xludf.DUMMYFUNCTION("""COMPUTED_VALUE"""),"Universitas Islam Sultan Agung Semarang")</f>
        <v>Universitas Islam Sultan Agung Semarang</v>
      </c>
      <c r="I125" s="5" t="str">
        <f>IFERROR(__xludf.DUMMYFUNCTION("""COMPUTED_VALUE"""),"Bahasa Indonesia")</f>
        <v>Bahasa Indonesia</v>
      </c>
      <c r="J125" s="5" t="str">
        <f>IFERROR(__xludf.DUMMYFUNCTION("""COMPUTED_VALUE"""),"PPG Prajabatan Gelombang 1 Tahun 2023")</f>
        <v>PPG Prajabatan Gelombang 1 Tahun 2023</v>
      </c>
      <c r="K125" s="5">
        <f>IFERROR(__xludf.DUMMYFUNCTION("""COMPUTED_VALUE"""),2024.0)</f>
        <v>2024</v>
      </c>
      <c r="L125" s="8" t="str">
        <f>IFERROR(__xludf.DUMMYFUNCTION("""COMPUTED_VALUE"""),"3,75")</f>
        <v>3,75</v>
      </c>
      <c r="M125" s="5" t="str">
        <f>IFERROR(__xludf.DUMMYFUNCTION("""COMPUTED_VALUE"""),"3,65")</f>
        <v>3,65</v>
      </c>
      <c r="N125" s="5" t="str">
        <f>IFERROR(__xludf.DUMMYFUNCTION("""COMPUTED_VALUE"""),"Kota jepara, Jawa tengah")</f>
        <v>Kota jepara, Jawa tengah</v>
      </c>
      <c r="O125" s="5" t="str">
        <f>IFERROR(__xludf.DUMMYFUNCTION("""COMPUTED_VALUE"""),"Tidak")</f>
        <v>Tidak</v>
      </c>
      <c r="P125" s="5" t="str">
        <f>IFERROR(__xludf.DUMMYFUNCTION("""COMPUTED_VALUE"""),"Kabupaten Jepara - Tenaga pendampingan pembelajaran mata pelajaran Pendidikan Agama Islam")</f>
        <v>Kabupaten Jepara - Tenaga pendampingan pembelajaran mata pelajaran Pendidikan Agama Islam</v>
      </c>
      <c r="Q125" s="5"/>
      <c r="R125" s="5" t="str">
        <f>IFERROR(__xludf.DUMMYFUNCTION("""COMPUTED_VALUE"""),"Tidak ada")</f>
        <v>Tidak ada</v>
      </c>
      <c r="S125" s="11" t="str">
        <f>IFERROR(__xludf.DUMMYFUNCTION("""COMPUTED_VALUE"""),"https://drive.google.com/file/d/1yLn3_MYhL5-OebQhFTTWudj9syRpa_F4/view?usp=drivesdk")</f>
        <v>https://drive.google.com/file/d/1yLn3_MYhL5-OebQhFTTWudj9syRpa_F4/view?usp=drivesdk</v>
      </c>
      <c r="T125" s="5" t="str">
        <f>IFERROR(__xludf.DUMMYFUNCTION("""COMPUTED_VALUE"""),"Lainnya")</f>
        <v>Lainnya</v>
      </c>
      <c r="U125" s="5"/>
      <c r="V125" s="5"/>
      <c r="W125" s="5"/>
      <c r="X125" s="5"/>
      <c r="Y125" s="5"/>
      <c r="Z125" s="11" t="str">
        <f>IFERROR(__xludf.DUMMYFUNCTION("""COMPUTED_VALUE"""),"https://drive.google.com/open?id=1q3GU7OsjVFtPwbqyy_aj5GpohsFF_3bw")</f>
        <v>https://drive.google.com/open?id=1q3GU7OsjVFtPwbqyy_aj5GpohsFF_3bw</v>
      </c>
      <c r="AA125" s="42" t="s">
        <v>54</v>
      </c>
      <c r="AB125" s="42" t="s">
        <v>2439</v>
      </c>
    </row>
    <row r="126">
      <c r="A126" s="4">
        <f>IFERROR(__xludf.DUMMYFUNCTION("""COMPUTED_VALUE"""),46263.62285997685)</f>
        <v>46263.62286</v>
      </c>
      <c r="B126" s="5" t="str">
        <f>IFERROR(__xludf.DUMMYFUNCTION("""COMPUTED_VALUE"""),"nurulazila117@gmail.com")</f>
        <v>nurulazila117@gmail.com</v>
      </c>
      <c r="C126" s="5" t="str">
        <f>IFERROR(__xludf.DUMMYFUNCTION("""COMPUTED_VALUE"""),"NURUL AZILA ROMDANI")</f>
        <v>NURUL AZILA ROMDANI</v>
      </c>
      <c r="D126" s="5">
        <f>IFERROR(__xludf.DUMMYFUNCTION("""COMPUTED_VALUE"""),7.000173526E9)</f>
        <v>7000173526</v>
      </c>
      <c r="E126" s="5" t="str">
        <f>IFERROR(__xludf.DUMMYFUNCTION("""COMPUTED_VALUE"""),"087763041885")</f>
        <v>087763041885</v>
      </c>
      <c r="F126" s="7">
        <f>IFERROR(__xludf.DUMMYFUNCTION("""COMPUTED_VALUE"""),36840.0)</f>
        <v>36840</v>
      </c>
      <c r="G126" s="5" t="str">
        <f>IFERROR(__xludf.DUMMYFUNCTION("""COMPUTED_VALUE"""),"Tadris Kimia")</f>
        <v>Tadris Kimia</v>
      </c>
      <c r="H126" s="5" t="str">
        <f>IFERROR(__xludf.DUMMYFUNCTION("""COMPUTED_VALUE"""),"UIN Mataram")</f>
        <v>UIN Mataram</v>
      </c>
      <c r="I126" s="5" t="str">
        <f>IFERROR(__xludf.DUMMYFUNCTION("""COMPUTED_VALUE"""),"Pendidikan Guru Sekolah Dasar (PGSD)")</f>
        <v>Pendidikan Guru Sekolah Dasar (PGSD)</v>
      </c>
      <c r="J126" s="5" t="str">
        <f>IFERROR(__xludf.DUMMYFUNCTION("""COMPUTED_VALUE"""),"PPG Prajabatan Gelombang 1 Tahun 2024")</f>
        <v>PPG Prajabatan Gelombang 1 Tahun 2024</v>
      </c>
      <c r="K126" s="5">
        <f>IFERROR(__xludf.DUMMYFUNCTION("""COMPUTED_VALUE"""),2025.0)</f>
        <v>2025</v>
      </c>
      <c r="L126" s="8" t="str">
        <f>IFERROR(__xludf.DUMMYFUNCTION("""COMPUTED_VALUE"""),"3.74")</f>
        <v>3.74</v>
      </c>
      <c r="M126" s="5" t="str">
        <f>IFERROR(__xludf.DUMMYFUNCTION("""COMPUTED_VALUE"""),"3.7")</f>
        <v>3.7</v>
      </c>
      <c r="N126" s="5" t="str">
        <f>IFERROR(__xludf.DUMMYFUNCTION("""COMPUTED_VALUE"""),"Lombok Timur, NUSA TENGGARA BARAT")</f>
        <v>Lombok Timur, NUSA TENGGARA BARAT</v>
      </c>
      <c r="O126" s="5" t="str">
        <f>IFERROR(__xludf.DUMMYFUNCTION("""COMPUTED_VALUE"""),"Tidak")</f>
        <v>Tidak</v>
      </c>
      <c r="P126" s="5" t="str">
        <f>IFERROR(__xludf.DUMMYFUNCTION("""COMPUTED_VALUE"""),"Kabupaten Jepara - Tenaga pendampingan pembelajaran mata pelajaran Pendidikan Agama Islam")</f>
        <v>Kabupaten Jepara - Tenaga pendampingan pembelajaran mata pelajaran Pendidikan Agama Islam</v>
      </c>
      <c r="Q126" s="5"/>
      <c r="R126" s="5" t="str">
        <f>IFERROR(__xludf.DUMMYFUNCTION("""COMPUTED_VALUE"""),"-")</f>
        <v>-</v>
      </c>
      <c r="S126" s="11" t="str">
        <f>IFERROR(__xludf.DUMMYFUNCTION("""COMPUTED_VALUE"""),"https://drive.google.com/file/d/1inWgsc02ZaqNB70EC2EVK0FdqyB57gDq/view?usp=drivesdk")</f>
        <v>https://drive.google.com/file/d/1inWgsc02ZaqNB70EC2EVK0FdqyB57gDq/view?usp=drivesdk</v>
      </c>
      <c r="T126" s="5" t="str">
        <f>IFERROR(__xludf.DUMMYFUNCTION("""COMPUTED_VALUE"""),"Lainnya")</f>
        <v>Lainnya</v>
      </c>
      <c r="U126" s="5"/>
      <c r="V126" s="5"/>
      <c r="W126" s="5"/>
      <c r="X126" s="5"/>
      <c r="Y126" s="5"/>
      <c r="Z126" s="11" t="str">
        <f>IFERROR(__xludf.DUMMYFUNCTION("""COMPUTED_VALUE"""),"https://drive.google.com/open?id=1DkBa6amopGHRrlDn_4AkPPFgIwhhSafj")</f>
        <v>https://drive.google.com/open?id=1DkBa6amopGHRrlDn_4AkPPFgIwhhSafj</v>
      </c>
      <c r="AA126" s="42" t="s">
        <v>54</v>
      </c>
      <c r="AB126" s="42" t="s">
        <v>2439</v>
      </c>
    </row>
    <row r="127">
      <c r="A127" s="4">
        <f>IFERROR(__xludf.DUMMYFUNCTION("""COMPUTED_VALUE"""),46263.62319716435)</f>
        <v>46263.6232</v>
      </c>
      <c r="B127" s="5" t="str">
        <f>IFERROR(__xludf.DUMMYFUNCTION("""COMPUTED_VALUE"""),"aguspurwanto9898@gmail.com")</f>
        <v>aguspurwanto9898@gmail.com</v>
      </c>
      <c r="C127" s="5" t="str">
        <f>IFERROR(__xludf.DUMMYFUNCTION("""COMPUTED_VALUE"""),"Agus Purwanto, S.Pd,. Gr")</f>
        <v>Agus Purwanto, S.Pd,. Gr</v>
      </c>
      <c r="D127" s="5"/>
      <c r="E127" s="5" t="str">
        <f>IFERROR(__xludf.DUMMYFUNCTION("""COMPUTED_VALUE"""),"082221906886")</f>
        <v>082221906886</v>
      </c>
      <c r="F127" s="7">
        <f>IFERROR(__xludf.DUMMYFUNCTION("""COMPUTED_VALUE"""),34555.0)</f>
        <v>34555</v>
      </c>
      <c r="G127" s="5" t="str">
        <f>IFERROR(__xludf.DUMMYFUNCTION("""COMPUTED_VALUE"""),"Pendidikan Agama Islam")</f>
        <v>Pendidikan Agama Islam</v>
      </c>
      <c r="H127" s="5" t="str">
        <f>IFERROR(__xludf.DUMMYFUNCTION("""COMPUTED_VALUE"""),"IAIN Purwokerto")</f>
        <v>IAIN Purwokerto</v>
      </c>
      <c r="I127" s="5" t="str">
        <f>IFERROR(__xludf.DUMMYFUNCTION("""COMPUTED_VALUE"""),"Agama Islam")</f>
        <v>Agama Islam</v>
      </c>
      <c r="J127" s="5" t="str">
        <f>IFERROR(__xludf.DUMMYFUNCTION("""COMPUTED_VALUE"""),"Lainnya")</f>
        <v>Lainnya</v>
      </c>
      <c r="K127" s="5">
        <f>IFERROR(__xludf.DUMMYFUNCTION("""COMPUTED_VALUE"""),2025.0)</f>
        <v>2025</v>
      </c>
      <c r="L127" s="8" t="str">
        <f>IFERROR(__xludf.DUMMYFUNCTION("""COMPUTED_VALUE"""),"3.37")</f>
        <v>3.37</v>
      </c>
      <c r="M127" s="5" t="str">
        <f>IFERROR(__xludf.DUMMYFUNCTION("""COMPUTED_VALUE"""),"4.00")</f>
        <v>4.00</v>
      </c>
      <c r="N127" s="5" t="str">
        <f>IFERROR(__xludf.DUMMYFUNCTION("""COMPUTED_VALUE"""),"Purwokerto Banyumas, Jawa Tengah")</f>
        <v>Purwokerto Banyumas, Jawa Tengah</v>
      </c>
      <c r="O127" s="5" t="str">
        <f>IFERROR(__xludf.DUMMYFUNCTION("""COMPUTED_VALUE"""),"Tidak")</f>
        <v>Tidak</v>
      </c>
      <c r="P127" s="5" t="str">
        <f>IFERROR(__xludf.DUMMYFUNCTION("""COMPUTED_VALUE"""),"Kabupaten Jepara - Tenaga pendampingan pembelajaran mata pelajaran Pendidikan Agama Islam")</f>
        <v>Kabupaten Jepara - Tenaga pendampingan pembelajaran mata pelajaran Pendidikan Agama Islam</v>
      </c>
      <c r="Q127" s="5"/>
      <c r="R127" s="11" t="str">
        <f>IFERROR(__xludf.DUMMYFUNCTION("""COMPUTED_VALUE"""),"https://drive.google.com/drive/folders/1SZ1ZPD_q15yjwwsA-5ciCU9QFu3qcg6p?usp=sharing")</f>
        <v>https://drive.google.com/drive/folders/1SZ1ZPD_q15yjwwsA-5ciCU9QFu3qcg6p?usp=sharing</v>
      </c>
      <c r="S127" s="11" t="str">
        <f>IFERROR(__xludf.DUMMYFUNCTION("""COMPUTED_VALUE"""),"https://drive.google.com/file/d/1CFs00UBUQCekRLavWxUV47wLbsqjWAt5/view?usp=sharing")</f>
        <v>https://drive.google.com/file/d/1CFs00UBUQCekRLavWxUV47wLbsqjWAt5/view?usp=sharing</v>
      </c>
      <c r="T127" s="5" t="str">
        <f>IFERROR(__xludf.DUMMYFUNCTION("""COMPUTED_VALUE"""),"Lainnya")</f>
        <v>Lainnya</v>
      </c>
      <c r="U127" s="5"/>
      <c r="V127" s="5"/>
      <c r="W127" s="5"/>
      <c r="X127" s="5"/>
      <c r="Y127" s="5"/>
      <c r="Z127" s="11" t="str">
        <f>IFERROR(__xludf.DUMMYFUNCTION("""COMPUTED_VALUE"""),"https://drive.google.com/open?id=1yiLLIgF2KMyVwTOkhP0MajWm-p4tQ4n4")</f>
        <v>https://drive.google.com/open?id=1yiLLIgF2KMyVwTOkhP0MajWm-p4tQ4n4</v>
      </c>
      <c r="AA127" s="42" t="s">
        <v>44</v>
      </c>
      <c r="AB127" s="5"/>
    </row>
    <row r="128">
      <c r="A128" s="4">
        <f>IFERROR(__xludf.DUMMYFUNCTION("""COMPUTED_VALUE"""),46263.68973283564)</f>
        <v>46263.68973</v>
      </c>
      <c r="B128" s="5" t="str">
        <f>IFERROR(__xludf.DUMMYFUNCTION("""COMPUTED_VALUE"""),"ppg.rizqiramayanti03@program.belajar.id")</f>
        <v>ppg.rizqiramayanti03@program.belajar.id</v>
      </c>
      <c r="C128" s="5" t="str">
        <f>IFERROR(__xludf.DUMMYFUNCTION("""COMPUTED_VALUE"""),"Rizqi Ramayanti, S.Pd., Gr. ")</f>
        <v>Rizqi Ramayanti, S.Pd., Gr. </v>
      </c>
      <c r="D128" s="5">
        <f>IFERROR(__xludf.DUMMYFUNCTION("""COMPUTED_VALUE"""),7.000092201E9)</f>
        <v>7000092201</v>
      </c>
      <c r="E128" s="5" t="str">
        <f>IFERROR(__xludf.DUMMYFUNCTION("""COMPUTED_VALUE"""),"082313120375")</f>
        <v>082313120375</v>
      </c>
      <c r="F128" s="7">
        <f>IFERROR(__xludf.DUMMYFUNCTION("""COMPUTED_VALUE"""),36587.0)</f>
        <v>36587</v>
      </c>
      <c r="G128" s="5" t="str">
        <f>IFERROR(__xludf.DUMMYFUNCTION("""COMPUTED_VALUE"""),"Pendidikan Biologi ")</f>
        <v>Pendidikan Biologi </v>
      </c>
      <c r="H128" s="5" t="str">
        <f>IFERROR(__xludf.DUMMYFUNCTION("""COMPUTED_VALUE"""),"Universitas PGRI Semarang")</f>
        <v>Universitas PGRI Semarang</v>
      </c>
      <c r="I128" s="5" t="str">
        <f>IFERROR(__xludf.DUMMYFUNCTION("""COMPUTED_VALUE"""),"Biologi")</f>
        <v>Biologi</v>
      </c>
      <c r="J128" s="5" t="str">
        <f>IFERROR(__xludf.DUMMYFUNCTION("""COMPUTED_VALUE"""),"PPG Prajabatan Gelombang 2 Tahun 2022")</f>
        <v>PPG Prajabatan Gelombang 2 Tahun 2022</v>
      </c>
      <c r="K128" s="5">
        <f>IFERROR(__xludf.DUMMYFUNCTION("""COMPUTED_VALUE"""),2023.0)</f>
        <v>2023</v>
      </c>
      <c r="L128" s="8" t="str">
        <f>IFERROR(__xludf.DUMMYFUNCTION("""COMPUTED_VALUE"""),"3.89")</f>
        <v>3.89</v>
      </c>
      <c r="M128" s="5" t="str">
        <f>IFERROR(__xludf.DUMMYFUNCTION("""COMPUTED_VALUE"""),"4.00")</f>
        <v>4.00</v>
      </c>
      <c r="N128" s="5" t="str">
        <f>IFERROR(__xludf.DUMMYFUNCTION("""COMPUTED_VALUE"""),"Brebes, Jawa Tengah ")</f>
        <v>Brebes, Jawa Tengah </v>
      </c>
      <c r="O128" s="5" t="str">
        <f>IFERROR(__xludf.DUMMYFUNCTION("""COMPUTED_VALUE"""),"Tidak")</f>
        <v>Tidak</v>
      </c>
      <c r="P128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128" s="5"/>
      <c r="R128" s="11" t="str">
        <f>IFERROR(__xludf.DUMMYFUNCTION("""COMPUTED_VALUE"""),"https://drive.google.com/drive/folders/1XsMCUlchwcIlnTpW3i2f_44hqHIdj6Qd")</f>
        <v>https://drive.google.com/drive/folders/1XsMCUlchwcIlnTpW3i2f_44hqHIdj6Qd</v>
      </c>
      <c r="S128" s="11" t="str">
        <f>IFERROR(__xludf.DUMMYFUNCTION("""COMPUTED_VALUE"""),"https://drive.google.com/file/d/1MDgO8wyA5Ky-V_4yvxhKBLDemJPoL33Z/view?usp=drivesdk")</f>
        <v>https://drive.google.com/file/d/1MDgO8wyA5Ky-V_4yvxhKBLDemJPoL33Z/view?usp=drivesdk</v>
      </c>
      <c r="T128" s="5" t="str">
        <f>IFERROR(__xludf.DUMMYFUNCTION("""COMPUTED_VALUE"""),"Alumni PPG Calon Guru / Prajabatan FKIP UNS")</f>
        <v>Alumni PPG Calon Guru / Prajabatan FKIP UNS</v>
      </c>
      <c r="U128" s="5" t="str">
        <f>IFERROR(__xludf.DUMMYFUNCTION("""COMPUTED_VALUE"""),"X9022084170")</f>
        <v>X9022084170</v>
      </c>
      <c r="V128" s="5" t="str">
        <f>IFERROR(__xludf.DUMMYFUNCTION("""COMPUTED_VALUE"""),"18320045")</f>
        <v>18320045</v>
      </c>
      <c r="W128" s="5" t="str">
        <f>IFERROR(__xludf.DUMMYFUNCTION("""COMPUTED_VALUE"""),"Pendidikan Biologi ")</f>
        <v>Pendidikan Biologi </v>
      </c>
      <c r="X128" s="5" t="str">
        <f>IFERROR(__xludf.DUMMYFUNCTION("""COMPUTED_VALUE"""),"UNS ")</f>
        <v>UNS </v>
      </c>
      <c r="Y128" s="5" t="str">
        <f>IFERROR(__xludf.DUMMYFUNCTION("""COMPUTED_VALUE"""),"-")</f>
        <v>-</v>
      </c>
      <c r="Z128" s="11" t="str">
        <f>IFERROR(__xludf.DUMMYFUNCTION("""COMPUTED_VALUE"""),"https://drive.google.com/open?id=1711mTM3smZ4rITMESesub-4mmPJ0UDcw")</f>
        <v>https://drive.google.com/open?id=1711mTM3smZ4rITMESesub-4mmPJ0UDcw</v>
      </c>
      <c r="AA128" s="42" t="s">
        <v>44</v>
      </c>
      <c r="AB128" s="5"/>
    </row>
    <row r="129">
      <c r="A129" s="4">
        <f>IFERROR(__xludf.DUMMYFUNCTION("""COMPUTED_VALUE"""),46263.69219637731)</f>
        <v>46263.6922</v>
      </c>
      <c r="B129" s="5" t="str">
        <f>IFERROR(__xludf.DUMMYFUNCTION("""COMPUTED_VALUE"""),"ajengnurulwalidaenii@gmail.com")</f>
        <v>ajengnurulwalidaenii@gmail.com</v>
      </c>
      <c r="C129" s="5" t="str">
        <f>IFERROR(__xludf.DUMMYFUNCTION("""COMPUTED_VALUE"""),"Ajeng Nurul Walidaeni, S.Pd., Gr.")</f>
        <v>Ajeng Nurul Walidaeni, S.Pd., Gr.</v>
      </c>
      <c r="D129" s="5">
        <f>IFERROR(__xludf.DUMMYFUNCTION("""COMPUTED_VALUE"""),7.00015207E9)</f>
        <v>7000152070</v>
      </c>
      <c r="E129" s="5" t="str">
        <f>IFERROR(__xludf.DUMMYFUNCTION("""COMPUTED_VALUE"""),"081395319346")</f>
        <v>081395319346</v>
      </c>
      <c r="F129" s="7">
        <f>IFERROR(__xludf.DUMMYFUNCTION("""COMPUTED_VALUE"""),36371.0)</f>
        <v>36371</v>
      </c>
      <c r="G129" s="5" t="str">
        <f>IFERROR(__xludf.DUMMYFUNCTION("""COMPUTED_VALUE"""),"Pendidikan Kimia")</f>
        <v>Pendidikan Kimia</v>
      </c>
      <c r="H129" s="5" t="str">
        <f>IFERROR(__xludf.DUMMYFUNCTION("""COMPUTED_VALUE"""),"UIN Sunan Gunung Djati Bandung")</f>
        <v>UIN Sunan Gunung Djati Bandung</v>
      </c>
      <c r="I129" s="5" t="str">
        <f>IFERROR(__xludf.DUMMYFUNCTION("""COMPUTED_VALUE"""),"Ilmu Pengetahuan Alam (IPA)")</f>
        <v>Ilmu Pengetahuan Alam (IPA)</v>
      </c>
      <c r="J129" s="5" t="str">
        <f>IFERROR(__xludf.DUMMYFUNCTION("""COMPUTED_VALUE"""),"PPG Prajabatan Gelombang 1 Tahun 2023")</f>
        <v>PPG Prajabatan Gelombang 1 Tahun 2023</v>
      </c>
      <c r="K129" s="5">
        <f>IFERROR(__xludf.DUMMYFUNCTION("""COMPUTED_VALUE"""),2024.0)</f>
        <v>2024</v>
      </c>
      <c r="L129" s="8" t="str">
        <f>IFERROR(__xludf.DUMMYFUNCTION("""COMPUTED_VALUE"""),"3.49")</f>
        <v>3.49</v>
      </c>
      <c r="M129" s="5" t="str">
        <f>IFERROR(__xludf.DUMMYFUNCTION("""COMPUTED_VALUE"""),"LPTK tempat saya PPG (UPI) Tidak mengeluarkan transkrip nilai.")</f>
        <v>LPTK tempat saya PPG (UPI) Tidak mengeluarkan transkrip nilai.</v>
      </c>
      <c r="N129" s="5" t="str">
        <f>IFERROR(__xludf.DUMMYFUNCTION("""COMPUTED_VALUE"""),"Kabupaten Garut, Jawa Barat")</f>
        <v>Kabupaten Garut, Jawa Barat</v>
      </c>
      <c r="O129" s="5" t="str">
        <f>IFERROR(__xludf.DUMMYFUNCTION("""COMPUTED_VALUE"""),"Tidak")</f>
        <v>Tidak</v>
      </c>
      <c r="P129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129" s="5"/>
      <c r="R129" s="11" t="str">
        <f>IFERROR(__xludf.DUMMYFUNCTION("""COMPUTED_VALUE"""),"https://drive.google.com/drive/folders/1p02hk2pCEFDBH0h7NzeD-PxmMvx7B-cD?usp=sharing")</f>
        <v>https://drive.google.com/drive/folders/1p02hk2pCEFDBH0h7NzeD-PxmMvx7B-cD?usp=sharing</v>
      </c>
      <c r="S129" s="11" t="str">
        <f>IFERROR(__xludf.DUMMYFUNCTION("""COMPUTED_VALUE"""),"https://drive.google.com/file/d/19VmPXQZthQlw0DZ-snxETmPub7V5d3RE/view?usp=sharing")</f>
        <v>https://drive.google.com/file/d/19VmPXQZthQlw0DZ-snxETmPub7V5d3RE/view?usp=sharing</v>
      </c>
      <c r="T129" s="5" t="str">
        <f>IFERROR(__xludf.DUMMYFUNCTION("""COMPUTED_VALUE"""),"Lainnya")</f>
        <v>Lainnya</v>
      </c>
      <c r="U129" s="5"/>
      <c r="V129" s="5"/>
      <c r="W129" s="5"/>
      <c r="X129" s="5"/>
      <c r="Y129" s="5"/>
      <c r="Z129" s="11" t="str">
        <f>IFERROR(__xludf.DUMMYFUNCTION("""COMPUTED_VALUE"""),"https://drive.google.com/open?id=1FteXGy1njf_MSQW8lISmToYwMYKO1xro")</f>
        <v>https://drive.google.com/open?id=1FteXGy1njf_MSQW8lISmToYwMYKO1xro</v>
      </c>
      <c r="AA129" s="42" t="s">
        <v>44</v>
      </c>
      <c r="AB129" s="5"/>
    </row>
    <row r="130">
      <c r="A130" s="4">
        <f>IFERROR(__xludf.DUMMYFUNCTION("""COMPUTED_VALUE"""),46263.72369642361)</f>
        <v>46263.7237</v>
      </c>
      <c r="B130" s="5" t="str">
        <f>IFERROR(__xludf.DUMMYFUNCTION("""COMPUTED_VALUE"""),"ratratih123@gmail.com")</f>
        <v>ratratih123@gmail.com</v>
      </c>
      <c r="C130" s="5" t="str">
        <f>IFERROR(__xludf.DUMMYFUNCTION("""COMPUTED_VALUE"""),"Ratih Perwita Sari, S. Pd., Gr. ")</f>
        <v>Ratih Perwita Sari, S. Pd., Gr. </v>
      </c>
      <c r="D130" s="5"/>
      <c r="E130" s="5" t="str">
        <f>IFERROR(__xludf.DUMMYFUNCTION("""COMPUTED_VALUE"""),"85210525411")</f>
        <v>85210525411</v>
      </c>
      <c r="F130" s="7">
        <f>IFERROR(__xludf.DUMMYFUNCTION("""COMPUTED_VALUE"""),35389.0)</f>
        <v>35389</v>
      </c>
      <c r="G130" s="5" t="str">
        <f>IFERROR(__xludf.DUMMYFUNCTION("""COMPUTED_VALUE"""),"Pendidikan Biologi")</f>
        <v>Pendidikan Biologi</v>
      </c>
      <c r="H130" s="5" t="str">
        <f>IFERROR(__xludf.DUMMYFUNCTION("""COMPUTED_VALUE"""),"Universitas Negeri Semarang ")</f>
        <v>Universitas Negeri Semarang </v>
      </c>
      <c r="I130" s="5" t="str">
        <f>IFERROR(__xludf.DUMMYFUNCTION("""COMPUTED_VALUE"""),"Pendidikan Guru Sekolah Dasar (PGSD)")</f>
        <v>Pendidikan Guru Sekolah Dasar (PGSD)</v>
      </c>
      <c r="J130" s="5" t="str">
        <f>IFERROR(__xludf.DUMMYFUNCTION("""COMPUTED_VALUE"""),"PPG Prajabatan Gelombang 1 Tahun 2024")</f>
        <v>PPG Prajabatan Gelombang 1 Tahun 2024</v>
      </c>
      <c r="K130" s="5">
        <f>IFERROR(__xludf.DUMMYFUNCTION("""COMPUTED_VALUE"""),2025.0)</f>
        <v>2025</v>
      </c>
      <c r="L130" s="8" t="str">
        <f>IFERROR(__xludf.DUMMYFUNCTION("""COMPUTED_VALUE"""),"3.4")</f>
        <v>3.4</v>
      </c>
      <c r="M130" s="5" t="str">
        <f>IFERROR(__xludf.DUMMYFUNCTION("""COMPUTED_VALUE"""),"Maaf tidak ada")</f>
        <v>Maaf tidak ada</v>
      </c>
      <c r="N130" s="5" t="str">
        <f>IFERROR(__xludf.DUMMYFUNCTION("""COMPUTED_VALUE"""),"Kudus")</f>
        <v>Kudus</v>
      </c>
      <c r="O130" s="5" t="str">
        <f>IFERROR(__xludf.DUMMYFUNCTION("""COMPUTED_VALUE"""),"Tidak")</f>
        <v>Tidak</v>
      </c>
      <c r="P130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130" s="5"/>
      <c r="R130" s="11" t="str">
        <f>IFERROR(__xludf.DUMMYFUNCTION("""COMPUTED_VALUE"""),"https://drive.google.com/file/d/1jmPnpkdUj4CdcXFPl_twQqpmV-vll49A/view?usp=drivesdk")</f>
        <v>https://drive.google.com/file/d/1jmPnpkdUj4CdcXFPl_twQqpmV-vll49A/view?usp=drivesdk</v>
      </c>
      <c r="S130" s="11" t="str">
        <f>IFERROR(__xludf.DUMMYFUNCTION("""COMPUTED_VALUE"""),"https://drive.google.com/file/d/1jg3ondnuMEA_8KcnO4YcAhgyhFZDh5Ht/view?usp=sharing")</f>
        <v>https://drive.google.com/file/d/1jg3ondnuMEA_8KcnO4YcAhgyhFZDh5Ht/view?usp=sharing</v>
      </c>
      <c r="T130" s="5" t="str">
        <f>IFERROR(__xludf.DUMMYFUNCTION("""COMPUTED_VALUE"""),"Lainnya")</f>
        <v>Lainnya</v>
      </c>
      <c r="U130" s="5"/>
      <c r="V130" s="5"/>
      <c r="W130" s="5"/>
      <c r="X130" s="5"/>
      <c r="Y130" s="5"/>
      <c r="Z130" s="11" t="str">
        <f>IFERROR(__xludf.DUMMYFUNCTION("""COMPUTED_VALUE"""),"https://drive.google.com/open?id=1osLL5d1pBdGxz1ZVasyTcF7HZI61Y9Kf")</f>
        <v>https://drive.google.com/open?id=1osLL5d1pBdGxz1ZVasyTcF7HZI61Y9Kf</v>
      </c>
      <c r="AA130" s="42" t="s">
        <v>54</v>
      </c>
      <c r="AB130" s="42" t="s">
        <v>2439</v>
      </c>
    </row>
    <row r="131">
      <c r="A131" s="4">
        <f>IFERROR(__xludf.DUMMYFUNCTION("""COMPUTED_VALUE"""),46263.78915841435)</f>
        <v>46263.78916</v>
      </c>
      <c r="B131" s="5" t="str">
        <f>IFERROR(__xludf.DUMMYFUNCTION("""COMPUTED_VALUE"""),"ppg.abdulrovii83@program.belajar.id")</f>
        <v>ppg.abdulrovii83@program.belajar.id</v>
      </c>
      <c r="C131" s="5" t="str">
        <f>IFERROR(__xludf.DUMMYFUNCTION("""COMPUTED_VALUE"""),"Abdul Rovi'i, S.Pd., Gr., M.Pd.")</f>
        <v>Abdul Rovi'i, S.Pd., Gr., M.Pd.</v>
      </c>
      <c r="D131" s="5">
        <f>IFERROR(__xludf.DUMMYFUNCTION("""COMPUTED_VALUE"""),7.000128344E9)</f>
        <v>7000128344</v>
      </c>
      <c r="E131" s="5" t="str">
        <f>IFERROR(__xludf.DUMMYFUNCTION("""COMPUTED_VALUE"""),"085785052191")</f>
        <v>085785052191</v>
      </c>
      <c r="F131" s="7">
        <f>IFERROR(__xludf.DUMMYFUNCTION("""COMPUTED_VALUE"""),35868.0)</f>
        <v>35868</v>
      </c>
      <c r="G131" s="5" t="str">
        <f>IFERROR(__xludf.DUMMYFUNCTION("""COMPUTED_VALUE"""),"TADRIS FISIKA")</f>
        <v>TADRIS FISIKA</v>
      </c>
      <c r="H131" s="5" t="str">
        <f>IFERROR(__xludf.DUMMYFUNCTION("""COMPUTED_VALUE"""),"UNIVERSITAS ISLAM NEGERI SAYYID ALI RAHMATULLAH TULUNGAGUNG")</f>
        <v>UNIVERSITAS ISLAM NEGERI SAYYID ALI RAHMATULLAH TULUNGAGUNG</v>
      </c>
      <c r="I131" s="5" t="str">
        <f>IFERROR(__xludf.DUMMYFUNCTION("""COMPUTED_VALUE"""),"Ilmu Pengetahuan Alam (IPA)")</f>
        <v>Ilmu Pengetahuan Alam (IPA)</v>
      </c>
      <c r="J131" s="5" t="str">
        <f>IFERROR(__xludf.DUMMYFUNCTION("""COMPUTED_VALUE"""),"PPG Prajabatan Gelombang 1 Tahun 2023")</f>
        <v>PPG Prajabatan Gelombang 1 Tahun 2023</v>
      </c>
      <c r="K131" s="5">
        <f>IFERROR(__xludf.DUMMYFUNCTION("""COMPUTED_VALUE"""),2024.0)</f>
        <v>2024</v>
      </c>
      <c r="L131" s="8" t="str">
        <f>IFERROR(__xludf.DUMMYFUNCTION("""COMPUTED_VALUE"""),"3.63")</f>
        <v>3.63</v>
      </c>
      <c r="M131" s="5" t="str">
        <f>IFERROR(__xludf.DUMMYFUNCTION("""COMPUTED_VALUE"""),"4.0")</f>
        <v>4.0</v>
      </c>
      <c r="N131" s="5" t="str">
        <f>IFERROR(__xludf.DUMMYFUNCTION("""COMPUTED_VALUE"""),"KABUPATEN KEDIRI JAWA TIMUR")</f>
        <v>KABUPATEN KEDIRI JAWA TIMUR</v>
      </c>
      <c r="O131" s="5" t="str">
        <f>IFERROR(__xludf.DUMMYFUNCTION("""COMPUTED_VALUE"""),"Tidak")</f>
        <v>Tidak</v>
      </c>
      <c r="P131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131" s="5"/>
      <c r="R131" s="11" t="str">
        <f>IFERROR(__xludf.DUMMYFUNCTION("""COMPUTED_VALUE"""),"https://drive.google.com/file/d/19Ubd3X6n9vO7MExQwm9X1dhc9Im7DoJY/view?usp=drivesdk")</f>
        <v>https://drive.google.com/file/d/19Ubd3X6n9vO7MExQwm9X1dhc9Im7DoJY/view?usp=drivesdk</v>
      </c>
      <c r="S131" s="11" t="str">
        <f>IFERROR(__xludf.DUMMYFUNCTION("""COMPUTED_VALUE"""),"https://youtu.be/f2RscZki_bA?si=RiXSuUHxcZqgXa9p")</f>
        <v>https://youtu.be/f2RscZki_bA?si=RiXSuUHxcZqgXa9p</v>
      </c>
      <c r="T131" s="5" t="str">
        <f>IFERROR(__xludf.DUMMYFUNCTION("""COMPUTED_VALUE"""),"Lainnya")</f>
        <v>Lainnya</v>
      </c>
      <c r="U131" s="5"/>
      <c r="V131" s="5"/>
      <c r="W131" s="5"/>
      <c r="X131" s="5"/>
      <c r="Y131" s="5"/>
      <c r="Z131" s="11" t="str">
        <f>IFERROR(__xludf.DUMMYFUNCTION("""COMPUTED_VALUE"""),"https://drive.google.com/open?id=1zXWnoCqXR5XITAp2qAPn0ONGjbWx-S4H")</f>
        <v>https://drive.google.com/open?id=1zXWnoCqXR5XITAp2qAPn0ONGjbWx-S4H</v>
      </c>
      <c r="AA131" s="42" t="s">
        <v>44</v>
      </c>
      <c r="AB131" s="5"/>
    </row>
    <row r="132">
      <c r="A132" s="4">
        <f>IFERROR(__xludf.DUMMYFUNCTION("""COMPUTED_VALUE"""),46263.81346810185)</f>
        <v>46263.81347</v>
      </c>
      <c r="B132" s="5" t="str">
        <f>IFERROR(__xludf.DUMMYFUNCTION("""COMPUTED_VALUE"""),"adheliaedusena@gmail.com")</f>
        <v>adheliaedusena@gmail.com</v>
      </c>
      <c r="C132" s="5" t="str">
        <f>IFERROR(__xludf.DUMMYFUNCTION("""COMPUTED_VALUE"""),"Adhelia Rahma Sari, S.Pd., Gr., M.Sc")</f>
        <v>Adhelia Rahma Sari, S.Pd., Gr., M.Sc</v>
      </c>
      <c r="D132" s="5"/>
      <c r="E132" s="5" t="str">
        <f>IFERROR(__xludf.DUMMYFUNCTION("""COMPUTED_VALUE"""),"081225927831")</f>
        <v>081225927831</v>
      </c>
      <c r="F132" s="7">
        <f>IFERROR(__xludf.DUMMYFUNCTION("""COMPUTED_VALUE"""),37014.0)</f>
        <v>37014</v>
      </c>
      <c r="G132" s="5" t="str">
        <f>IFERROR(__xludf.DUMMYFUNCTION("""COMPUTED_VALUE"""),"S1 Pendidikan Kimia")</f>
        <v>S1 Pendidikan Kimia</v>
      </c>
      <c r="H132" s="5" t="str">
        <f>IFERROR(__xludf.DUMMYFUNCTION("""COMPUTED_VALUE"""),"Universitas Muhammadiyah Semarang")</f>
        <v>Universitas Muhammadiyah Semarang</v>
      </c>
      <c r="I132" s="5" t="str">
        <f>IFERROR(__xludf.DUMMYFUNCTION("""COMPUTED_VALUE"""),"Ilmu Pengetahuan Alam (IPA)")</f>
        <v>Ilmu Pengetahuan Alam (IPA)</v>
      </c>
      <c r="J132" s="5" t="str">
        <f>IFERROR(__xludf.DUMMYFUNCTION("""COMPUTED_VALUE"""),"PPG Prajabatan Gelombang 1 Tahun 2023")</f>
        <v>PPG Prajabatan Gelombang 1 Tahun 2023</v>
      </c>
      <c r="K132" s="5">
        <f>IFERROR(__xludf.DUMMYFUNCTION("""COMPUTED_VALUE"""),2024.0)</f>
        <v>2024</v>
      </c>
      <c r="L132" s="8" t="str">
        <f>IFERROR(__xludf.DUMMYFUNCTION("""COMPUTED_VALUE"""),"3.87")</f>
        <v>3.87</v>
      </c>
      <c r="M132" s="5" t="str">
        <f>IFERROR(__xludf.DUMMYFUNCTION("""COMPUTED_VALUE"""),"3.87")</f>
        <v>3.87</v>
      </c>
      <c r="N132" s="5" t="str">
        <f>IFERROR(__xludf.DUMMYFUNCTION("""COMPUTED_VALUE"""),"Semarang, Jawa Tengah")</f>
        <v>Semarang, Jawa Tengah</v>
      </c>
      <c r="O132" s="5" t="str">
        <f>IFERROR(__xludf.DUMMYFUNCTION("""COMPUTED_VALUE"""),"Tidak")</f>
        <v>Tidak</v>
      </c>
      <c r="P132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132" s="5"/>
      <c r="R132" s="11" t="str">
        <f>IFERROR(__xludf.DUMMYFUNCTION("""COMPUTED_VALUE"""),"https://drive.google.com/drive/folders/1UNoT23QcdTdF_3ir_V4cXeO4FjtCrwLB?usp=sharing")</f>
        <v>https://drive.google.com/drive/folders/1UNoT23QcdTdF_3ir_V4cXeO4FjtCrwLB?usp=sharing</v>
      </c>
      <c r="S132" s="11" t="str">
        <f>IFERROR(__xludf.DUMMYFUNCTION("""COMPUTED_VALUE"""),"https://drive.google.com/drive/folders/1ivwzR2JDK4q_x0tqQolTURpCN7w-aTLV?usp=sharing")</f>
        <v>https://drive.google.com/drive/folders/1ivwzR2JDK4q_x0tqQolTURpCN7w-aTLV?usp=sharing</v>
      </c>
      <c r="T132" s="5" t="str">
        <f>IFERROR(__xludf.DUMMYFUNCTION("""COMPUTED_VALUE"""),"Lainnya")</f>
        <v>Lainnya</v>
      </c>
      <c r="U132" s="5"/>
      <c r="V132" s="5"/>
      <c r="W132" s="5"/>
      <c r="X132" s="5"/>
      <c r="Y132" s="5"/>
      <c r="Z132" s="11" t="str">
        <f>IFERROR(__xludf.DUMMYFUNCTION("""COMPUTED_VALUE"""),"https://drive.google.com/open?id=113ibsSp7KQHgHwNRfFKp_PkZCWJRH8i-")</f>
        <v>https://drive.google.com/open?id=113ibsSp7KQHgHwNRfFKp_PkZCWJRH8i-</v>
      </c>
      <c r="AA132" s="42" t="s">
        <v>44</v>
      </c>
      <c r="AB132" s="5"/>
    </row>
    <row r="133">
      <c r="A133" s="4">
        <f>IFERROR(__xludf.DUMMYFUNCTION("""COMPUTED_VALUE"""),46263.9495872338)</f>
        <v>46263.94959</v>
      </c>
      <c r="B133" s="5" t="str">
        <f>IFERROR(__xludf.DUMMYFUNCTION("""COMPUTED_VALUE"""),"fikriahmadkamalmahbub@gmail.com")</f>
        <v>fikriahmadkamalmahbub@gmail.com</v>
      </c>
      <c r="C133" s="5" t="str">
        <f>IFERROR(__xludf.DUMMYFUNCTION("""COMPUTED_VALUE"""),"Fikri Ahmad Kamal, S.Pd., M.Pd., Gr.")</f>
        <v>Fikri Ahmad Kamal, S.Pd., M.Pd., Gr.</v>
      </c>
      <c r="D133" s="5">
        <f>IFERROR(__xludf.DUMMYFUNCTION("""COMPUTED_VALUE"""),7.000142556E9)</f>
        <v>7000142556</v>
      </c>
      <c r="E133" s="5" t="str">
        <f>IFERROR(__xludf.DUMMYFUNCTION("""COMPUTED_VALUE"""),"089632991090")</f>
        <v>089632991090</v>
      </c>
      <c r="F133" s="7">
        <f>IFERROR(__xludf.DUMMYFUNCTION("""COMPUTED_VALUE"""),36540.0)</f>
        <v>36540</v>
      </c>
      <c r="G133" s="5" t="str">
        <f>IFERROR(__xludf.DUMMYFUNCTION("""COMPUTED_VALUE"""),"Tadris IPA")</f>
        <v>Tadris IPA</v>
      </c>
      <c r="H133" s="5" t="str">
        <f>IFERROR(__xludf.DUMMYFUNCTION("""COMPUTED_VALUE"""),"UIN Salatiga")</f>
        <v>UIN Salatiga</v>
      </c>
      <c r="I133" s="5" t="str">
        <f>IFERROR(__xludf.DUMMYFUNCTION("""COMPUTED_VALUE"""),"Ilmu Pengetahuan Alam (IPA)")</f>
        <v>Ilmu Pengetahuan Alam (IPA)</v>
      </c>
      <c r="J133" s="5" t="str">
        <f>IFERROR(__xludf.DUMMYFUNCTION("""COMPUTED_VALUE"""),"PPG Prajabatan Gelombang 1 Tahun 2023")</f>
        <v>PPG Prajabatan Gelombang 1 Tahun 2023</v>
      </c>
      <c r="K133" s="5">
        <f>IFERROR(__xludf.DUMMYFUNCTION("""COMPUTED_VALUE"""),2024.0)</f>
        <v>2024</v>
      </c>
      <c r="L133" s="8" t="str">
        <f>IFERROR(__xludf.DUMMYFUNCTION("""COMPUTED_VALUE"""),"3.89")</f>
        <v>3.89</v>
      </c>
      <c r="M133" s="5" t="str">
        <f>IFERROR(__xludf.DUMMYFUNCTION("""COMPUTED_VALUE"""),"4.00")</f>
        <v>4.00</v>
      </c>
      <c r="N133" s="5" t="str">
        <f>IFERROR(__xludf.DUMMYFUNCTION("""COMPUTED_VALUE"""),"Boyolali, Jawa Tengah")</f>
        <v>Boyolali, Jawa Tengah</v>
      </c>
      <c r="O133" s="5" t="str">
        <f>IFERROR(__xludf.DUMMYFUNCTION("""COMPUTED_VALUE"""),"Tidak")</f>
        <v>Tidak</v>
      </c>
      <c r="P133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133" s="5"/>
      <c r="R133" s="11" t="str">
        <f>IFERROR(__xludf.DUMMYFUNCTION("""COMPUTED_VALUE"""),"https://drive.google.com/file/d/1JqeYKkI0snm15XS8a9iG7uO-GmS7ru9g/view?usp=drivesdk")</f>
        <v>https://drive.google.com/file/d/1JqeYKkI0snm15XS8a9iG7uO-GmS7ru9g/view?usp=drivesdk</v>
      </c>
      <c r="S133" s="11" t="str">
        <f>IFERROR(__xludf.DUMMYFUNCTION("""COMPUTED_VALUE"""),"https://youtu.be/yymDyHaEmW0?si=jEo8ZHrAz__mlaUj")</f>
        <v>https://youtu.be/yymDyHaEmW0?si=jEo8ZHrAz__mlaUj</v>
      </c>
      <c r="T133" s="5" t="str">
        <f>IFERROR(__xludf.DUMMYFUNCTION("""COMPUTED_VALUE"""),"Lainnya")</f>
        <v>Lainnya</v>
      </c>
      <c r="U133" s="5"/>
      <c r="V133" s="5"/>
      <c r="W133" s="5"/>
      <c r="X133" s="5"/>
      <c r="Y133" s="5"/>
      <c r="Z133" s="11" t="str">
        <f>IFERROR(__xludf.DUMMYFUNCTION("""COMPUTED_VALUE"""),"https://drive.google.com/open?id=116okbm8MGbF0d7thx609Gr72ySX_6pOB")</f>
        <v>https://drive.google.com/open?id=116okbm8MGbF0d7thx609Gr72ySX_6pOB</v>
      </c>
      <c r="AA133" s="42" t="s">
        <v>44</v>
      </c>
      <c r="AB133" s="5"/>
    </row>
    <row r="134">
      <c r="A134" s="4">
        <f>IFERROR(__xludf.DUMMYFUNCTION("""COMPUTED_VALUE"""),46263.96008109954)</f>
        <v>46263.96008</v>
      </c>
      <c r="B134" s="5" t="str">
        <f>IFERROR(__xludf.DUMMYFUNCTION("""COMPUTED_VALUE"""),"thomas443@guru.sd.belajar.id")</f>
        <v>thomas443@guru.sd.belajar.id</v>
      </c>
      <c r="C134" s="5" t="str">
        <f>IFERROR(__xludf.DUMMYFUNCTION("""COMPUTED_VALUE"""),"Thomas Faisal, S.Pd, Gr.")</f>
        <v>Thomas Faisal, S.Pd, Gr.</v>
      </c>
      <c r="D134" s="5">
        <f>IFERROR(__xludf.DUMMYFUNCTION("""COMPUTED_VALUE"""),2.02200006751E11)</f>
        <v>202200006751</v>
      </c>
      <c r="E134" s="5" t="str">
        <f>IFERROR(__xludf.DUMMYFUNCTION("""COMPUTED_VALUE"""),"087883631248")</f>
        <v>087883631248</v>
      </c>
      <c r="F134" s="7">
        <f>IFERROR(__xludf.DUMMYFUNCTION("""COMPUTED_VALUE"""),32987.0)</f>
        <v>32987</v>
      </c>
      <c r="G134" s="5" t="str">
        <f>IFERROR(__xludf.DUMMYFUNCTION("""COMPUTED_VALUE"""),"S-1")</f>
        <v>S-1</v>
      </c>
      <c r="H134" s="5" t="str">
        <f>IFERROR(__xludf.DUMMYFUNCTION("""COMPUTED_VALUE"""),"STAI Al-Barokah Sukabumi ")</f>
        <v>STAI Al-Barokah Sukabumi </v>
      </c>
      <c r="I134" s="5" t="str">
        <f>IFERROR(__xludf.DUMMYFUNCTION("""COMPUTED_VALUE"""),"Pendidikan Guru Sekolah Dasar (PGSD)")</f>
        <v>Pendidikan Guru Sekolah Dasar (PGSD)</v>
      </c>
      <c r="J134" s="5" t="str">
        <f>IFERROR(__xludf.DUMMYFUNCTION("""COMPUTED_VALUE"""),"Lainnya")</f>
        <v>Lainnya</v>
      </c>
      <c r="K134" s="5">
        <f>IFERROR(__xludf.DUMMYFUNCTION("""COMPUTED_VALUE"""),2025.0)</f>
        <v>2025</v>
      </c>
      <c r="L134" s="8" t="str">
        <f>IFERROR(__xludf.DUMMYFUNCTION("""COMPUTED_VALUE"""),"3.19")</f>
        <v>3.19</v>
      </c>
      <c r="M134" s="5" t="str">
        <f>IFERROR(__xludf.DUMMYFUNCTION("""COMPUTED_VALUE"""),"4.00")</f>
        <v>4.00</v>
      </c>
      <c r="N134" s="5" t="str">
        <f>IFERROR(__xludf.DUMMYFUNCTION("""COMPUTED_VALUE"""),"Jakarta Timur, DKI Jakarta ")</f>
        <v>Jakarta Timur, DKI Jakarta </v>
      </c>
      <c r="O134" s="5" t="str">
        <f>IFERROR(__xludf.DUMMYFUNCTION("""COMPUTED_VALUE"""),"Tidak")</f>
        <v>Tidak</v>
      </c>
      <c r="P134" s="5" t="str">
        <f>IFERROR(__xludf.DUMMYFUNCTION("""COMPUTED_VALUE"""),"Kabupaten Jepara - Tenaga pendampingan pembelajaran mata pelajaran Pendidikan Agama Islam")</f>
        <v>Kabupaten Jepara - Tenaga pendampingan pembelajaran mata pelajaran Pendidikan Agama Islam</v>
      </c>
      <c r="Q134" s="5"/>
      <c r="R134" s="11" t="str">
        <f>IFERROR(__xludf.DUMMYFUNCTION("""COMPUTED_VALUE"""),"https://drive.google.com/file/d/1pS04i2xTIU-TSFKGGeDCkV-lka3IOZG-/view?usp=drivesdk")</f>
        <v>https://drive.google.com/file/d/1pS04i2xTIU-TSFKGGeDCkV-lka3IOZG-/view?usp=drivesdk</v>
      </c>
      <c r="S134" s="11" t="str">
        <f>IFERROR(__xludf.DUMMYFUNCTION("""COMPUTED_VALUE"""),"https://drive.google.com/file/d/1mMPCCJucrwhVb1pZFfaBG31bjo_eTeLu/view?usp=drivesdk")</f>
        <v>https://drive.google.com/file/d/1mMPCCJucrwhVb1pZFfaBG31bjo_eTeLu/view?usp=drivesdk</v>
      </c>
      <c r="T134" s="5" t="str">
        <f>IFERROR(__xludf.DUMMYFUNCTION("""COMPUTED_VALUE"""),"Lainnya")</f>
        <v>Lainnya</v>
      </c>
      <c r="U134" s="5"/>
      <c r="V134" s="5"/>
      <c r="W134" s="5"/>
      <c r="X134" s="5"/>
      <c r="Y134" s="5"/>
      <c r="Z134" s="11" t="str">
        <f>IFERROR(__xludf.DUMMYFUNCTION("""COMPUTED_VALUE"""),"https://drive.google.com/open?id=1MGegiW77lhLdCHKPCybauY-FXUKI2rDs")</f>
        <v>https://drive.google.com/open?id=1MGegiW77lhLdCHKPCybauY-FXUKI2rDs</v>
      </c>
      <c r="AA134" s="42" t="s">
        <v>54</v>
      </c>
      <c r="AB134" s="42" t="s">
        <v>2434</v>
      </c>
    </row>
    <row r="135">
      <c r="A135" s="4">
        <f>IFERROR(__xludf.DUMMYFUNCTION("""COMPUTED_VALUE"""),46263.97685883102)</f>
        <v>46263.97686</v>
      </c>
      <c r="B135" s="5" t="str">
        <f>IFERROR(__xludf.DUMMYFUNCTION("""COMPUTED_VALUE"""),"annamargiana3255@gmail.com")</f>
        <v>annamargiana3255@gmail.com</v>
      </c>
      <c r="C135" s="5" t="str">
        <f>IFERROR(__xludf.DUMMYFUNCTION("""COMPUTED_VALUE"""),"MARGIANA, S.E., Gr")</f>
        <v>MARGIANA, S.E., Gr</v>
      </c>
      <c r="D135" s="5">
        <f>IFERROR(__xludf.DUMMYFUNCTION("""COMPUTED_VALUE"""),2.0200064243E11)</f>
        <v>202000642430</v>
      </c>
      <c r="E135" s="5" t="str">
        <f>IFERROR(__xludf.DUMMYFUNCTION("""COMPUTED_VALUE"""),"082330534096")</f>
        <v>082330534096</v>
      </c>
      <c r="F135" s="7">
        <f>IFERROR(__xludf.DUMMYFUNCTION("""COMPUTED_VALUE"""),30154.0)</f>
        <v>30154</v>
      </c>
      <c r="G135" s="5" t="str">
        <f>IFERROR(__xludf.DUMMYFUNCTION("""COMPUTED_VALUE"""),"EKONOMI")</f>
        <v>EKONOMI</v>
      </c>
      <c r="H135" s="5" t="str">
        <f>IFERROR(__xludf.DUMMYFUNCTION("""COMPUTED_VALUE"""),"UNIVERSITAS PANCA MARGA PROBOLINGGO")</f>
        <v>UNIVERSITAS PANCA MARGA PROBOLINGGO</v>
      </c>
      <c r="I135" s="5" t="str">
        <f>IFERROR(__xludf.DUMMYFUNCTION("""COMPUTED_VALUE"""),"Ekonomi")</f>
        <v>Ekonomi</v>
      </c>
      <c r="J135" s="5" t="str">
        <f>IFERROR(__xludf.DUMMYFUNCTION("""COMPUTED_VALUE"""),"Lainnya")</f>
        <v>Lainnya</v>
      </c>
      <c r="K135" s="5">
        <f>IFERROR(__xludf.DUMMYFUNCTION("""COMPUTED_VALUE"""),2025.0)</f>
        <v>2025</v>
      </c>
      <c r="L135" s="8" t="str">
        <f>IFERROR(__xludf.DUMMYFUNCTION("""COMPUTED_VALUE"""),"2,89")</f>
        <v>2,89</v>
      </c>
      <c r="M135" s="5" t="str">
        <f>IFERROR(__xludf.DUMMYFUNCTION("""COMPUTED_VALUE"""),"3,25")</f>
        <v>3,25</v>
      </c>
      <c r="N135" s="5" t="str">
        <f>IFERROR(__xludf.DUMMYFUNCTION("""COMPUTED_VALUE"""),"KOTA PROBOLINGGO, JAWA TIMUR")</f>
        <v>KOTA PROBOLINGGO, JAWA TIMUR</v>
      </c>
      <c r="O135" s="5" t="str">
        <f>IFERROR(__xludf.DUMMYFUNCTION("""COMPUTED_VALUE"""),"Tidak")</f>
        <v>Tidak</v>
      </c>
      <c r="P135" s="5" t="str">
        <f>IFERROR(__xludf.DUMMYFUNCTION("""COMPUTED_VALUE"""),"Kabupaten Buton Tengah - Tenaga pendampingan pembelajaran mata pelajaran Ekonomi")</f>
        <v>Kabupaten Buton Tengah - Tenaga pendampingan pembelajaran mata pelajaran Ekonomi</v>
      </c>
      <c r="Q135" s="5"/>
      <c r="R135" s="11" t="str">
        <f>IFERROR(__xludf.DUMMYFUNCTION("""COMPUTED_VALUE"""),"https://drive.google.com/drive/folders/1FqKaaNX2nrXgqKMSZe5uRYiMZoC--UGS?usp=drive_link")</f>
        <v>https://drive.google.com/drive/folders/1FqKaaNX2nrXgqKMSZe5uRYiMZoC--UGS?usp=drive_link</v>
      </c>
      <c r="S135" s="11" t="str">
        <f>IFERROR(__xludf.DUMMYFUNCTION("""COMPUTED_VALUE"""),"https://drive.google.com/file/d/1-73woSPD2luYwLob-jUd24ImGpWn3Os5/view?usp=drive_link")</f>
        <v>https://drive.google.com/file/d/1-73woSPD2luYwLob-jUd24ImGpWn3Os5/view?usp=drive_link</v>
      </c>
      <c r="T135" s="5" t="str">
        <f>IFERROR(__xludf.DUMMYFUNCTION("""COMPUTED_VALUE"""),"Lainnya")</f>
        <v>Lainnya</v>
      </c>
      <c r="U135" s="5"/>
      <c r="V135" s="5"/>
      <c r="W135" s="5"/>
      <c r="X135" s="5"/>
      <c r="Y135" s="5"/>
      <c r="Z135" s="11" t="str">
        <f>IFERROR(__xludf.DUMMYFUNCTION("""COMPUTED_VALUE"""),"https://drive.google.com/open?id=1Zypl-X1KCQMVY7FSa3h0krvuioNzNP71")</f>
        <v>https://drive.google.com/open?id=1Zypl-X1KCQMVY7FSa3h0krvuioNzNP71</v>
      </c>
      <c r="AA135" s="42" t="s">
        <v>54</v>
      </c>
      <c r="AB135" s="42" t="s">
        <v>2434</v>
      </c>
    </row>
    <row r="136">
      <c r="A136" s="4">
        <f>IFERROR(__xludf.DUMMYFUNCTION("""COMPUTED_VALUE"""),46264.076624733796)</f>
        <v>46264.07662</v>
      </c>
      <c r="B136" s="5" t="str">
        <f>IFERROR(__xludf.DUMMYFUNCTION("""COMPUTED_VALUE"""),"noorfanika2@gmail.com")</f>
        <v>noorfanika2@gmail.com</v>
      </c>
      <c r="C136" s="5" t="str">
        <f>IFERROR(__xludf.DUMMYFUNCTION("""COMPUTED_VALUE"""),"Noor Fanika, S.Pd., Gr")</f>
        <v>Noor Fanika, S.Pd., Gr</v>
      </c>
      <c r="D136" s="5">
        <f>IFERROR(__xludf.DUMMYFUNCTION("""COMPUTED_VALUE"""),7.000170334E9)</f>
        <v>7000170334</v>
      </c>
      <c r="E136" s="5" t="str">
        <f>IFERROR(__xludf.DUMMYFUNCTION("""COMPUTED_VALUE"""),"0895800010279")</f>
        <v>0895800010279</v>
      </c>
      <c r="F136" s="7">
        <f>IFERROR(__xludf.DUMMYFUNCTION("""COMPUTED_VALUE"""),37111.0)</f>
        <v>37111</v>
      </c>
      <c r="G136" s="5" t="str">
        <f>IFERROR(__xludf.DUMMYFUNCTION("""COMPUTED_VALUE"""),"Tadris Ilmu Pengetahuan Alam")</f>
        <v>Tadris Ilmu Pengetahuan Alam</v>
      </c>
      <c r="H136" s="5" t="str">
        <f>IFERROR(__xludf.DUMMYFUNCTION("""COMPUTED_VALUE"""),"Institut Agama Islam Negeri Kudus")</f>
        <v>Institut Agama Islam Negeri Kudus</v>
      </c>
      <c r="I136" s="5" t="str">
        <f>IFERROR(__xludf.DUMMYFUNCTION("""COMPUTED_VALUE"""),"Ilmu Pengetahuan Alam (IPA)")</f>
        <v>Ilmu Pengetahuan Alam (IPA)</v>
      </c>
      <c r="J136" s="5" t="str">
        <f>IFERROR(__xludf.DUMMYFUNCTION("""COMPUTED_VALUE"""),"PPG Calon Guru Gelombang 2 Tahun 2024")</f>
        <v>PPG Calon Guru Gelombang 2 Tahun 2024</v>
      </c>
      <c r="K136" s="5">
        <f>IFERROR(__xludf.DUMMYFUNCTION("""COMPUTED_VALUE"""),2025.0)</f>
        <v>2025</v>
      </c>
      <c r="L136" s="8" t="str">
        <f>IFERROR(__xludf.DUMMYFUNCTION("""COMPUTED_VALUE"""),"3.90")</f>
        <v>3.90</v>
      </c>
      <c r="M136" s="5" t="str">
        <f>IFERROR(__xludf.DUMMYFUNCTION("""COMPUTED_VALUE"""),"4.00")</f>
        <v>4.00</v>
      </c>
      <c r="N136" s="5" t="str">
        <f>IFERROR(__xludf.DUMMYFUNCTION("""COMPUTED_VALUE"""),"Kabupaten Kudus, Jawa Tengah")</f>
        <v>Kabupaten Kudus, Jawa Tengah</v>
      </c>
      <c r="O136" s="5" t="str">
        <f>IFERROR(__xludf.DUMMYFUNCTION("""COMPUTED_VALUE"""),"Ya")</f>
        <v>Ya</v>
      </c>
      <c r="P136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136" s="5"/>
      <c r="R136" s="11" t="str">
        <f>IFERROR(__xludf.DUMMYFUNCTION("""COMPUTED_VALUE"""),"https://drive.google.com/file/d/1MZapdCM3BI0aEDf1zUk79aECGn5lhx0U/view?usp=drivesdk")</f>
        <v>https://drive.google.com/file/d/1MZapdCM3BI0aEDf1zUk79aECGn5lhx0U/view?usp=drivesdk</v>
      </c>
      <c r="S136" s="11" t="str">
        <f>IFERROR(__xludf.DUMMYFUNCTION("""COMPUTED_VALUE"""),"https://drive.google.com/file/d/1pM2_9_ydITQwkfilNCICdwxqTh-anOk_/view?usp=drivesdk")</f>
        <v>https://drive.google.com/file/d/1pM2_9_ydITQwkfilNCICdwxqTh-anOk_/view?usp=drivesdk</v>
      </c>
      <c r="T136" s="5" t="str">
        <f>IFERROR(__xludf.DUMMYFUNCTION("""COMPUTED_VALUE"""),"Lainnya")</f>
        <v>Lainnya</v>
      </c>
      <c r="U136" s="5"/>
      <c r="V136" s="5"/>
      <c r="W136" s="5"/>
      <c r="X136" s="5"/>
      <c r="Y136" s="5"/>
      <c r="Z136" s="11" t="str">
        <f>IFERROR(__xludf.DUMMYFUNCTION("""COMPUTED_VALUE"""),"https://drive.google.com/open?id=1TyHTEJgn2IGyLDTEmzt_EBAEENFKub6d")</f>
        <v>https://drive.google.com/open?id=1TyHTEJgn2IGyLDTEmzt_EBAEENFKub6d</v>
      </c>
      <c r="AA136" s="42" t="s">
        <v>44</v>
      </c>
      <c r="AB136" s="5"/>
    </row>
    <row r="137">
      <c r="A137" s="4">
        <f>IFERROR(__xludf.DUMMYFUNCTION("""COMPUTED_VALUE"""),46264.085786550924)</f>
        <v>46264.08579</v>
      </c>
      <c r="B137" s="5" t="str">
        <f>IFERROR(__xludf.DUMMYFUNCTION("""COMPUTED_VALUE"""),"noorfanikatugas@gmail.com")</f>
        <v>noorfanikatugas@gmail.com</v>
      </c>
      <c r="C137" s="5" t="str">
        <f>IFERROR(__xludf.DUMMYFUNCTION("""COMPUTED_VALUE"""),"Noor Fanika, S.Pd., Gr.")</f>
        <v>Noor Fanika, S.Pd., Gr.</v>
      </c>
      <c r="D137" s="5">
        <f>IFERROR(__xludf.DUMMYFUNCTION("""COMPUTED_VALUE"""),7.000170334E9)</f>
        <v>7000170334</v>
      </c>
      <c r="E137" s="5" t="str">
        <f>IFERROR(__xludf.DUMMYFUNCTION("""COMPUTED_VALUE"""),"0895800010279")</f>
        <v>0895800010279</v>
      </c>
      <c r="F137" s="7">
        <f>IFERROR(__xludf.DUMMYFUNCTION("""COMPUTED_VALUE"""),37111.0)</f>
        <v>37111</v>
      </c>
      <c r="G137" s="5" t="str">
        <f>IFERROR(__xludf.DUMMYFUNCTION("""COMPUTED_VALUE"""),"Tadris Ilmu Pengetahuan Alam")</f>
        <v>Tadris Ilmu Pengetahuan Alam</v>
      </c>
      <c r="H137" s="5" t="str">
        <f>IFERROR(__xludf.DUMMYFUNCTION("""COMPUTED_VALUE"""),"Institut Agama Islam Negeri Kudus")</f>
        <v>Institut Agama Islam Negeri Kudus</v>
      </c>
      <c r="I137" s="5" t="str">
        <f>IFERROR(__xludf.DUMMYFUNCTION("""COMPUTED_VALUE"""),"Ilmu Pengetahuan Alam (IPA)")</f>
        <v>Ilmu Pengetahuan Alam (IPA)</v>
      </c>
      <c r="J137" s="5" t="str">
        <f>IFERROR(__xludf.DUMMYFUNCTION("""COMPUTED_VALUE"""),"PPG Calon Guru Gelombang 2 Tahun 2024")</f>
        <v>PPG Calon Guru Gelombang 2 Tahun 2024</v>
      </c>
      <c r="K137" s="5">
        <f>IFERROR(__xludf.DUMMYFUNCTION("""COMPUTED_VALUE"""),2025.0)</f>
        <v>2025</v>
      </c>
      <c r="L137" s="8" t="str">
        <f>IFERROR(__xludf.DUMMYFUNCTION("""COMPUTED_VALUE"""),"3.90")</f>
        <v>3.90</v>
      </c>
      <c r="M137" s="5" t="str">
        <f>IFERROR(__xludf.DUMMYFUNCTION("""COMPUTED_VALUE"""),"4.00")</f>
        <v>4.00</v>
      </c>
      <c r="N137" s="5" t="str">
        <f>IFERROR(__xludf.DUMMYFUNCTION("""COMPUTED_VALUE"""),"Kabupaten Kudus, Jawa Tengah")</f>
        <v>Kabupaten Kudus, Jawa Tengah</v>
      </c>
      <c r="O137" s="5" t="str">
        <f>IFERROR(__xludf.DUMMYFUNCTION("""COMPUTED_VALUE"""),"Tidak")</f>
        <v>Tidak</v>
      </c>
      <c r="P137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137" s="5"/>
      <c r="R137" s="11" t="str">
        <f>IFERROR(__xludf.DUMMYFUNCTION("""COMPUTED_VALUE"""),"https://drive.google.com/file/d/1MZapdCM3BI0aEDf1zUk79aECGn5lhx0U/view?usp=drivesdk")</f>
        <v>https://drive.google.com/file/d/1MZapdCM3BI0aEDf1zUk79aECGn5lhx0U/view?usp=drivesdk</v>
      </c>
      <c r="S137" s="11" t="str">
        <f>IFERROR(__xludf.DUMMYFUNCTION("""COMPUTED_VALUE"""),"https://drive.google.com/file/d/1pM2_9_ydITQwkfilNCICdwxqTh-anOk_/view?usp=drivesdk")</f>
        <v>https://drive.google.com/file/d/1pM2_9_ydITQwkfilNCICdwxqTh-anOk_/view?usp=drivesdk</v>
      </c>
      <c r="T137" s="5" t="str">
        <f>IFERROR(__xludf.DUMMYFUNCTION("""COMPUTED_VALUE"""),"Lainnya")</f>
        <v>Lainnya</v>
      </c>
      <c r="U137" s="5"/>
      <c r="V137" s="5"/>
      <c r="W137" s="5"/>
      <c r="X137" s="5"/>
      <c r="Y137" s="5"/>
      <c r="Z137" s="11" t="str">
        <f>IFERROR(__xludf.DUMMYFUNCTION("""COMPUTED_VALUE"""),"https://drive.google.com/open?id=1bFUJ2Qt4v56uhI32hQ2Cv95ucKLoP4MF")</f>
        <v>https://drive.google.com/open?id=1bFUJ2Qt4v56uhI32hQ2Cv95ucKLoP4MF</v>
      </c>
      <c r="AA137" s="42" t="s">
        <v>44</v>
      </c>
      <c r="AB137" s="5"/>
    </row>
    <row r="138">
      <c r="A138" s="4">
        <f>IFERROR(__xludf.DUMMYFUNCTION("""COMPUTED_VALUE"""),46264.23447947917)</f>
        <v>46264.23448</v>
      </c>
      <c r="B138" s="5" t="str">
        <f>IFERROR(__xludf.DUMMYFUNCTION("""COMPUTED_VALUE"""),"syeh.aindalloh11@guru.smp.belajar.id")</f>
        <v>syeh.aindalloh11@guru.smp.belajar.id</v>
      </c>
      <c r="C138" s="5" t="str">
        <f>IFERROR(__xludf.DUMMYFUNCTION("""COMPUTED_VALUE"""),"SYEH 'AINDALLOH, S.Pd., M.Pd.")</f>
        <v>SYEH 'AINDALLOH, S.Pd., M.Pd.</v>
      </c>
      <c r="D138" s="5">
        <f>IFERROR(__xludf.DUMMYFUNCTION("""COMPUTED_VALUE"""),2.02400250251E11)</f>
        <v>202400250251</v>
      </c>
      <c r="E138" s="5" t="str">
        <f>IFERROR(__xludf.DUMMYFUNCTION("""COMPUTED_VALUE"""),"088225885341")</f>
        <v>088225885341</v>
      </c>
      <c r="F138" s="7">
        <f>IFERROR(__xludf.DUMMYFUNCTION("""COMPUTED_VALUE"""),35955.0)</f>
        <v>35955</v>
      </c>
      <c r="G138" s="5" t="str">
        <f>IFERROR(__xludf.DUMMYFUNCTION("""COMPUTED_VALUE"""),"PENDIDIKAN BAHASA ARAB")</f>
        <v>PENDIDIKAN BAHASA ARAB</v>
      </c>
      <c r="H138" s="5" t="str">
        <f>IFERROR(__xludf.DUMMYFUNCTION("""COMPUTED_VALUE"""),"UNIVERSITAS DARUSSALAM GONTOR")</f>
        <v>UNIVERSITAS DARUSSALAM GONTOR</v>
      </c>
      <c r="I138" s="5" t="str">
        <f>IFERROR(__xludf.DUMMYFUNCTION("""COMPUTED_VALUE"""),"Lainnya")</f>
        <v>Lainnya</v>
      </c>
      <c r="J138" s="5" t="str">
        <f>IFERROR(__xludf.DUMMYFUNCTION("""COMPUTED_VALUE"""),"Lainnya")</f>
        <v>Lainnya</v>
      </c>
      <c r="K138" s="5">
        <f>IFERROR(__xludf.DUMMYFUNCTION("""COMPUTED_VALUE"""),2025.0)</f>
        <v>2025</v>
      </c>
      <c r="L138" s="8" t="str">
        <f>IFERROR(__xludf.DUMMYFUNCTION("""COMPUTED_VALUE"""),"3.49")</f>
        <v>3.49</v>
      </c>
      <c r="M138" s="5" t="str">
        <f>IFERROR(__xludf.DUMMYFUNCTION("""COMPUTED_VALUE"""),"3.70")</f>
        <v>3.70</v>
      </c>
      <c r="N138" s="5" t="str">
        <f>IFERROR(__xludf.DUMMYFUNCTION("""COMPUTED_VALUE"""),"Kab. Mojokerto")</f>
        <v>Kab. Mojokerto</v>
      </c>
      <c r="O138" s="5" t="str">
        <f>IFERROR(__xludf.DUMMYFUNCTION("""COMPUTED_VALUE"""),"Tidak")</f>
        <v>Tidak</v>
      </c>
      <c r="P138" s="5" t="str">
        <f>IFERROR(__xludf.DUMMYFUNCTION("""COMPUTED_VALUE"""),"Kabupaten Jepara - Tenaga pendampingan pembelajaran mata pelajaran Pendidikan Agama Islam")</f>
        <v>Kabupaten Jepara - Tenaga pendampingan pembelajaran mata pelajaran Pendidikan Agama Islam</v>
      </c>
      <c r="Q138" s="5"/>
      <c r="R138" s="11" t="str">
        <f>IFERROR(__xludf.DUMMYFUNCTION("""COMPUTED_VALUE"""),"https://drive.google.com/file/d/1q2WATHk4Ogu6nNhq0EnQlwkB49xuDrUM/view?usp=drive_link")</f>
        <v>https://drive.google.com/file/d/1q2WATHk4Ogu6nNhq0EnQlwkB49xuDrUM/view?usp=drive_link</v>
      </c>
      <c r="S138" s="11" t="str">
        <f>IFERROR(__xludf.DUMMYFUNCTION("""COMPUTED_VALUE"""),"https://drive.google.com/file/d/1FO1apaLrvm6OonO-6m8-hbivpRlxH__O/view?usp=sharing")</f>
        <v>https://drive.google.com/file/d/1FO1apaLrvm6OonO-6m8-hbivpRlxH__O/view?usp=sharing</v>
      </c>
      <c r="T138" s="5" t="str">
        <f>IFERROR(__xludf.DUMMYFUNCTION("""COMPUTED_VALUE"""),"Lainnya")</f>
        <v>Lainnya</v>
      </c>
      <c r="U138" s="5"/>
      <c r="V138" s="5"/>
      <c r="W138" s="5"/>
      <c r="X138" s="5"/>
      <c r="Y138" s="5"/>
      <c r="Z138" s="11" t="str">
        <f>IFERROR(__xludf.DUMMYFUNCTION("""COMPUTED_VALUE"""),"https://drive.google.com/open?id=1y6TdiYDHlTqqV5zCA5fhfaZCRJu-iV02")</f>
        <v>https://drive.google.com/open?id=1y6TdiYDHlTqqV5zCA5fhfaZCRJu-iV02</v>
      </c>
      <c r="AA138" s="42" t="s">
        <v>44</v>
      </c>
      <c r="AB138" s="5"/>
    </row>
    <row r="139">
      <c r="A139" s="4">
        <f>IFERROR(__xludf.DUMMYFUNCTION("""COMPUTED_VALUE"""),46264.35703769676)</f>
        <v>46264.35704</v>
      </c>
      <c r="B139" s="5" t="str">
        <f>IFERROR(__xludf.DUMMYFUNCTION("""COMPUTED_VALUE"""),"imamsayuti8670@gmail.com")</f>
        <v>imamsayuti8670@gmail.com</v>
      </c>
      <c r="C139" s="5" t="str">
        <f>IFERROR(__xludf.DUMMYFUNCTION("""COMPUTED_VALUE"""),"IMAM SAYUTI, S.Pd")</f>
        <v>IMAM SAYUTI, S.Pd</v>
      </c>
      <c r="D139" s="5"/>
      <c r="E139" s="5" t="str">
        <f>IFERROR(__xludf.DUMMYFUNCTION("""COMPUTED_VALUE"""),"085348490015")</f>
        <v>085348490015</v>
      </c>
      <c r="F139" s="7">
        <f>IFERROR(__xludf.DUMMYFUNCTION("""COMPUTED_VALUE"""),34222.0)</f>
        <v>34222</v>
      </c>
      <c r="G139" s="5" t="str">
        <f>IFERROR(__xludf.DUMMYFUNCTION("""COMPUTED_VALUE"""),"S1 PENDIDIKAN AGAMA ISLAM")</f>
        <v>S1 PENDIDIKAN AGAMA ISLAM</v>
      </c>
      <c r="H139" s="5" t="str">
        <f>IFERROR(__xludf.DUMMYFUNCTION("""COMPUTED_VALUE"""),"SEKOLAH TINGGI AGAMA ISLAM (STAI) KUALA KAPUAS")</f>
        <v>SEKOLAH TINGGI AGAMA ISLAM (STAI) KUALA KAPUAS</v>
      </c>
      <c r="I139" s="5" t="str">
        <f>IFERROR(__xludf.DUMMYFUNCTION("""COMPUTED_VALUE"""),"Agama Islam")</f>
        <v>Agama Islam</v>
      </c>
      <c r="J139" s="5" t="str">
        <f>IFERROR(__xludf.DUMMYFUNCTION("""COMPUTED_VALUE"""),"Lainnya")</f>
        <v>Lainnya</v>
      </c>
      <c r="K139" s="5"/>
      <c r="L139" s="8" t="str">
        <f>IFERROR(__xludf.DUMMYFUNCTION("""COMPUTED_VALUE"""),"3.39")</f>
        <v>3.39</v>
      </c>
      <c r="M139" s="5" t="str">
        <f>IFERROR(__xludf.DUMMYFUNCTION("""COMPUTED_VALUE"""),"3.39")</f>
        <v>3.39</v>
      </c>
      <c r="N139" s="5" t="str">
        <f>IFERROR(__xludf.DUMMYFUNCTION("""COMPUTED_VALUE"""),"Kapuas, Kalimantan Tengah")</f>
        <v>Kapuas, Kalimantan Tengah</v>
      </c>
      <c r="O139" s="5" t="str">
        <f>IFERROR(__xludf.DUMMYFUNCTION("""COMPUTED_VALUE"""),"Tidak")</f>
        <v>Tidak</v>
      </c>
      <c r="P139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139" s="5"/>
      <c r="R139" s="5" t="str">
        <f>IFERROR(__xludf.DUMMYFUNCTION("""COMPUTED_VALUE"""),"-")</f>
        <v>-</v>
      </c>
      <c r="S139" s="5" t="str">
        <f>IFERROR(__xludf.DUMMYFUNCTION("""COMPUTED_VALUE"""),"-")</f>
        <v>-</v>
      </c>
      <c r="T139" s="5" t="str">
        <f>IFERROR(__xludf.DUMMYFUNCTION("""COMPUTED_VALUE"""),"Lainnya")</f>
        <v>Lainnya</v>
      </c>
      <c r="U139" s="5"/>
      <c r="V139" s="5"/>
      <c r="W139" s="5"/>
      <c r="X139" s="5"/>
      <c r="Y139" s="5"/>
      <c r="Z139" s="11" t="str">
        <f>IFERROR(__xludf.DUMMYFUNCTION("""COMPUTED_VALUE"""),"https://drive.google.com/open?id=1-Wn5XUd-SaWXtzXivToimWAhKmVjOIve")</f>
        <v>https://drive.google.com/open?id=1-Wn5XUd-SaWXtzXivToimWAhKmVjOIve</v>
      </c>
      <c r="AA139" s="42" t="s">
        <v>54</v>
      </c>
      <c r="AB139" s="42" t="s">
        <v>2434</v>
      </c>
    </row>
    <row r="140">
      <c r="A140" s="4">
        <f>IFERROR(__xludf.DUMMYFUNCTION("""COMPUTED_VALUE"""),46264.36352666667)</f>
        <v>46264.36353</v>
      </c>
      <c r="B140" s="5" t="str">
        <f>IFERROR(__xludf.DUMMYFUNCTION("""COMPUTED_VALUE"""),"kumoro.pr06@gmail.com")</f>
        <v>kumoro.pr06@gmail.com</v>
      </c>
      <c r="C140" s="5" t="str">
        <f>IFERROR(__xludf.DUMMYFUNCTION("""COMPUTED_VALUE"""),"Kumoro Prahastini ")</f>
        <v>Kumoro Prahastini </v>
      </c>
      <c r="D140" s="5">
        <f>IFERROR(__xludf.DUMMYFUNCTION("""COMPUTED_VALUE"""),7.000171916E9)</f>
        <v>7000171916</v>
      </c>
      <c r="E140" s="5" t="str">
        <f>IFERROR(__xludf.DUMMYFUNCTION("""COMPUTED_VALUE"""),"085142598969")</f>
        <v>085142598969</v>
      </c>
      <c r="F140" s="7">
        <f>IFERROR(__xludf.DUMMYFUNCTION("""COMPUTED_VALUE"""),37231.0)</f>
        <v>37231</v>
      </c>
      <c r="G140" s="5" t="str">
        <f>IFERROR(__xludf.DUMMYFUNCTION("""COMPUTED_VALUE"""),"Pendidikan Guru Sekolah Dasar (PGSD)")</f>
        <v>Pendidikan Guru Sekolah Dasar (PGSD)</v>
      </c>
      <c r="H140" s="5" t="str">
        <f>IFERROR(__xludf.DUMMYFUNCTION("""COMPUTED_VALUE"""),"Universitas Pendidikan Indonesia ")</f>
        <v>Universitas Pendidikan Indonesia </v>
      </c>
      <c r="I140" s="5" t="str">
        <f>IFERROR(__xludf.DUMMYFUNCTION("""COMPUTED_VALUE"""),"Pendidikan Guru Sekolah Dasar (PGSD)")</f>
        <v>Pendidikan Guru Sekolah Dasar (PGSD)</v>
      </c>
      <c r="J140" s="5" t="str">
        <f>IFERROR(__xludf.DUMMYFUNCTION("""COMPUTED_VALUE"""),"PPG Prajabatan Gelombang 2 Tahun 2023")</f>
        <v>PPG Prajabatan Gelombang 2 Tahun 2023</v>
      </c>
      <c r="K140" s="5">
        <f>IFERROR(__xludf.DUMMYFUNCTION("""COMPUTED_VALUE"""),2024.0)</f>
        <v>2024</v>
      </c>
      <c r="L140" s="8" t="str">
        <f>IFERROR(__xludf.DUMMYFUNCTION("""COMPUTED_VALUE"""),"3.73")</f>
        <v>3.73</v>
      </c>
      <c r="M140" s="5" t="str">
        <f>IFERROR(__xludf.DUMMYFUNCTION("""COMPUTED_VALUE"""),"3.95")</f>
        <v>3.95</v>
      </c>
      <c r="N140" s="5" t="str">
        <f>IFERROR(__xludf.DUMMYFUNCTION("""COMPUTED_VALUE"""),"Kota Lubuklinggau, Sumatera Selatan ")</f>
        <v>Kota Lubuklinggau, Sumatera Selatan </v>
      </c>
      <c r="O140" s="5" t="str">
        <f>IFERROR(__xludf.DUMMYFUNCTION("""COMPUTED_VALUE"""),"Tidak")</f>
        <v>Tidak</v>
      </c>
      <c r="P140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140" s="5"/>
      <c r="R140" s="11" t="str">
        <f>IFERROR(__xludf.DUMMYFUNCTION("""COMPUTED_VALUE"""),"https://drive.google.com/drive/folders/13mZOYxtPxMB3lu4cg9nGsyp06JExoD3V")</f>
        <v>https://drive.google.com/drive/folders/13mZOYxtPxMB3lu4cg9nGsyp06JExoD3V</v>
      </c>
      <c r="S140" s="11" t="str">
        <f>IFERROR(__xludf.DUMMYFUNCTION("""COMPUTED_VALUE"""),"https://drive.google.com/file/d/1zUFHU7edYhhn5rtoUV5i6yHLXhfx_YPt/view?usp=drivesdk")</f>
        <v>https://drive.google.com/file/d/1zUFHU7edYhhn5rtoUV5i6yHLXhfx_YPt/view?usp=drivesdk</v>
      </c>
      <c r="T140" s="5" t="str">
        <f>IFERROR(__xludf.DUMMYFUNCTION("""COMPUTED_VALUE"""),"Lainnya")</f>
        <v>Lainnya</v>
      </c>
      <c r="U140" s="5"/>
      <c r="V140" s="5"/>
      <c r="W140" s="5"/>
      <c r="X140" s="5"/>
      <c r="Y140" s="5"/>
      <c r="Z140" s="11" t="str">
        <f>IFERROR(__xludf.DUMMYFUNCTION("""COMPUTED_VALUE"""),"https://drive.google.com/open?id=1e1BnOFWjJWkpXp0QWDjDOrERBYvo68Xx")</f>
        <v>https://drive.google.com/open?id=1e1BnOFWjJWkpXp0QWDjDOrERBYvo68Xx</v>
      </c>
      <c r="AA140" s="42" t="s">
        <v>54</v>
      </c>
      <c r="AB140" s="42" t="s">
        <v>2439</v>
      </c>
    </row>
    <row r="141">
      <c r="A141" s="4">
        <f>IFERROR(__xludf.DUMMYFUNCTION("""COMPUTED_VALUE"""),46264.36577104166)</f>
        <v>46264.36577</v>
      </c>
      <c r="B141" s="5" t="str">
        <f>IFERROR(__xludf.DUMMYFUNCTION("""COMPUTED_VALUE"""),"anggasenju1234@gmail.com")</f>
        <v>anggasenju1234@gmail.com</v>
      </c>
      <c r="C141" s="5" t="str">
        <f>IFERROR(__xludf.DUMMYFUNCTION("""COMPUTED_VALUE"""),"Angga Saputra, S.Pd")</f>
        <v>Angga Saputra, S.Pd</v>
      </c>
      <c r="D141" s="5">
        <f>IFERROR(__xludf.DUMMYFUNCTION("""COMPUTED_VALUE"""),2.02300137023E11)</f>
        <v>202300137023</v>
      </c>
      <c r="E141" s="5" t="str">
        <f>IFERROR(__xludf.DUMMYFUNCTION("""COMPUTED_VALUE"""),"087701239482")</f>
        <v>087701239482</v>
      </c>
      <c r="F141" s="7">
        <f>IFERROR(__xludf.DUMMYFUNCTION("""COMPUTED_VALUE"""),36551.0)</f>
        <v>36551</v>
      </c>
      <c r="G141" s="5" t="str">
        <f>IFERROR(__xludf.DUMMYFUNCTION("""COMPUTED_VALUE"""),"Pendidikan Agama Islam ")</f>
        <v>Pendidikan Agama Islam </v>
      </c>
      <c r="H141" s="5" t="str">
        <f>IFERROR(__xludf.DUMMYFUNCTION("""COMPUTED_VALUE"""),"UIN SUNAN AMPEL SURABAYA ")</f>
        <v>UIN SUNAN AMPEL SURABAYA </v>
      </c>
      <c r="I141" s="5" t="str">
        <f>IFERROR(__xludf.DUMMYFUNCTION("""COMPUTED_VALUE"""),"Agama Islam")</f>
        <v>Agama Islam</v>
      </c>
      <c r="J141" s="5" t="str">
        <f>IFERROR(__xludf.DUMMYFUNCTION("""COMPUTED_VALUE"""),"Lainnya")</f>
        <v>Lainnya</v>
      </c>
      <c r="K141" s="5">
        <f>IFERROR(__xludf.DUMMYFUNCTION("""COMPUTED_VALUE"""),2025.0)</f>
        <v>2025</v>
      </c>
      <c r="L141" s="8" t="str">
        <f>IFERROR(__xludf.DUMMYFUNCTION("""COMPUTED_VALUE"""),"3,71")</f>
        <v>3,71</v>
      </c>
      <c r="M141" s="5" t="str">
        <f>IFERROR(__xludf.DUMMYFUNCTION("""COMPUTED_VALUE"""),"3,22")</f>
        <v>3,22</v>
      </c>
      <c r="N141" s="5" t="str">
        <f>IFERROR(__xludf.DUMMYFUNCTION("""COMPUTED_VALUE"""),"kota Surabaya ")</f>
        <v>kota Surabaya </v>
      </c>
      <c r="O141" s="5" t="str">
        <f>IFERROR(__xludf.DUMMYFUNCTION("""COMPUTED_VALUE"""),"Tidak")</f>
        <v>Tidak</v>
      </c>
      <c r="P141" s="5" t="str">
        <f>IFERROR(__xludf.DUMMYFUNCTION("""COMPUTED_VALUE"""),"Kabupaten Jepara - Tenaga pendampingan pembelajaran mata pelajaran Pendidikan Agama Islam")</f>
        <v>Kabupaten Jepara - Tenaga pendampingan pembelajaran mata pelajaran Pendidikan Agama Islam</v>
      </c>
      <c r="Q141" s="5"/>
      <c r="R141" s="11" t="str">
        <f>IFERROR(__xludf.DUMMYFUNCTION("""COMPUTED_VALUE"""),"https://drive.google.com/file/d/1828YPcHKu6psAeNtu5uNmkT3uRrX203z/view?usp=drivesdk")</f>
        <v>https://drive.google.com/file/d/1828YPcHKu6psAeNtu5uNmkT3uRrX203z/view?usp=drivesdk</v>
      </c>
      <c r="S141" s="11" t="str">
        <f>IFERROR(__xludf.DUMMYFUNCTION("""COMPUTED_VALUE"""),"https://drive.google.com/file/d/1xOPDBiutDsUcljQkrhY4_4Ho6vGNem5I/view?usp=drivesdk")</f>
        <v>https://drive.google.com/file/d/1xOPDBiutDsUcljQkrhY4_4Ho6vGNem5I/view?usp=drivesdk</v>
      </c>
      <c r="T141" s="5" t="str">
        <f>IFERROR(__xludf.DUMMYFUNCTION("""COMPUTED_VALUE"""),"Lainnya")</f>
        <v>Lainnya</v>
      </c>
      <c r="U141" s="5"/>
      <c r="V141" s="5"/>
      <c r="W141" s="5"/>
      <c r="X141" s="5"/>
      <c r="Y141" s="5"/>
      <c r="Z141" s="11" t="str">
        <f>IFERROR(__xludf.DUMMYFUNCTION("""COMPUTED_VALUE"""),"https://drive.google.com/open?id=1w5UG_iPw5oVqoNTW21govm8wMFJiDQvF")</f>
        <v>https://drive.google.com/open?id=1w5UG_iPw5oVqoNTW21govm8wMFJiDQvF</v>
      </c>
      <c r="AA141" s="42" t="s">
        <v>44</v>
      </c>
      <c r="AB141" s="5"/>
    </row>
    <row r="142">
      <c r="A142" s="4">
        <f>IFERROR(__xludf.DUMMYFUNCTION("""COMPUTED_VALUE"""),46264.39643098379)</f>
        <v>46264.39643</v>
      </c>
      <c r="B142" s="5" t="str">
        <f>IFERROR(__xludf.DUMMYFUNCTION("""COMPUTED_VALUE"""),"syeh.aindalloh.2301218@students.um.ac.id")</f>
        <v>syeh.aindalloh.2301218@students.um.ac.id</v>
      </c>
      <c r="C142" s="5" t="str">
        <f>IFERROR(__xludf.DUMMYFUNCTION("""COMPUTED_VALUE"""),"SYEH 'AINDALLOH,S.Pd., M.Pd.")</f>
        <v>SYEH 'AINDALLOH,S.Pd., M.Pd.</v>
      </c>
      <c r="D142" s="5">
        <f>IFERROR(__xludf.DUMMYFUNCTION("""COMPUTED_VALUE"""),2.02400250251E11)</f>
        <v>202400250251</v>
      </c>
      <c r="E142" s="5" t="str">
        <f>IFERROR(__xludf.DUMMYFUNCTION("""COMPUTED_VALUE"""),"088225885341")</f>
        <v>088225885341</v>
      </c>
      <c r="F142" s="7">
        <f>IFERROR(__xludf.DUMMYFUNCTION("""COMPUTED_VALUE"""),35955.0)</f>
        <v>35955</v>
      </c>
      <c r="G142" s="5" t="str">
        <f>IFERROR(__xludf.DUMMYFUNCTION("""COMPUTED_VALUE"""),"PENDIDIKAN BAHASA ARAB")</f>
        <v>PENDIDIKAN BAHASA ARAB</v>
      </c>
      <c r="H142" s="5" t="str">
        <f>IFERROR(__xludf.DUMMYFUNCTION("""COMPUTED_VALUE"""),"UNIVERSITAS DARUSSALAM GONTOR")</f>
        <v>UNIVERSITAS DARUSSALAM GONTOR</v>
      </c>
      <c r="I142" s="5" t="str">
        <f>IFERROR(__xludf.DUMMYFUNCTION("""COMPUTED_VALUE"""),"Lainnya")</f>
        <v>Lainnya</v>
      </c>
      <c r="J142" s="5" t="str">
        <f>IFERROR(__xludf.DUMMYFUNCTION("""COMPUTED_VALUE"""),"Lainnya")</f>
        <v>Lainnya</v>
      </c>
      <c r="K142" s="5">
        <f>IFERROR(__xludf.DUMMYFUNCTION("""COMPUTED_VALUE"""),2025.0)</f>
        <v>2025</v>
      </c>
      <c r="L142" s="8" t="str">
        <f>IFERROR(__xludf.DUMMYFUNCTION("""COMPUTED_VALUE"""),"3.49")</f>
        <v>3.49</v>
      </c>
      <c r="M142" s="5" t="str">
        <f>IFERROR(__xludf.DUMMYFUNCTION("""COMPUTED_VALUE"""),"3.70")</f>
        <v>3.70</v>
      </c>
      <c r="N142" s="5" t="str">
        <f>IFERROR(__xludf.DUMMYFUNCTION("""COMPUTED_VALUE"""),"KAB. MOJOKERTO")</f>
        <v>KAB. MOJOKERTO</v>
      </c>
      <c r="O142" s="5" t="str">
        <f>IFERROR(__xludf.DUMMYFUNCTION("""COMPUTED_VALUE"""),"Tidak")</f>
        <v>Tidak</v>
      </c>
      <c r="P142" s="5" t="str">
        <f>IFERROR(__xludf.DUMMYFUNCTION("""COMPUTED_VALUE"""),"Kabupaten Jepara - Tenaga pendampingan pembelajaran mata pelajaran Pendidikan Agama Islam")</f>
        <v>Kabupaten Jepara - Tenaga pendampingan pembelajaran mata pelajaran Pendidikan Agama Islam</v>
      </c>
      <c r="Q142" s="5"/>
      <c r="R142" s="11" t="str">
        <f>IFERROR(__xludf.DUMMYFUNCTION("""COMPUTED_VALUE"""),"https://drive.google.com/file/d/1q2WATHk4Ogu6nNhq0EnQlwkB49xuDrUM/view?usp=sharing")</f>
        <v>https://drive.google.com/file/d/1q2WATHk4Ogu6nNhq0EnQlwkB49xuDrUM/view?usp=sharing</v>
      </c>
      <c r="S142" s="11" t="str">
        <f>IFERROR(__xludf.DUMMYFUNCTION("""COMPUTED_VALUE"""),"https://drive.google.com/file/d/1kebzPEnjn8cLYmp2y7HRyvi4KUEM7GYg/view?usp=sharing")</f>
        <v>https://drive.google.com/file/d/1kebzPEnjn8cLYmp2y7HRyvi4KUEM7GYg/view?usp=sharing</v>
      </c>
      <c r="T142" s="5" t="str">
        <f>IFERROR(__xludf.DUMMYFUNCTION("""COMPUTED_VALUE"""),"Lainnya")</f>
        <v>Lainnya</v>
      </c>
      <c r="U142" s="5"/>
      <c r="V142" s="5"/>
      <c r="W142" s="5"/>
      <c r="X142" s="5"/>
      <c r="Y142" s="5"/>
      <c r="Z142" s="11" t="str">
        <f>IFERROR(__xludf.DUMMYFUNCTION("""COMPUTED_VALUE"""),"https://drive.google.com/open?id=1YSxUo6otlpnmQDm2V2_VyILCo96nBpQ1")</f>
        <v>https://drive.google.com/open?id=1YSxUo6otlpnmQDm2V2_VyILCo96nBpQ1</v>
      </c>
      <c r="AA142" s="42" t="s">
        <v>44</v>
      </c>
      <c r="AB142" s="5"/>
    </row>
    <row r="143">
      <c r="A143" s="4">
        <f>IFERROR(__xludf.DUMMYFUNCTION("""COMPUTED_VALUE"""),46264.410206886576)</f>
        <v>46264.41021</v>
      </c>
      <c r="B143" s="5" t="str">
        <f>IFERROR(__xludf.DUMMYFUNCTION("""COMPUTED_VALUE"""),"elsygusmayanti038@gmail.com")</f>
        <v>elsygusmayanti038@gmail.com</v>
      </c>
      <c r="C143" s="5" t="str">
        <f>IFERROR(__xludf.DUMMYFUNCTION("""COMPUTED_VALUE"""),"Elsy Gusmayanti,M.Pd")</f>
        <v>Elsy Gusmayanti,M.Pd</v>
      </c>
      <c r="D143" s="5">
        <f>IFERROR(__xludf.DUMMYFUNCTION("""COMPUTED_VALUE"""),2.02200066349E11)</f>
        <v>202200066349</v>
      </c>
      <c r="E143" s="5" t="str">
        <f>IFERROR(__xludf.DUMMYFUNCTION("""COMPUTED_VALUE"""),"087855227678")</f>
        <v>087855227678</v>
      </c>
      <c r="F143" s="7">
        <f>IFERROR(__xludf.DUMMYFUNCTION("""COMPUTED_VALUE"""),35284.0)</f>
        <v>35284</v>
      </c>
      <c r="G143" s="5" t="str">
        <f>IFERROR(__xludf.DUMMYFUNCTION("""COMPUTED_VALUE"""),"Pg-paud ")</f>
        <v>Pg-paud </v>
      </c>
      <c r="H143" s="5" t="str">
        <f>IFERROR(__xludf.DUMMYFUNCTION("""COMPUTED_VALUE"""),"Universitas Mataram ")</f>
        <v>Universitas Mataram </v>
      </c>
      <c r="I143" s="5" t="str">
        <f>IFERROR(__xludf.DUMMYFUNCTION("""COMPUTED_VALUE"""),"Pendidikan Guru PAUD (PG-PAUD)")</f>
        <v>Pendidikan Guru PAUD (PG-PAUD)</v>
      </c>
      <c r="J143" s="5" t="str">
        <f>IFERROR(__xludf.DUMMYFUNCTION("""COMPUTED_VALUE"""),"PPG Calon Guru Gelombang 2 Tahun 2024")</f>
        <v>PPG Calon Guru Gelombang 2 Tahun 2024</v>
      </c>
      <c r="K143" s="5">
        <f>IFERROR(__xludf.DUMMYFUNCTION("""COMPUTED_VALUE"""),2025.0)</f>
        <v>2025</v>
      </c>
      <c r="L143" s="8" t="str">
        <f>IFERROR(__xludf.DUMMYFUNCTION("""COMPUTED_VALUE"""),"3.64")</f>
        <v>3.64</v>
      </c>
      <c r="M143" s="5" t="str">
        <f>IFERROR(__xludf.DUMMYFUNCTION("""COMPUTED_VALUE"""),"3.50")</f>
        <v>3.50</v>
      </c>
      <c r="N143" s="5" t="str">
        <f>IFERROR(__xludf.DUMMYFUNCTION("""COMPUTED_VALUE"""),"Desa Kawo, Lombok Tengah, NTB ")</f>
        <v>Desa Kawo, Lombok Tengah, NTB </v>
      </c>
      <c r="O143" s="5" t="str">
        <f>IFERROR(__xludf.DUMMYFUNCTION("""COMPUTED_VALUE"""),"Tidak")</f>
        <v>Tidak</v>
      </c>
      <c r="P143" s="5" t="str">
        <f>IFERROR(__xludf.DUMMYFUNCTION("""COMPUTED_VALUE"""),"Kabupaten Buton Tengah - Tenaga pendampingan pembelajaran mata pelajaran FISIKA")</f>
        <v>Kabupaten Buton Tengah - Tenaga pendampingan pembelajaran mata pelajaran FISIKA</v>
      </c>
      <c r="Q143" s="5"/>
      <c r="R143" s="5" t="str">
        <f>IFERROR(__xludf.DUMMYFUNCTION("""COMPUTED_VALUE"""),"-")</f>
        <v>-</v>
      </c>
      <c r="S143" s="11" t="str">
        <f>IFERROR(__xludf.DUMMYFUNCTION("""COMPUTED_VALUE"""),"https://drive.google.com/drive/folders/1MSCACZOM7BzVsQwuJ0JlJxgh0BU8L-UG")</f>
        <v>https://drive.google.com/drive/folders/1MSCACZOM7BzVsQwuJ0JlJxgh0BU8L-UG</v>
      </c>
      <c r="T143" s="5" t="str">
        <f>IFERROR(__xludf.DUMMYFUNCTION("""COMPUTED_VALUE"""),"Lainnya")</f>
        <v>Lainnya</v>
      </c>
      <c r="U143" s="5"/>
      <c r="V143" s="5"/>
      <c r="W143" s="5"/>
      <c r="X143" s="5"/>
      <c r="Y143" s="5"/>
      <c r="Z143" s="11" t="str">
        <f>IFERROR(__xludf.DUMMYFUNCTION("""COMPUTED_VALUE"""),"https://drive.google.com/open?id=1N6zbpCJ1tfnv8iIDpu8YUaVtAb3NFRNv")</f>
        <v>https://drive.google.com/open?id=1N6zbpCJ1tfnv8iIDpu8YUaVtAb3NFRNv</v>
      </c>
      <c r="AA143" s="42" t="s">
        <v>54</v>
      </c>
      <c r="AB143" s="42" t="s">
        <v>2439</v>
      </c>
    </row>
    <row r="144">
      <c r="A144" s="4">
        <f>IFERROR(__xludf.DUMMYFUNCTION("""COMPUTED_VALUE"""),46264.420407893514)</f>
        <v>46264.42041</v>
      </c>
      <c r="B144" s="5" t="str">
        <f>IFERROR(__xludf.DUMMYFUNCTION("""COMPUTED_VALUE"""),"novinurivanir@gmail.com")</f>
        <v>novinurivanir@gmail.com</v>
      </c>
      <c r="C144" s="5" t="str">
        <f>IFERROR(__xludf.DUMMYFUNCTION("""COMPUTED_VALUE"""),"NOVI NUR IVANI RAHMAH, S.Pd, Gr")</f>
        <v>NOVI NUR IVANI RAHMAH, S.Pd, Gr</v>
      </c>
      <c r="D144" s="5">
        <f>IFERROR(__xludf.DUMMYFUNCTION("""COMPUTED_VALUE"""),7.000148794E9)</f>
        <v>7000148794</v>
      </c>
      <c r="E144" s="5" t="str">
        <f>IFERROR(__xludf.DUMMYFUNCTION("""COMPUTED_VALUE"""),"085743218401")</f>
        <v>085743218401</v>
      </c>
      <c r="F144" s="7">
        <f>IFERROR(__xludf.DUMMYFUNCTION("""COMPUTED_VALUE"""),36386.0)</f>
        <v>36386</v>
      </c>
      <c r="G144" s="5" t="str">
        <f>IFERROR(__xludf.DUMMYFUNCTION("""COMPUTED_VALUE"""),"PENDIDIKAN MATEMATIKA")</f>
        <v>PENDIDIKAN MATEMATIKA</v>
      </c>
      <c r="H144" s="5" t="str">
        <f>IFERROR(__xludf.DUMMYFUNCTION("""COMPUTED_VALUE"""),"UNIVERSITAS ISLAM DARUL 'ULUM LAMONGAN")</f>
        <v>UNIVERSITAS ISLAM DARUL 'ULUM LAMONGAN</v>
      </c>
      <c r="I144" s="5" t="str">
        <f>IFERROR(__xludf.DUMMYFUNCTION("""COMPUTED_VALUE"""),"Matematika")</f>
        <v>Matematika</v>
      </c>
      <c r="J144" s="5" t="str">
        <f>IFERROR(__xludf.DUMMYFUNCTION("""COMPUTED_VALUE"""),"PPG Prajabatan Gelombang 2 Tahun 2023")</f>
        <v>PPG Prajabatan Gelombang 2 Tahun 2023</v>
      </c>
      <c r="K144" s="5">
        <f>IFERROR(__xludf.DUMMYFUNCTION("""COMPUTED_VALUE"""),2024.0)</f>
        <v>2024</v>
      </c>
      <c r="L144" s="8" t="str">
        <f>IFERROR(__xludf.DUMMYFUNCTION("""COMPUTED_VALUE"""),"3.79")</f>
        <v>3.79</v>
      </c>
      <c r="M144" s="5" t="str">
        <f>IFERROR(__xludf.DUMMYFUNCTION("""COMPUTED_VALUE"""),"4.00")</f>
        <v>4.00</v>
      </c>
      <c r="N144" s="5" t="str">
        <f>IFERROR(__xludf.DUMMYFUNCTION("""COMPUTED_VALUE"""),"GRESIK, JAWA TIMUR")</f>
        <v>GRESIK, JAWA TIMUR</v>
      </c>
      <c r="O144" s="5" t="str">
        <f>IFERROR(__xludf.DUMMYFUNCTION("""COMPUTED_VALUE"""),"Tidak")</f>
        <v>Tidak</v>
      </c>
      <c r="P144" s="5" t="str">
        <f>IFERROR(__xludf.DUMMYFUNCTION("""COMPUTED_VALUE"""),"Kabupaten Buton Tengah - Tenaga pendampingan pembelajaran mata pelajaran FISIKA")</f>
        <v>Kabupaten Buton Tengah - Tenaga pendampingan pembelajaran mata pelajaran FISIKA</v>
      </c>
      <c r="Q144" s="5"/>
      <c r="R144" s="11" t="str">
        <f>IFERROR(__xludf.DUMMYFUNCTION("""COMPUTED_VALUE"""),"https://drive.google.com/drive/folders/1Yk_3znP-E_7NeJzSXSYZoZ4RQmCFsPVZ?usp=sharing")</f>
        <v>https://drive.google.com/drive/folders/1Yk_3znP-E_7NeJzSXSYZoZ4RQmCFsPVZ?usp=sharing</v>
      </c>
      <c r="S144" s="11" t="str">
        <f>IFERROR(__xludf.DUMMYFUNCTION("""COMPUTED_VALUE"""),"https://drive.google.com/file/d/1ar4kGy1qfg_uktfh803TTJLH1ex1jIjx/view?usp=sharing")</f>
        <v>https://drive.google.com/file/d/1ar4kGy1qfg_uktfh803TTJLH1ex1jIjx/view?usp=sharing</v>
      </c>
      <c r="T144" s="5" t="str">
        <f>IFERROR(__xludf.DUMMYFUNCTION("""COMPUTED_VALUE"""),"Lainnya")</f>
        <v>Lainnya</v>
      </c>
      <c r="U144" s="5"/>
      <c r="V144" s="5"/>
      <c r="W144" s="5"/>
      <c r="X144" s="5"/>
      <c r="Y144" s="5"/>
      <c r="Z144" s="11" t="str">
        <f>IFERROR(__xludf.DUMMYFUNCTION("""COMPUTED_VALUE"""),"https://drive.google.com/open?id=1pl-X1oB5tn088a2znovqUykPSku-87ra")</f>
        <v>https://drive.google.com/open?id=1pl-X1oB5tn088a2znovqUykPSku-87ra</v>
      </c>
      <c r="AA144" s="42" t="s">
        <v>54</v>
      </c>
      <c r="AB144" s="42" t="s">
        <v>2439</v>
      </c>
    </row>
    <row r="145">
      <c r="A145" s="4">
        <f>IFERROR(__xludf.DUMMYFUNCTION("""COMPUTED_VALUE"""),46264.44701055556)</f>
        <v>46264.44701</v>
      </c>
      <c r="B145" s="5" t="str">
        <f>IFERROR(__xludf.DUMMYFUNCTION("""COMPUTED_VALUE"""),"hidayatiruyatul22@gmail.com")</f>
        <v>hidayatiruyatul22@gmail.com</v>
      </c>
      <c r="C145" s="5" t="str">
        <f>IFERROR(__xludf.DUMMYFUNCTION("""COMPUTED_VALUE"""),"Ru'yatul Hidayati, S. Pd., Gr")</f>
        <v>Ru'yatul Hidayati, S. Pd., Gr</v>
      </c>
      <c r="D145" s="5"/>
      <c r="E145" s="5" t="str">
        <f>IFERROR(__xludf.DUMMYFUNCTION("""COMPUTED_VALUE"""),"083143169280")</f>
        <v>083143169280</v>
      </c>
      <c r="F145" s="7">
        <f>IFERROR(__xludf.DUMMYFUNCTION("""COMPUTED_VALUE"""),36729.0)</f>
        <v>36729</v>
      </c>
      <c r="G145" s="5" t="str">
        <f>IFERROR(__xludf.DUMMYFUNCTION("""COMPUTED_VALUE"""),"S1 Pendidikan Kimia")</f>
        <v>S1 Pendidikan Kimia</v>
      </c>
      <c r="H145" s="5" t="str">
        <f>IFERROR(__xludf.DUMMYFUNCTION("""COMPUTED_VALUE"""),"Universitas Mataram")</f>
        <v>Universitas Mataram</v>
      </c>
      <c r="I145" s="5" t="str">
        <f>IFERROR(__xludf.DUMMYFUNCTION("""COMPUTED_VALUE"""),"Ilmu Pengetahuan Alam (IPA)")</f>
        <v>Ilmu Pengetahuan Alam (IPA)</v>
      </c>
      <c r="J145" s="5" t="str">
        <f>IFERROR(__xludf.DUMMYFUNCTION("""COMPUTED_VALUE"""),"PPG Prajabatan Gelombang 1 Tahun 2023")</f>
        <v>PPG Prajabatan Gelombang 1 Tahun 2023</v>
      </c>
      <c r="K145" s="5">
        <f>IFERROR(__xludf.DUMMYFUNCTION("""COMPUTED_VALUE"""),2024.0)</f>
        <v>2024</v>
      </c>
      <c r="L145" s="8" t="str">
        <f>IFERROR(__xludf.DUMMYFUNCTION("""COMPUTED_VALUE"""),"3.67")</f>
        <v>3.67</v>
      </c>
      <c r="M145" s="5" t="str">
        <f>IFERROR(__xludf.DUMMYFUNCTION("""COMPUTED_VALUE"""),"4.00")</f>
        <v>4.00</v>
      </c>
      <c r="N145" s="5" t="str">
        <f>IFERROR(__xludf.DUMMYFUNCTION("""COMPUTED_VALUE"""),"Kota Lombok Timur, Nusa Tenggara Barat")</f>
        <v>Kota Lombok Timur, Nusa Tenggara Barat</v>
      </c>
      <c r="O145" s="5" t="str">
        <f>IFERROR(__xludf.DUMMYFUNCTION("""COMPUTED_VALUE"""),"Tidak")</f>
        <v>Tidak</v>
      </c>
      <c r="P145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145" s="5"/>
      <c r="R145" s="11" t="str">
        <f>IFERROR(__xludf.DUMMYFUNCTION("""COMPUTED_VALUE"""),"https://drive.google.com/file/d/1Q1G14BzAhbQSQoSiLSt9YJjxUYVzcP6x/view?usp=drivesdk ")</f>
        <v>https://drive.google.com/file/d/1Q1G14BzAhbQSQoSiLSt9YJjxUYVzcP6x/view?usp=drivesdk </v>
      </c>
      <c r="S145" s="11" t="str">
        <f>IFERROR(__xludf.DUMMYFUNCTION("""COMPUTED_VALUE"""),"https://drive.google.com/file/d/10nhWSrB9Ujt_hKAXf4doFhwHicSA0Cgt/view?usp=drivesdk ")</f>
        <v>https://drive.google.com/file/d/10nhWSrB9Ujt_hKAXf4doFhwHicSA0Cgt/view?usp=drivesdk </v>
      </c>
      <c r="T145" s="5" t="str">
        <f>IFERROR(__xludf.DUMMYFUNCTION("""COMPUTED_VALUE"""),"Lainnya")</f>
        <v>Lainnya</v>
      </c>
      <c r="U145" s="5"/>
      <c r="V145" s="5"/>
      <c r="W145" s="5"/>
      <c r="X145" s="5"/>
      <c r="Y145" s="5"/>
      <c r="Z145" s="11" t="str">
        <f>IFERROR(__xludf.DUMMYFUNCTION("""COMPUTED_VALUE"""),"https://drive.google.com/open?id=1Sa3m1E248jbKo6mNiEQ--47DLK3YRc9s")</f>
        <v>https://drive.google.com/open?id=1Sa3m1E248jbKo6mNiEQ--47DLK3YRc9s</v>
      </c>
      <c r="AA145" s="42" t="s">
        <v>44</v>
      </c>
      <c r="AB145" s="5"/>
    </row>
    <row r="146">
      <c r="A146" s="4">
        <f>IFERROR(__xludf.DUMMYFUNCTION("""COMPUTED_VALUE"""),46264.51664131944)</f>
        <v>46264.51664</v>
      </c>
      <c r="B146" s="5" t="str">
        <f>IFERROR(__xludf.DUMMYFUNCTION("""COMPUTED_VALUE"""),"rifkihermawan19@gmail.com")</f>
        <v>rifkihermawan19@gmail.com</v>
      </c>
      <c r="C146" s="5" t="str">
        <f>IFERROR(__xludf.DUMMYFUNCTION("""COMPUTED_VALUE"""),"Muhamad Rifki Hermawan")</f>
        <v>Muhamad Rifki Hermawan</v>
      </c>
      <c r="D146" s="5">
        <f>IFERROR(__xludf.DUMMYFUNCTION("""COMPUTED_VALUE"""),2.02400087943E11)</f>
        <v>202400087943</v>
      </c>
      <c r="E146" s="5" t="str">
        <f>IFERROR(__xludf.DUMMYFUNCTION("""COMPUTED_VALUE"""),"0895334524192")</f>
        <v>0895334524192</v>
      </c>
      <c r="F146" s="7">
        <f>IFERROR(__xludf.DUMMYFUNCTION("""COMPUTED_VALUE"""),35783.0)</f>
        <v>35783</v>
      </c>
      <c r="G146" s="5" t="str">
        <f>IFERROR(__xludf.DUMMYFUNCTION("""COMPUTED_VALUE"""),"Pendidikan Agama Islam")</f>
        <v>Pendidikan Agama Islam</v>
      </c>
      <c r="H146" s="5" t="str">
        <f>IFERROR(__xludf.DUMMYFUNCTION("""COMPUTED_VALUE"""),"Universitas Muhammadiyah Jakarta ")</f>
        <v>Universitas Muhammadiyah Jakarta </v>
      </c>
      <c r="I146" s="5" t="str">
        <f>IFERROR(__xludf.DUMMYFUNCTION("""COMPUTED_VALUE"""),"Agama Islam")</f>
        <v>Agama Islam</v>
      </c>
      <c r="J146" s="5" t="str">
        <f>IFERROR(__xludf.DUMMYFUNCTION("""COMPUTED_VALUE"""),"Lainnya")</f>
        <v>Lainnya</v>
      </c>
      <c r="K146" s="5">
        <f>IFERROR(__xludf.DUMMYFUNCTION("""COMPUTED_VALUE"""),2026.0)</f>
        <v>2026</v>
      </c>
      <c r="L146" s="8" t="str">
        <f>IFERROR(__xludf.DUMMYFUNCTION("""COMPUTED_VALUE"""),"3.53")</f>
        <v>3.53</v>
      </c>
      <c r="M146" s="5" t="str">
        <f>IFERROR(__xludf.DUMMYFUNCTION("""COMPUTED_VALUE"""),"4.00")</f>
        <v>4.00</v>
      </c>
      <c r="N146" s="5" t="str">
        <f>IFERROR(__xludf.DUMMYFUNCTION("""COMPUTED_VALUE"""),"Tangerang Selatan, Banten ")</f>
        <v>Tangerang Selatan, Banten </v>
      </c>
      <c r="O146" s="5" t="str">
        <f>IFERROR(__xludf.DUMMYFUNCTION("""COMPUTED_VALUE"""),"Tidak")</f>
        <v>Tidak</v>
      </c>
      <c r="P146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146" s="5"/>
      <c r="R146" s="5" t="str">
        <f>IFERROR(__xludf.DUMMYFUNCTION("""COMPUTED_VALUE"""),"Tidak ada")</f>
        <v>Tidak ada</v>
      </c>
      <c r="S146" s="11" t="str">
        <f>IFERROR(__xludf.DUMMYFUNCTION("""COMPUTED_VALUE"""),"https://drive.google.com/file/d/1e3MIskV95w9vhLcemJFBqQ339QT6D07m/view?usp=drivesdk")</f>
        <v>https://drive.google.com/file/d/1e3MIskV95w9vhLcemJFBqQ339QT6D07m/view?usp=drivesdk</v>
      </c>
      <c r="T146" s="5" t="str">
        <f>IFERROR(__xludf.DUMMYFUNCTION("""COMPUTED_VALUE"""),"Lainnya")</f>
        <v>Lainnya</v>
      </c>
      <c r="U146" s="5"/>
      <c r="V146" s="5"/>
      <c r="W146" s="5"/>
      <c r="X146" s="5"/>
      <c r="Y146" s="5"/>
      <c r="Z146" s="11" t="str">
        <f>IFERROR(__xludf.DUMMYFUNCTION("""COMPUTED_VALUE"""),"https://drive.google.com/open?id=1o9nod8kmC_gokMKK38rh2YfoxHydqneD")</f>
        <v>https://drive.google.com/open?id=1o9nod8kmC_gokMKK38rh2YfoxHydqneD</v>
      </c>
      <c r="AA146" s="42" t="s">
        <v>44</v>
      </c>
      <c r="AB146" s="5"/>
    </row>
    <row r="147">
      <c r="A147" s="4">
        <f>IFERROR(__xludf.DUMMYFUNCTION("""COMPUTED_VALUE"""),46264.53111611111)</f>
        <v>46264.53112</v>
      </c>
      <c r="B147" s="5" t="str">
        <f>IFERROR(__xludf.DUMMYFUNCTION("""COMPUTED_VALUE"""),"leny.wijayaanggraini@gmail.com")</f>
        <v>leny.wijayaanggraini@gmail.com</v>
      </c>
      <c r="C147" s="5" t="str">
        <f>IFERROR(__xludf.DUMMYFUNCTION("""COMPUTED_VALUE"""),"LENY ANGGRAINI WIJAYA, S.Pd.,Gr.")</f>
        <v>LENY ANGGRAINI WIJAYA, S.Pd.,Gr.</v>
      </c>
      <c r="D147" s="5">
        <f>IFERROR(__xludf.DUMMYFUNCTION("""COMPUTED_VALUE"""),7.000151721E9)</f>
        <v>7000151721</v>
      </c>
      <c r="E147" s="5" t="str">
        <f>IFERROR(__xludf.DUMMYFUNCTION("""COMPUTED_VALUE"""),"0895630518511")</f>
        <v>0895630518511</v>
      </c>
      <c r="F147" s="7">
        <f>IFERROR(__xludf.DUMMYFUNCTION("""COMPUTED_VALUE"""),36825.0)</f>
        <v>36825</v>
      </c>
      <c r="G147" s="5" t="str">
        <f>IFERROR(__xludf.DUMMYFUNCTION("""COMPUTED_VALUE"""),"Pendidikan Matematika")</f>
        <v>Pendidikan Matematika</v>
      </c>
      <c r="H147" s="5" t="str">
        <f>IFERROR(__xludf.DUMMYFUNCTION("""COMPUTED_VALUE"""),"Universitas Jember")</f>
        <v>Universitas Jember</v>
      </c>
      <c r="I147" s="5" t="str">
        <f>IFERROR(__xludf.DUMMYFUNCTION("""COMPUTED_VALUE"""),"Matematika")</f>
        <v>Matematika</v>
      </c>
      <c r="J147" s="5" t="str">
        <f>IFERROR(__xludf.DUMMYFUNCTION("""COMPUTED_VALUE"""),"PPG Prajabatan Gelombang 1 Tahun 2023")</f>
        <v>PPG Prajabatan Gelombang 1 Tahun 2023</v>
      </c>
      <c r="K147" s="5">
        <f>IFERROR(__xludf.DUMMYFUNCTION("""COMPUTED_VALUE"""),2024.0)</f>
        <v>2024</v>
      </c>
      <c r="L147" s="8" t="str">
        <f>IFERROR(__xludf.DUMMYFUNCTION("""COMPUTED_VALUE"""),"3.77")</f>
        <v>3.77</v>
      </c>
      <c r="M147" s="5" t="str">
        <f>IFERROR(__xludf.DUMMYFUNCTION("""COMPUTED_VALUE"""),"4.00")</f>
        <v>4.00</v>
      </c>
      <c r="N147" s="5" t="str">
        <f>IFERROR(__xludf.DUMMYFUNCTION("""COMPUTED_VALUE"""),"Kota Probolinggo, Jawa Timur")</f>
        <v>Kota Probolinggo, Jawa Timur</v>
      </c>
      <c r="O147" s="5" t="str">
        <f>IFERROR(__xludf.DUMMYFUNCTION("""COMPUTED_VALUE"""),"Tidak")</f>
        <v>Tidak</v>
      </c>
      <c r="P147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147" s="5"/>
      <c r="R147" s="11" t="str">
        <f>IFERROR(__xludf.DUMMYFUNCTION("""COMPUTED_VALUE"""),"https://drive.google.com/drive/folders/1HSEr75Zc8RhUxysY7jW4NqvKaxmcwt7C?usp=sharing")</f>
        <v>https://drive.google.com/drive/folders/1HSEr75Zc8RhUxysY7jW4NqvKaxmcwt7C?usp=sharing</v>
      </c>
      <c r="S147" s="11" t="str">
        <f>IFERROR(__xludf.DUMMYFUNCTION("""COMPUTED_VALUE"""),"https://drive.google.com/drive/folders/1HSEr75Zc8RhUxysY7jW4NqvKaxmcwt7C?usp=sharing")</f>
        <v>https://drive.google.com/drive/folders/1HSEr75Zc8RhUxysY7jW4NqvKaxmcwt7C?usp=sharing</v>
      </c>
      <c r="T147" s="5" t="str">
        <f>IFERROR(__xludf.DUMMYFUNCTION("""COMPUTED_VALUE"""),"Lainnya")</f>
        <v>Lainnya</v>
      </c>
      <c r="U147" s="5"/>
      <c r="V147" s="5"/>
      <c r="W147" s="5"/>
      <c r="X147" s="5"/>
      <c r="Y147" s="5"/>
      <c r="Z147" s="11" t="str">
        <f>IFERROR(__xludf.DUMMYFUNCTION("""COMPUTED_VALUE"""),"https://drive.google.com/open?id=1wnAGa_ZOP4sX5bhQJCKGTnTIC5pjRHH6")</f>
        <v>https://drive.google.com/open?id=1wnAGa_ZOP4sX5bhQJCKGTnTIC5pjRHH6</v>
      </c>
      <c r="AA147" s="42" t="s">
        <v>54</v>
      </c>
      <c r="AB147" s="42" t="s">
        <v>2439</v>
      </c>
    </row>
    <row r="148">
      <c r="A148" s="4">
        <f>IFERROR(__xludf.DUMMYFUNCTION("""COMPUTED_VALUE"""),46264.56158353009)</f>
        <v>46264.56158</v>
      </c>
      <c r="B148" s="5" t="str">
        <f>IFERROR(__xludf.DUMMYFUNCTION("""COMPUTED_VALUE"""),"qotrunnadafitriadisvaadisva@gmail.com")</f>
        <v>qotrunnadafitriadisvaadisva@gmail.com</v>
      </c>
      <c r="C148" s="5" t="str">
        <f>IFERROR(__xludf.DUMMYFUNCTION("""COMPUTED_VALUE"""),"QOTRUN NADA FITRI ADISVA,S.Pd,Gr")</f>
        <v>QOTRUN NADA FITRI ADISVA,S.Pd,Gr</v>
      </c>
      <c r="D148" s="5">
        <f>IFERROR(__xludf.DUMMYFUNCTION("""COMPUTED_VALUE"""),2.02300055745E11)</f>
        <v>202300055745</v>
      </c>
      <c r="E148" s="5" t="str">
        <f>IFERROR(__xludf.DUMMYFUNCTION("""COMPUTED_VALUE"""),"082213822904")</f>
        <v>082213822904</v>
      </c>
      <c r="F148" s="7">
        <f>IFERROR(__xludf.DUMMYFUNCTION("""COMPUTED_VALUE"""),36894.0)</f>
        <v>36894</v>
      </c>
      <c r="G148" s="5" t="str">
        <f>IFERROR(__xludf.DUMMYFUNCTION("""COMPUTED_VALUE"""),"S1-Pendidikan IPA ")</f>
        <v>S1-Pendidikan IPA </v>
      </c>
      <c r="H148" s="5" t="str">
        <f>IFERROR(__xludf.DUMMYFUNCTION("""COMPUTED_VALUE"""),"Universitas Negeri Padang ")</f>
        <v>Universitas Negeri Padang </v>
      </c>
      <c r="I148" s="5" t="str">
        <f>IFERROR(__xludf.DUMMYFUNCTION("""COMPUTED_VALUE"""),"Ilmu Pengetahuan Alam (IPA)")</f>
        <v>Ilmu Pengetahuan Alam (IPA)</v>
      </c>
      <c r="J148" s="5" t="str">
        <f>IFERROR(__xludf.DUMMYFUNCTION("""COMPUTED_VALUE"""),"Lainnya")</f>
        <v>Lainnya</v>
      </c>
      <c r="K148" s="5">
        <f>IFERROR(__xludf.DUMMYFUNCTION("""COMPUTED_VALUE"""),2025.0)</f>
        <v>2025</v>
      </c>
      <c r="L148" s="8" t="str">
        <f>IFERROR(__xludf.DUMMYFUNCTION("""COMPUTED_VALUE"""),"3,74")</f>
        <v>3,74</v>
      </c>
      <c r="M148" s="5" t="str">
        <f>IFERROR(__xludf.DUMMYFUNCTION("""COMPUTED_VALUE"""),"3, 74 ")</f>
        <v>3, 74 </v>
      </c>
      <c r="N148" s="5" t="str">
        <f>IFERROR(__xludf.DUMMYFUNCTION("""COMPUTED_VALUE"""),"Kota Muara Bulian, Jambi")</f>
        <v>Kota Muara Bulian, Jambi</v>
      </c>
      <c r="O148" s="5" t="str">
        <f>IFERROR(__xludf.DUMMYFUNCTION("""COMPUTED_VALUE"""),"Tidak")</f>
        <v>Tidak</v>
      </c>
      <c r="P148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148" s="5"/>
      <c r="R148" s="11" t="str">
        <f>IFERROR(__xludf.DUMMYFUNCTION("""COMPUTED_VALUE"""),"https://drive.google.com/file/d/1tEeQRo0wNeGKuciO9W-2k-w4rrEA90mB/view?usp=drivesdk")</f>
        <v>https://drive.google.com/file/d/1tEeQRo0wNeGKuciO9W-2k-w4rrEA90mB/view?usp=drivesdk</v>
      </c>
      <c r="S148" s="11" t="str">
        <f>IFERROR(__xludf.DUMMYFUNCTION("""COMPUTED_VALUE"""),"https://drive.google.com/file/d/1fgjFP7heZob1byrZ08PNTEvBkkmy4XS3/view?usp=drivesdk")</f>
        <v>https://drive.google.com/file/d/1fgjFP7heZob1byrZ08PNTEvBkkmy4XS3/view?usp=drivesdk</v>
      </c>
      <c r="T148" s="5" t="str">
        <f>IFERROR(__xludf.DUMMYFUNCTION("""COMPUTED_VALUE"""),"Lainnya")</f>
        <v>Lainnya</v>
      </c>
      <c r="U148" s="5"/>
      <c r="V148" s="5"/>
      <c r="W148" s="5"/>
      <c r="X148" s="5"/>
      <c r="Y148" s="5"/>
      <c r="Z148" s="11" t="str">
        <f>IFERROR(__xludf.DUMMYFUNCTION("""COMPUTED_VALUE"""),"https://drive.google.com/open?id=1vW5UTUaNOhJUK3zusOjr2AE5BtCVDS5H")</f>
        <v>https://drive.google.com/open?id=1vW5UTUaNOhJUK3zusOjr2AE5BtCVDS5H</v>
      </c>
      <c r="AA148" s="42" t="s">
        <v>44</v>
      </c>
      <c r="AB148" s="5"/>
    </row>
    <row r="149">
      <c r="A149" s="4">
        <f>IFERROR(__xludf.DUMMYFUNCTION("""COMPUTED_VALUE"""),46264.588558055555)</f>
        <v>46264.58856</v>
      </c>
      <c r="B149" s="5" t="str">
        <f>IFERROR(__xludf.DUMMYFUNCTION("""COMPUTED_VALUE"""),"silmikurnias@gmail.com")</f>
        <v>silmikurnias@gmail.com</v>
      </c>
      <c r="C149" s="5" t="str">
        <f>IFERROR(__xludf.DUMMYFUNCTION("""COMPUTED_VALUE"""),"SILMI KURNIA SA'ADAH, S.Pd.")</f>
        <v>SILMI KURNIA SA'ADAH, S.Pd.</v>
      </c>
      <c r="D149" s="5">
        <f>IFERROR(__xludf.DUMMYFUNCTION("""COMPUTED_VALUE"""),7.000028992E9)</f>
        <v>7000028992</v>
      </c>
      <c r="E149" s="5" t="str">
        <f>IFERROR(__xludf.DUMMYFUNCTION("""COMPUTED_VALUE"""),"087880657411")</f>
        <v>087880657411</v>
      </c>
      <c r="F149" s="7">
        <f>IFERROR(__xludf.DUMMYFUNCTION("""COMPUTED_VALUE"""),35886.0)</f>
        <v>35886</v>
      </c>
      <c r="G149" s="5" t="str">
        <f>IFERROR(__xludf.DUMMYFUNCTION("""COMPUTED_VALUE"""),"PENDIDIKAN IPA")</f>
        <v>PENDIDIKAN IPA</v>
      </c>
      <c r="H149" s="5" t="str">
        <f>IFERROR(__xludf.DUMMYFUNCTION("""COMPUTED_VALUE"""),"UNIVERSITAS NEGERI SEMARANG")</f>
        <v>UNIVERSITAS NEGERI SEMARANG</v>
      </c>
      <c r="I149" s="5" t="str">
        <f>IFERROR(__xludf.DUMMYFUNCTION("""COMPUTED_VALUE"""),"Ilmu Pengetahuan Alam (IPA)")</f>
        <v>Ilmu Pengetahuan Alam (IPA)</v>
      </c>
      <c r="J149" s="5" t="str">
        <f>IFERROR(__xludf.DUMMYFUNCTION("""COMPUTED_VALUE"""),"PPG Prajabatan Gelombang 1 Tahun 2022")</f>
        <v>PPG Prajabatan Gelombang 1 Tahun 2022</v>
      </c>
      <c r="K149" s="5">
        <f>IFERROR(__xludf.DUMMYFUNCTION("""COMPUTED_VALUE"""),2023.0)</f>
        <v>2023</v>
      </c>
      <c r="L149" s="8" t="str">
        <f>IFERROR(__xludf.DUMMYFUNCTION("""COMPUTED_VALUE"""),"3.45")</f>
        <v>3.45</v>
      </c>
      <c r="M149" s="5" t="str">
        <f>IFERROR(__xludf.DUMMYFUNCTION("""COMPUTED_VALUE"""),"3.97")</f>
        <v>3.97</v>
      </c>
      <c r="N149" s="5" t="str">
        <f>IFERROR(__xludf.DUMMYFUNCTION("""COMPUTED_VALUE"""),"Kabupaten Magelang, Jawa Tengah")</f>
        <v>Kabupaten Magelang, Jawa Tengah</v>
      </c>
      <c r="O149" s="5" t="str">
        <f>IFERROR(__xludf.DUMMYFUNCTION("""COMPUTED_VALUE"""),"Tidak")</f>
        <v>Tidak</v>
      </c>
      <c r="P149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149" s="5"/>
      <c r="R149" s="11" t="str">
        <f>IFERROR(__xludf.DUMMYFUNCTION("""COMPUTED_VALUE"""),"https://drive.google.com/file/d/1Cp2XvZpha_BsmVKXrwzzbt50zrXWFIgd/view?usp=sharing")</f>
        <v>https://drive.google.com/file/d/1Cp2XvZpha_BsmVKXrwzzbt50zrXWFIgd/view?usp=sharing</v>
      </c>
      <c r="S149" s="11" t="str">
        <f>IFERROR(__xludf.DUMMYFUNCTION("""COMPUTED_VALUE"""),"https://drive.google.com/drive/folders/1ow4-6NaDSh-0U4S7plIc-icO8HYC61WV?usp=sharing")</f>
        <v>https://drive.google.com/drive/folders/1ow4-6NaDSh-0U4S7plIc-icO8HYC61WV?usp=sharing</v>
      </c>
      <c r="T149" s="5" t="str">
        <f>IFERROR(__xludf.DUMMYFUNCTION("""COMPUTED_VALUE"""),"Alumni PPG Calon Guru / Prajabatan FKIP UNS")</f>
        <v>Alumni PPG Calon Guru / Prajabatan FKIP UNS</v>
      </c>
      <c r="U149" s="5" t="str">
        <f>IFERROR(__xludf.DUMMYFUNCTION("""COMPUTED_VALUE"""),"X9022082692")</f>
        <v>X9022082692</v>
      </c>
      <c r="V149" s="5" t="str">
        <f>IFERROR(__xludf.DUMMYFUNCTION("""COMPUTED_VALUE"""),"4001416025")</f>
        <v>4001416025</v>
      </c>
      <c r="W149" s="5" t="str">
        <f>IFERROR(__xludf.DUMMYFUNCTION("""COMPUTED_VALUE"""),"PENDIDIKAN IPA")</f>
        <v>PENDIDIKAN IPA</v>
      </c>
      <c r="X149" s="5" t="str">
        <f>IFERROR(__xludf.DUMMYFUNCTION("""COMPUTED_VALUE"""),"UNIVERSITAS SEBELAS MARET")</f>
        <v>UNIVERSITAS SEBELAS MARET</v>
      </c>
      <c r="Y149" s="5" t="str">
        <f>IFERROR(__xludf.DUMMYFUNCTION("""COMPUTED_VALUE"""),"X9022082692")</f>
        <v>X9022082692</v>
      </c>
      <c r="Z149" s="11" t="str">
        <f>IFERROR(__xludf.DUMMYFUNCTION("""COMPUTED_VALUE"""),"https://drive.google.com/open?id=1_eKchie8AK4JPg7bK13FqM0WGnXoz7Cd")</f>
        <v>https://drive.google.com/open?id=1_eKchie8AK4JPg7bK13FqM0WGnXoz7Cd</v>
      </c>
      <c r="AA149" s="42" t="s">
        <v>44</v>
      </c>
      <c r="AB149" s="5"/>
    </row>
    <row r="150">
      <c r="A150" s="4">
        <f>IFERROR(__xludf.DUMMYFUNCTION("""COMPUTED_VALUE"""),46264.617778541666)</f>
        <v>46264.61778</v>
      </c>
      <c r="B150" s="5" t="str">
        <f>IFERROR(__xludf.DUMMYFUNCTION("""COMPUTED_VALUE"""),"tahirfitridwiningtiasri80@gmail.com")</f>
        <v>tahirfitridwiningtiasri80@gmail.com</v>
      </c>
      <c r="C150" s="5" t="str">
        <f>IFERROR(__xludf.DUMMYFUNCTION("""COMPUTED_VALUE"""),"Fitri Dwi Ningtias, S.Pd., Gr.")</f>
        <v>Fitri Dwi Ningtias, S.Pd., Gr.</v>
      </c>
      <c r="D150" s="5">
        <f>IFERROR(__xludf.DUMMYFUNCTION("""COMPUTED_VALUE"""),7.000168767E9)</f>
        <v>7000168767</v>
      </c>
      <c r="E150" s="5" t="str">
        <f>IFERROR(__xludf.DUMMYFUNCTION("""COMPUTED_VALUE"""),"085944290514")</f>
        <v>085944290514</v>
      </c>
      <c r="F150" s="7">
        <f>IFERROR(__xludf.DUMMYFUNCTION("""COMPUTED_VALUE"""),36448.0)</f>
        <v>36448</v>
      </c>
      <c r="G150" s="5" t="str">
        <f>IFERROR(__xludf.DUMMYFUNCTION("""COMPUTED_VALUE"""),"Pendidikan Sosiologi ")</f>
        <v>Pendidikan Sosiologi </v>
      </c>
      <c r="H150" s="5" t="str">
        <f>IFERROR(__xludf.DUMMYFUNCTION("""COMPUTED_VALUE"""),"Universitas Muhammadiyah Makassar")</f>
        <v>Universitas Muhammadiyah Makassar</v>
      </c>
      <c r="I150" s="5" t="str">
        <f>IFERROR(__xludf.DUMMYFUNCTION("""COMPUTED_VALUE"""),"Lainnya")</f>
        <v>Lainnya</v>
      </c>
      <c r="J150" s="5" t="str">
        <f>IFERROR(__xludf.DUMMYFUNCTION("""COMPUTED_VALUE"""),"PPG Prajabatan Gelombang 1 Tahun 2023")</f>
        <v>PPG Prajabatan Gelombang 1 Tahun 2023</v>
      </c>
      <c r="K150" s="5">
        <f>IFERROR(__xludf.DUMMYFUNCTION("""COMPUTED_VALUE"""),2024.0)</f>
        <v>2024</v>
      </c>
      <c r="L150" s="8" t="str">
        <f>IFERROR(__xludf.DUMMYFUNCTION("""COMPUTED_VALUE"""),"3.70")</f>
        <v>3.70</v>
      </c>
      <c r="M150" s="5" t="str">
        <f>IFERROR(__xludf.DUMMYFUNCTION("""COMPUTED_VALUE"""),"3.70")</f>
        <v>3.70</v>
      </c>
      <c r="N150" s="5" t="str">
        <f>IFERROR(__xludf.DUMMYFUNCTION("""COMPUTED_VALUE"""),"Desa Toli-Toli, Kabupaten Bombana, provinsi Sulawesi Tenggara ")</f>
        <v>Desa Toli-Toli, Kabupaten Bombana, provinsi Sulawesi Tenggara </v>
      </c>
      <c r="O150" s="5" t="str">
        <f>IFERROR(__xludf.DUMMYFUNCTION("""COMPUTED_VALUE"""),"Tidak")</f>
        <v>Tidak</v>
      </c>
      <c r="P150" s="5" t="str">
        <f>IFERROR(__xludf.DUMMYFUNCTION("""COMPUTED_VALUE"""),"Kabupaten Buton Tengah - Tenaga pendampingan pembelajaran mata pelajaran Ekonomi")</f>
        <v>Kabupaten Buton Tengah - Tenaga pendampingan pembelajaran mata pelajaran Ekonomi</v>
      </c>
      <c r="Q150" s="5"/>
      <c r="R150" s="5" t="str">
        <f>IFERROR(__xludf.DUMMYFUNCTION("""COMPUTED_VALUE"""),"-")</f>
        <v>-</v>
      </c>
      <c r="S150" s="11" t="str">
        <f>IFERROR(__xludf.DUMMYFUNCTION("""COMPUTED_VALUE"""),"https://drive.google.com/file/d/1-TaIQ-qTH3qR6Y29OSSEaY-clgJR9eLz/view?usp=drivesdk")</f>
        <v>https://drive.google.com/file/d/1-TaIQ-qTH3qR6Y29OSSEaY-clgJR9eLz/view?usp=drivesdk</v>
      </c>
      <c r="T150" s="5" t="str">
        <f>IFERROR(__xludf.DUMMYFUNCTION("""COMPUTED_VALUE"""),"Lainnya")</f>
        <v>Lainnya</v>
      </c>
      <c r="U150" s="5"/>
      <c r="V150" s="5"/>
      <c r="W150" s="5"/>
      <c r="X150" s="5"/>
      <c r="Y150" s="5"/>
      <c r="Z150" s="11" t="str">
        <f>IFERROR(__xludf.DUMMYFUNCTION("""COMPUTED_VALUE"""),"https://drive.google.com/open?id=19eR_aYZGb-0a2r-q_mX5F2e_byiiyeRc")</f>
        <v>https://drive.google.com/open?id=19eR_aYZGb-0a2r-q_mX5F2e_byiiyeRc</v>
      </c>
      <c r="AA150" s="42" t="s">
        <v>54</v>
      </c>
      <c r="AB150" s="42" t="s">
        <v>2439</v>
      </c>
    </row>
    <row r="151">
      <c r="A151" s="4">
        <f>IFERROR(__xludf.DUMMYFUNCTION("""COMPUTED_VALUE"""),46264.61919687499)</f>
        <v>46264.6192</v>
      </c>
      <c r="B151" s="5" t="str">
        <f>IFERROR(__xludf.DUMMYFUNCTION("""COMPUTED_VALUE"""),"aulia87571@gmail.com")</f>
        <v>aulia87571@gmail.com</v>
      </c>
      <c r="C151" s="5" t="str">
        <f>IFERROR(__xludf.DUMMYFUNCTION("""COMPUTED_VALUE"""),"Aulia Isnaini Nurul Fadilah, S.Pd., Gr.")</f>
        <v>Aulia Isnaini Nurul Fadilah, S.Pd., Gr.</v>
      </c>
      <c r="D151" s="5"/>
      <c r="E151" s="5" t="str">
        <f>IFERROR(__xludf.DUMMYFUNCTION("""COMPUTED_VALUE"""),"0882008175204")</f>
        <v>0882008175204</v>
      </c>
      <c r="F151" s="7">
        <f>IFERROR(__xludf.DUMMYFUNCTION("""COMPUTED_VALUE"""),36872.0)</f>
        <v>36872</v>
      </c>
      <c r="G151" s="5" t="str">
        <f>IFERROR(__xludf.DUMMYFUNCTION("""COMPUTED_VALUE"""),"Tadris IPA")</f>
        <v>Tadris IPA</v>
      </c>
      <c r="H151" s="5" t="str">
        <f>IFERROR(__xludf.DUMMYFUNCTION("""COMPUTED_VALUE"""),"UIN Salatiga")</f>
        <v>UIN Salatiga</v>
      </c>
      <c r="I151" s="5" t="str">
        <f>IFERROR(__xludf.DUMMYFUNCTION("""COMPUTED_VALUE"""),"Ilmu Pengetahuan Alam (IPA)")</f>
        <v>Ilmu Pengetahuan Alam (IPA)</v>
      </c>
      <c r="J151" s="5" t="str">
        <f>IFERROR(__xludf.DUMMYFUNCTION("""COMPUTED_VALUE"""),"PPG Prajabatan Gelombang 1 Tahun 2023")</f>
        <v>PPG Prajabatan Gelombang 1 Tahun 2023</v>
      </c>
      <c r="K151" s="5">
        <f>IFERROR(__xludf.DUMMYFUNCTION("""COMPUTED_VALUE"""),2024.0)</f>
        <v>2024</v>
      </c>
      <c r="L151" s="8" t="str">
        <f>IFERROR(__xludf.DUMMYFUNCTION("""COMPUTED_VALUE"""),"3.77")</f>
        <v>3.77</v>
      </c>
      <c r="M151" s="5" t="str">
        <f>IFERROR(__xludf.DUMMYFUNCTION("""COMPUTED_VALUE"""),"4.00")</f>
        <v>4.00</v>
      </c>
      <c r="N151" s="5" t="str">
        <f>IFERROR(__xludf.DUMMYFUNCTION("""COMPUTED_VALUE"""),"Grobogan, Jawa Tengah")</f>
        <v>Grobogan, Jawa Tengah</v>
      </c>
      <c r="O151" s="5" t="str">
        <f>IFERROR(__xludf.DUMMYFUNCTION("""COMPUTED_VALUE"""),"Tidak")</f>
        <v>Tidak</v>
      </c>
      <c r="P151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151" s="5"/>
      <c r="R151" s="11" t="str">
        <f>IFERROR(__xludf.DUMMYFUNCTION("""COMPUTED_VALUE"""),"https://drive.google.com/drive/folders/1mPwEHOmEtm1mnwgvhXtqIN7Ec_tO0qIR")</f>
        <v>https://drive.google.com/drive/folders/1mPwEHOmEtm1mnwgvhXtqIN7Ec_tO0qIR</v>
      </c>
      <c r="S151" s="11" t="str">
        <f>IFERROR(__xludf.DUMMYFUNCTION("""COMPUTED_VALUE"""),"https://drive.google.com/file/d/1AfQy3sXG0vwWQZi-bW91KmA1x5v2byR0/view?usp=drivesdk")</f>
        <v>https://drive.google.com/file/d/1AfQy3sXG0vwWQZi-bW91KmA1x5v2byR0/view?usp=drivesdk</v>
      </c>
      <c r="T151" s="5" t="str">
        <f>IFERROR(__xludf.DUMMYFUNCTION("""COMPUTED_VALUE"""),"Lainnya")</f>
        <v>Lainnya</v>
      </c>
      <c r="U151" s="5"/>
      <c r="V151" s="5"/>
      <c r="W151" s="5"/>
      <c r="X151" s="5"/>
      <c r="Y151" s="5"/>
      <c r="Z151" s="11" t="str">
        <f>IFERROR(__xludf.DUMMYFUNCTION("""COMPUTED_VALUE"""),"https://drive.google.com/open?id=1li1CUEKu0XCU_tmEhaP6CafX3qmhIcTC")</f>
        <v>https://drive.google.com/open?id=1li1CUEKu0XCU_tmEhaP6CafX3qmhIcTC</v>
      </c>
      <c r="AA151" s="42" t="s">
        <v>44</v>
      </c>
      <c r="AB151" s="5"/>
    </row>
    <row r="152">
      <c r="A152" s="4">
        <f>IFERROR(__xludf.DUMMYFUNCTION("""COMPUTED_VALUE"""),46264.62164611111)</f>
        <v>46264.62165</v>
      </c>
      <c r="B152" s="5" t="str">
        <f>IFERROR(__xludf.DUMMYFUNCTION("""COMPUTED_VALUE"""),"remonpatty79@gmail.com")</f>
        <v>remonpatty79@gmail.com</v>
      </c>
      <c r="C152" s="5" t="str">
        <f>IFERROR(__xludf.DUMMYFUNCTION("""COMPUTED_VALUE"""),"Remon Patty ,S.Pd.Gr")</f>
        <v>Remon Patty ,S.Pd.Gr</v>
      </c>
      <c r="D152" s="5"/>
      <c r="E152" s="5" t="str">
        <f>IFERROR(__xludf.DUMMYFUNCTION("""COMPUTED_VALUE"""),"081247023361")</f>
        <v>081247023361</v>
      </c>
      <c r="F152" s="7">
        <f>IFERROR(__xludf.DUMMYFUNCTION("""COMPUTED_VALUE"""),28875.0)</f>
        <v>28875</v>
      </c>
      <c r="G152" s="5" t="str">
        <f>IFERROR(__xludf.DUMMYFUNCTION("""COMPUTED_VALUE"""),"GEOGRAFI")</f>
        <v>GEOGRAFI</v>
      </c>
      <c r="H152" s="5" t="str">
        <f>IFERROR(__xludf.DUMMYFUNCTION("""COMPUTED_VALUE"""),"Universitas Pattimura")</f>
        <v>Universitas Pattimura</v>
      </c>
      <c r="I152" s="5" t="str">
        <f>IFERROR(__xludf.DUMMYFUNCTION("""COMPUTED_VALUE"""),"Geografi")</f>
        <v>Geografi</v>
      </c>
      <c r="J152" s="5" t="str">
        <f>IFERROR(__xludf.DUMMYFUNCTION("""COMPUTED_VALUE"""),"Lainnya")</f>
        <v>Lainnya</v>
      </c>
      <c r="K152" s="5">
        <f>IFERROR(__xludf.DUMMYFUNCTION("""COMPUTED_VALUE"""),2024.0)</f>
        <v>2024</v>
      </c>
      <c r="L152" s="8" t="str">
        <f>IFERROR(__xludf.DUMMYFUNCTION("""COMPUTED_VALUE"""),"2,95")</f>
        <v>2,95</v>
      </c>
      <c r="M152" s="5" t="str">
        <f>IFERROR(__xludf.DUMMYFUNCTION("""COMPUTED_VALUE"""),"3,15")</f>
        <v>3,15</v>
      </c>
      <c r="N152" s="5" t="str">
        <f>IFERROR(__xludf.DUMMYFUNCTION("""COMPUTED_VALUE"""),"Kota Saparua, Maluku Tengah, Maluku")</f>
        <v>Kota Saparua, Maluku Tengah, Maluku</v>
      </c>
      <c r="O152" s="5" t="str">
        <f>IFERROR(__xludf.DUMMYFUNCTION("""COMPUTED_VALUE"""),"Ya")</f>
        <v>Ya</v>
      </c>
      <c r="P152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152" s="5"/>
      <c r="R152" s="11" t="str">
        <f>IFERROR(__xludf.DUMMYFUNCTION("""COMPUTED_VALUE"""),"https://drive.google.com/drive/project/1ypNhOfZ1ErOar424uG5L-X1688R0hlne?usp=sharing")</f>
        <v>https://drive.google.com/drive/project/1ypNhOfZ1ErOar424uG5L-X1688R0hlne?usp=sharing</v>
      </c>
      <c r="S152" s="11" t="str">
        <f>IFERROR(__xludf.DUMMYFUNCTION("""COMPUTED_VALUE"""),"https://drive.google.com/file/d/1PsEE8P50ldpBgaiCWhSJgB8M5EUIE9P9/view?usp=sharing")</f>
        <v>https://drive.google.com/file/d/1PsEE8P50ldpBgaiCWhSJgB8M5EUIE9P9/view?usp=sharing</v>
      </c>
      <c r="T152" s="5" t="str">
        <f>IFERROR(__xludf.DUMMYFUNCTION("""COMPUTED_VALUE"""),"Lainnya")</f>
        <v>Lainnya</v>
      </c>
      <c r="U152" s="5"/>
      <c r="V152" s="5"/>
      <c r="W152" s="5"/>
      <c r="X152" s="5"/>
      <c r="Y152" s="5"/>
      <c r="Z152" s="11" t="str">
        <f>IFERROR(__xludf.DUMMYFUNCTION("""COMPUTED_VALUE"""),"https://drive.google.com/open?id=13efrdOnk2YAnhyQB6NFga0E7riHni7kP")</f>
        <v>https://drive.google.com/open?id=13efrdOnk2YAnhyQB6NFga0E7riHni7kP</v>
      </c>
      <c r="AA152" s="42" t="s">
        <v>54</v>
      </c>
      <c r="AB152" s="42" t="s">
        <v>2434</v>
      </c>
    </row>
    <row r="153">
      <c r="A153" s="4">
        <f>IFERROR(__xludf.DUMMYFUNCTION("""COMPUTED_VALUE"""),46264.62988555556)</f>
        <v>46264.62989</v>
      </c>
      <c r="B153" s="5" t="str">
        <f>IFERROR(__xludf.DUMMYFUNCTION("""COMPUTED_VALUE"""),"mfaisalrizqypratama915@gmail.com")</f>
        <v>mfaisalrizqypratama915@gmail.com</v>
      </c>
      <c r="C153" s="5" t="str">
        <f>IFERROR(__xludf.DUMMYFUNCTION("""COMPUTED_VALUE"""),"M. Faisal Rizqy Pratama, S.Si., Gr.")</f>
        <v>M. Faisal Rizqy Pratama, S.Si., Gr.</v>
      </c>
      <c r="D153" s="5">
        <f>IFERROR(__xludf.DUMMYFUNCTION("""COMPUTED_VALUE"""),7.000148395E9)</f>
        <v>7000148395</v>
      </c>
      <c r="E153" s="5" t="str">
        <f>IFERROR(__xludf.DUMMYFUNCTION("""COMPUTED_VALUE"""),"085711291583")</f>
        <v>085711291583</v>
      </c>
      <c r="F153" s="7">
        <f>IFERROR(__xludf.DUMMYFUNCTION("""COMPUTED_VALUE"""),36739.0)</f>
        <v>36739</v>
      </c>
      <c r="G153" s="5" t="str">
        <f>IFERROR(__xludf.DUMMYFUNCTION("""COMPUTED_VALUE"""),"Fisika")</f>
        <v>Fisika</v>
      </c>
      <c r="H153" s="5" t="str">
        <f>IFERROR(__xludf.DUMMYFUNCTION("""COMPUTED_VALUE"""),"Universitas Jember")</f>
        <v>Universitas Jember</v>
      </c>
      <c r="I153" s="5" t="str">
        <f>IFERROR(__xludf.DUMMYFUNCTION("""COMPUTED_VALUE"""),"Ilmu Pengetahuan Alam (IPA)")</f>
        <v>Ilmu Pengetahuan Alam (IPA)</v>
      </c>
      <c r="J153" s="5" t="str">
        <f>IFERROR(__xludf.DUMMYFUNCTION("""COMPUTED_VALUE"""),"PPG Prajabatan Gelombang 1 Tahun 2023")</f>
        <v>PPG Prajabatan Gelombang 1 Tahun 2023</v>
      </c>
      <c r="K153" s="5">
        <f>IFERROR(__xludf.DUMMYFUNCTION("""COMPUTED_VALUE"""),2024.0)</f>
        <v>2024</v>
      </c>
      <c r="L153" s="8" t="str">
        <f>IFERROR(__xludf.DUMMYFUNCTION("""COMPUTED_VALUE"""),"3.55")</f>
        <v>3.55</v>
      </c>
      <c r="M153" s="5" t="str">
        <f>IFERROR(__xludf.DUMMYFUNCTION("""COMPUTED_VALUE"""),"3.94")</f>
        <v>3.94</v>
      </c>
      <c r="N153" s="5" t="str">
        <f>IFERROR(__xludf.DUMMYFUNCTION("""COMPUTED_VALUE"""),"Kabupaten Banyuwangi, Jawa Timur")</f>
        <v>Kabupaten Banyuwangi, Jawa Timur</v>
      </c>
      <c r="O153" s="5" t="str">
        <f>IFERROR(__xludf.DUMMYFUNCTION("""COMPUTED_VALUE"""),"Tidak")</f>
        <v>Tidak</v>
      </c>
      <c r="P153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153" s="5"/>
      <c r="R153" s="11" t="str">
        <f>IFERROR(__xludf.DUMMYFUNCTION("""COMPUTED_VALUE"""),"https://drive.google.com/drive/folders/1hdzssX16IwtOVDMzPJYkcQjPZRYFPj5T?usp=sharing")</f>
        <v>https://drive.google.com/drive/folders/1hdzssX16IwtOVDMzPJYkcQjPZRYFPj5T?usp=sharing</v>
      </c>
      <c r="S153" s="11" t="str">
        <f>IFERROR(__xludf.DUMMYFUNCTION("""COMPUTED_VALUE"""),"https://drive.google.com/file/d/1HOO4AhlgFuNZ7xAZC4wNngOPjGlzNUe2/view?usp=sharing")</f>
        <v>https://drive.google.com/file/d/1HOO4AhlgFuNZ7xAZC4wNngOPjGlzNUe2/view?usp=sharing</v>
      </c>
      <c r="T153" s="5" t="str">
        <f>IFERROR(__xludf.DUMMYFUNCTION("""COMPUTED_VALUE"""),"Alumni S1 FKIP UNS yang telah lulus PPG Calon Guru/Prajabatan bukan di FKIP UNS")</f>
        <v>Alumni S1 FKIP UNS yang telah lulus PPG Calon Guru/Prajabatan bukan di FKIP UNS</v>
      </c>
      <c r="U153" s="5"/>
      <c r="V153" s="5" t="str">
        <f>IFERROR(__xludf.DUMMYFUNCTION("""COMPUTED_VALUE"""),"181810201033")</f>
        <v>181810201033</v>
      </c>
      <c r="W153" s="5" t="str">
        <f>IFERROR(__xludf.DUMMYFUNCTION("""COMPUTED_VALUE"""),"Fisika")</f>
        <v>Fisika</v>
      </c>
      <c r="X153" s="5" t="str">
        <f>IFERROR(__xludf.DUMMYFUNCTION("""COMPUTED_VALUE"""),"Universitas Negeri Malang")</f>
        <v>Universitas Negeri Malang</v>
      </c>
      <c r="Y153" s="5" t="str">
        <f>IFERROR(__xludf.DUMMYFUNCTION("""COMPUTED_VALUE"""),"233129711676")</f>
        <v>233129711676</v>
      </c>
      <c r="Z153" s="11" t="str">
        <f>IFERROR(__xludf.DUMMYFUNCTION("""COMPUTED_VALUE"""),"https://drive.google.com/open?id=1bQ2oUUyz-zVSwvLfgbV2C4EUHFznG4lN")</f>
        <v>https://drive.google.com/open?id=1bQ2oUUyz-zVSwvLfgbV2C4EUHFznG4lN</v>
      </c>
      <c r="AA153" s="42" t="s">
        <v>44</v>
      </c>
      <c r="AB153" s="5"/>
    </row>
    <row r="154">
      <c r="A154" s="4">
        <f>IFERROR(__xludf.DUMMYFUNCTION("""COMPUTED_VALUE"""),46264.66277918981)</f>
        <v>46264.66278</v>
      </c>
      <c r="B154" s="5" t="str">
        <f>IFERROR(__xludf.DUMMYFUNCTION("""COMPUTED_VALUE"""),"jihannafira98@gmail.com")</f>
        <v>jihannafira98@gmail.com</v>
      </c>
      <c r="C154" s="5" t="str">
        <f>IFERROR(__xludf.DUMMYFUNCTION("""COMPUTED_VALUE"""),"Wisnu Ega Pratama, S.Pd., Gr.")</f>
        <v>Wisnu Ega Pratama, S.Pd., Gr.</v>
      </c>
      <c r="D154" s="5">
        <f>IFERROR(__xludf.DUMMYFUNCTION("""COMPUTED_VALUE"""),2.02300013719E11)</f>
        <v>202300013719</v>
      </c>
      <c r="E154" s="5" t="str">
        <f>IFERROR(__xludf.DUMMYFUNCTION("""COMPUTED_VALUE"""),"085156243417")</f>
        <v>085156243417</v>
      </c>
      <c r="F154" s="7">
        <f>IFERROR(__xludf.DUMMYFUNCTION("""COMPUTED_VALUE"""),35777.0)</f>
        <v>35777</v>
      </c>
      <c r="G154" s="5" t="str">
        <f>IFERROR(__xludf.DUMMYFUNCTION("""COMPUTED_VALUE"""),"Pendidikan Agama Islam")</f>
        <v>Pendidikan Agama Islam</v>
      </c>
      <c r="H154" s="5" t="str">
        <f>IFERROR(__xludf.DUMMYFUNCTION("""COMPUTED_VALUE"""),"Universitas Muhammadiyah Surakarta")</f>
        <v>Universitas Muhammadiyah Surakarta</v>
      </c>
      <c r="I154" s="5" t="str">
        <f>IFERROR(__xludf.DUMMYFUNCTION("""COMPUTED_VALUE"""),"Agama Islam")</f>
        <v>Agama Islam</v>
      </c>
      <c r="J154" s="5" t="str">
        <f>IFERROR(__xludf.DUMMYFUNCTION("""COMPUTED_VALUE"""),"Lainnya")</f>
        <v>Lainnya</v>
      </c>
      <c r="K154" s="5">
        <f>IFERROR(__xludf.DUMMYFUNCTION("""COMPUTED_VALUE"""),2025.0)</f>
        <v>2025</v>
      </c>
      <c r="L154" s="8" t="str">
        <f>IFERROR(__xludf.DUMMYFUNCTION("""COMPUTED_VALUE"""),"3.04")</f>
        <v>3.04</v>
      </c>
      <c r="M154" s="5" t="str">
        <f>IFERROR(__xludf.DUMMYFUNCTION("""COMPUTED_VALUE"""),"129")</f>
        <v>129</v>
      </c>
      <c r="N154" s="5" t="str">
        <f>IFERROR(__xludf.DUMMYFUNCTION("""COMPUTED_VALUE"""),"Kabupaten Jepara, Jawa Tengah")</f>
        <v>Kabupaten Jepara, Jawa Tengah</v>
      </c>
      <c r="O154" s="5" t="str">
        <f>IFERROR(__xludf.DUMMYFUNCTION("""COMPUTED_VALUE"""),"Tidak")</f>
        <v>Tidak</v>
      </c>
      <c r="P154" s="5" t="str">
        <f>IFERROR(__xludf.DUMMYFUNCTION("""COMPUTED_VALUE"""),"Kabupaten Jepara - Tenaga pendampingan pembelajaran mata pelajaran Pendidikan Agama Islam")</f>
        <v>Kabupaten Jepara - Tenaga pendampingan pembelajaran mata pelajaran Pendidikan Agama Islam</v>
      </c>
      <c r="Q154" s="5"/>
      <c r="R154" s="5" t="str">
        <f>IFERROR(__xludf.DUMMYFUNCTION("""COMPUTED_VALUE"""),"-")</f>
        <v>-</v>
      </c>
      <c r="S154" s="11" t="str">
        <f>IFERROR(__xludf.DUMMYFUNCTION("""COMPUTED_VALUE"""),"https://drive.google.com/drive/folders/13TzkmruK-0Q2-WN0ppe31VLzRKgKDuYM")</f>
        <v>https://drive.google.com/drive/folders/13TzkmruK-0Q2-WN0ppe31VLzRKgKDuYM</v>
      </c>
      <c r="T154" s="5" t="str">
        <f>IFERROR(__xludf.DUMMYFUNCTION("""COMPUTED_VALUE"""),"Lainnya")</f>
        <v>Lainnya</v>
      </c>
      <c r="U154" s="5"/>
      <c r="V154" s="5"/>
      <c r="W154" s="5"/>
      <c r="X154" s="5"/>
      <c r="Y154" s="5"/>
      <c r="Z154" s="11" t="str">
        <f>IFERROR(__xludf.DUMMYFUNCTION("""COMPUTED_VALUE"""),"https://drive.google.com/open?id=1FuEIuashz6ALfptPp9CGgDxXt8_yKzSU")</f>
        <v>https://drive.google.com/open?id=1FuEIuashz6ALfptPp9CGgDxXt8_yKzSU</v>
      </c>
      <c r="AA154" s="42" t="s">
        <v>54</v>
      </c>
      <c r="AB154" s="42" t="s">
        <v>2621</v>
      </c>
    </row>
    <row r="155">
      <c r="A155" s="4">
        <f>IFERROR(__xludf.DUMMYFUNCTION("""COMPUTED_VALUE"""),46264.677283923615)</f>
        <v>46264.67728</v>
      </c>
      <c r="B155" s="5" t="str">
        <f>IFERROR(__xludf.DUMMYFUNCTION("""COMPUTED_VALUE"""),"yusrainidaulay705@gmail.com")</f>
        <v>yusrainidaulay705@gmail.com</v>
      </c>
      <c r="C155" s="5" t="str">
        <f>IFERROR(__xludf.DUMMYFUNCTION("""COMPUTED_VALUE"""),"YUSRAINI DAULAY, S. Pd, Gr")</f>
        <v>YUSRAINI DAULAY, S. Pd, Gr</v>
      </c>
      <c r="D155" s="5">
        <f>IFERROR(__xludf.DUMMYFUNCTION("""COMPUTED_VALUE"""),2.02300149989E11)</f>
        <v>202300149989</v>
      </c>
      <c r="E155" s="5" t="str">
        <f>IFERROR(__xludf.DUMMYFUNCTION("""COMPUTED_VALUE"""),"082273144150")</f>
        <v>082273144150</v>
      </c>
      <c r="F155" s="7">
        <f>IFERROR(__xludf.DUMMYFUNCTION("""COMPUTED_VALUE"""),36300.0)</f>
        <v>36300</v>
      </c>
      <c r="G155" s="5" t="str">
        <f>IFERROR(__xludf.DUMMYFUNCTION("""COMPUTED_VALUE"""),"PENDIDIKAN MATEMATIKA")</f>
        <v>PENDIDIKAN MATEMATIKA</v>
      </c>
      <c r="H155" s="5" t="str">
        <f>IFERROR(__xludf.DUMMYFUNCTION("""COMPUTED_VALUE"""),"UIN SUMATERA UTARA")</f>
        <v>UIN SUMATERA UTARA</v>
      </c>
      <c r="I155" s="5" t="str">
        <f>IFERROR(__xludf.DUMMYFUNCTION("""COMPUTED_VALUE"""),"Matematika")</f>
        <v>Matematika</v>
      </c>
      <c r="J155" s="5" t="str">
        <f>IFERROR(__xludf.DUMMYFUNCTION("""COMPUTED_VALUE"""),"Lainnya")</f>
        <v>Lainnya</v>
      </c>
      <c r="K155" s="5">
        <f>IFERROR(__xludf.DUMMYFUNCTION("""COMPUTED_VALUE"""),2025.0)</f>
        <v>2025</v>
      </c>
      <c r="L155" s="8" t="str">
        <f>IFERROR(__xludf.DUMMYFUNCTION("""COMPUTED_VALUE"""),"3.67")</f>
        <v>3.67</v>
      </c>
      <c r="M155" s="5" t="str">
        <f>IFERROR(__xludf.DUMMYFUNCTION("""COMPUTED_VALUE"""),"3.00")</f>
        <v>3.00</v>
      </c>
      <c r="N155" s="5" t="str">
        <f>IFERROR(__xludf.DUMMYFUNCTION("""COMPUTED_VALUE"""),"KABUPATEN MANDAILING NATAL, SUMATERA UTARA")</f>
        <v>KABUPATEN MANDAILING NATAL, SUMATERA UTARA</v>
      </c>
      <c r="O155" s="5" t="str">
        <f>IFERROR(__xludf.DUMMYFUNCTION("""COMPUTED_VALUE"""),"Tidak")</f>
        <v>Tidak</v>
      </c>
      <c r="P155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155" s="5"/>
      <c r="R155" s="11" t="str">
        <f>IFERROR(__xludf.DUMMYFUNCTION("""COMPUTED_VALUE"""),"https://drive.google.com/file/d/1KCjaHp7aBGdze2qoC9en5wf8eGI0n-zF/view?usp=drivesdk")</f>
        <v>https://drive.google.com/file/d/1KCjaHp7aBGdze2qoC9en5wf8eGI0n-zF/view?usp=drivesdk</v>
      </c>
      <c r="S155" s="11" t="str">
        <f>IFERROR(__xludf.DUMMYFUNCTION("""COMPUTED_VALUE"""),"https://drive.google.com/file/d/1NLVMd2lRd_IZi1QxIH1kT4Jf11wOMHje/view?usp=drivesdk")</f>
        <v>https://drive.google.com/file/d/1NLVMd2lRd_IZi1QxIH1kT4Jf11wOMHje/view?usp=drivesdk</v>
      </c>
      <c r="T155" s="5" t="str">
        <f>IFERROR(__xludf.DUMMYFUNCTION("""COMPUTED_VALUE"""),"Lainnya")</f>
        <v>Lainnya</v>
      </c>
      <c r="U155" s="5"/>
      <c r="V155" s="5"/>
      <c r="W155" s="5"/>
      <c r="X155" s="5"/>
      <c r="Y155" s="5"/>
      <c r="Z155" s="11" t="str">
        <f>IFERROR(__xludf.DUMMYFUNCTION("""COMPUTED_VALUE"""),"https://drive.google.com/open?id=1jRcrwMfTcopD0C_6SPZkfaTiQHZhLkNF")</f>
        <v>https://drive.google.com/open?id=1jRcrwMfTcopD0C_6SPZkfaTiQHZhLkNF</v>
      </c>
      <c r="AA155" s="42" t="s">
        <v>54</v>
      </c>
      <c r="AB155" s="42" t="s">
        <v>2439</v>
      </c>
    </row>
    <row r="156">
      <c r="A156" s="4">
        <f>IFERROR(__xludf.DUMMYFUNCTION("""COMPUTED_VALUE"""),46264.77893598379)</f>
        <v>46264.77894</v>
      </c>
      <c r="B156" s="5" t="str">
        <f>IFERROR(__xludf.DUMMYFUNCTION("""COMPUTED_VALUE"""),"ramli.ramli13111994@gmail.com")</f>
        <v>ramli.ramli13111994@gmail.com</v>
      </c>
      <c r="C156" s="5" t="str">
        <f>IFERROR(__xludf.DUMMYFUNCTION("""COMPUTED_VALUE"""),"Ramli")</f>
        <v>Ramli</v>
      </c>
      <c r="D156" s="5">
        <f>IFERROR(__xludf.DUMMYFUNCTION("""COMPUTED_VALUE"""),7.000061039E9)</f>
        <v>7000061039</v>
      </c>
      <c r="E156" s="5" t="str">
        <f>IFERROR(__xludf.DUMMYFUNCTION("""COMPUTED_VALUE"""),"085356190507")</f>
        <v>085356190507</v>
      </c>
      <c r="F156" s="7">
        <f>IFERROR(__xludf.DUMMYFUNCTION("""COMPUTED_VALUE"""),34600.0)</f>
        <v>34600</v>
      </c>
      <c r="G156" s="5" t="str">
        <f>IFERROR(__xludf.DUMMYFUNCTION("""COMPUTED_VALUE"""),"S-1")</f>
        <v>S-1</v>
      </c>
      <c r="H156" s="5" t="str">
        <f>IFERROR(__xludf.DUMMYFUNCTION("""COMPUTED_VALUE"""),"Universitas Islam Negeri Sultan Syarif Kasim Riau")</f>
        <v>Universitas Islam Negeri Sultan Syarif Kasim Riau</v>
      </c>
      <c r="I156" s="5" t="str">
        <f>IFERROR(__xludf.DUMMYFUNCTION("""COMPUTED_VALUE"""),"Lainnya")</f>
        <v>Lainnya</v>
      </c>
      <c r="J156" s="5" t="str">
        <f>IFERROR(__xludf.DUMMYFUNCTION("""COMPUTED_VALUE"""),"PPG Prajabatan Gelombang 1 Tahun 2023")</f>
        <v>PPG Prajabatan Gelombang 1 Tahun 2023</v>
      </c>
      <c r="K156" s="5">
        <f>IFERROR(__xludf.DUMMYFUNCTION("""COMPUTED_VALUE"""),2024.0)</f>
        <v>2024</v>
      </c>
      <c r="L156" s="8" t="str">
        <f>IFERROR(__xludf.DUMMYFUNCTION("""COMPUTED_VALUE"""),"3.34")</f>
        <v>3.34</v>
      </c>
      <c r="M156" s="5" t="str">
        <f>IFERROR(__xludf.DUMMYFUNCTION("""COMPUTED_VALUE"""),"Tidak ada transkrip nilai dari LPTK")</f>
        <v>Tidak ada transkrip nilai dari LPTK</v>
      </c>
      <c r="N156" s="5" t="str">
        <f>IFERROR(__xludf.DUMMYFUNCTION("""COMPUTED_VALUE"""),"Kota Pekanbaru, Riau")</f>
        <v>Kota Pekanbaru, Riau</v>
      </c>
      <c r="O156" s="5" t="str">
        <f>IFERROR(__xludf.DUMMYFUNCTION("""COMPUTED_VALUE"""),"Tidak")</f>
        <v>Tidak</v>
      </c>
      <c r="P156" s="5" t="str">
        <f>IFERROR(__xludf.DUMMYFUNCTION("""COMPUTED_VALUE"""),"Kabupaten Buton Tengah - Tenaga pendampingan pembelajaran mata pelajaran Ekonomi")</f>
        <v>Kabupaten Buton Tengah - Tenaga pendampingan pembelajaran mata pelajaran Ekonomi</v>
      </c>
      <c r="Q156" s="5"/>
      <c r="R156" s="5" t="str">
        <f>IFERROR(__xludf.DUMMYFUNCTION("""COMPUTED_VALUE"""),"-")</f>
        <v>-</v>
      </c>
      <c r="S156" s="11" t="str">
        <f>IFERROR(__xludf.DUMMYFUNCTION("""COMPUTED_VALUE"""),"https://drive.google.com/drive/folders/10h0bICv1sbwM8H39qnDBJjpkWu_Bj5lc?usp=share_link")</f>
        <v>https://drive.google.com/drive/folders/10h0bICv1sbwM8H39qnDBJjpkWu_Bj5lc?usp=share_link</v>
      </c>
      <c r="T156" s="5" t="str">
        <f>IFERROR(__xludf.DUMMYFUNCTION("""COMPUTED_VALUE"""),"Lainnya")</f>
        <v>Lainnya</v>
      </c>
      <c r="U156" s="5"/>
      <c r="V156" s="5"/>
      <c r="W156" s="5"/>
      <c r="X156" s="5"/>
      <c r="Y156" s="5"/>
      <c r="Z156" s="11" t="str">
        <f>IFERROR(__xludf.DUMMYFUNCTION("""COMPUTED_VALUE"""),"https://drive.google.com/open?id=13P6r4zQNdHQhEhzdp5sXcgPjBG4UxDx4")</f>
        <v>https://drive.google.com/open?id=13P6r4zQNdHQhEhzdp5sXcgPjBG4UxDx4</v>
      </c>
      <c r="AA156" s="42" t="s">
        <v>54</v>
      </c>
      <c r="AB156" s="42" t="s">
        <v>2439</v>
      </c>
    </row>
    <row r="157">
      <c r="A157" s="4">
        <f>IFERROR(__xludf.DUMMYFUNCTION("""COMPUTED_VALUE"""),46264.802915763896)</f>
        <v>46264.80292</v>
      </c>
      <c r="B157" s="5" t="str">
        <f>IFERROR(__xludf.DUMMYFUNCTION("""COMPUTED_VALUE"""),"ppg.destydiniardianty82@program.belajar.id")</f>
        <v>ppg.destydiniardianty82@program.belajar.id</v>
      </c>
      <c r="C157" s="5" t="str">
        <f>IFERROR(__xludf.DUMMYFUNCTION("""COMPUTED_VALUE"""),"Desty Dini Ardianty, S.Pd.,Gr")</f>
        <v>Desty Dini Ardianty, S.Pd.,Gr</v>
      </c>
      <c r="D157" s="5">
        <f>IFERROR(__xludf.DUMMYFUNCTION("""COMPUTED_VALUE"""),7.000018499E9)</f>
        <v>7000018499</v>
      </c>
      <c r="E157" s="5" t="str">
        <f>IFERROR(__xludf.DUMMYFUNCTION("""COMPUTED_VALUE"""),"082219031814")</f>
        <v>082219031814</v>
      </c>
      <c r="F157" s="7">
        <f>IFERROR(__xludf.DUMMYFUNCTION("""COMPUTED_VALUE"""),36147.0)</f>
        <v>36147</v>
      </c>
      <c r="G157" s="5" t="str">
        <f>IFERROR(__xludf.DUMMYFUNCTION("""COMPUTED_VALUE"""),"pendidikan biologi")</f>
        <v>pendidikan biologi</v>
      </c>
      <c r="H157" s="5" t="str">
        <f>IFERROR(__xludf.DUMMYFUNCTION("""COMPUTED_VALUE"""),"universitas siliwangi")</f>
        <v>universitas siliwangi</v>
      </c>
      <c r="I157" s="5" t="str">
        <f>IFERROR(__xludf.DUMMYFUNCTION("""COMPUTED_VALUE"""),"Biologi")</f>
        <v>Biologi</v>
      </c>
      <c r="J157" s="5" t="str">
        <f>IFERROR(__xludf.DUMMYFUNCTION("""COMPUTED_VALUE"""),"PPG Prajabatan Gelombang 1 Tahun 2022")</f>
        <v>PPG Prajabatan Gelombang 1 Tahun 2022</v>
      </c>
      <c r="K157" s="5">
        <f>IFERROR(__xludf.DUMMYFUNCTION("""COMPUTED_VALUE"""),2023.0)</f>
        <v>2023</v>
      </c>
      <c r="L157" s="8" t="str">
        <f>IFERROR(__xludf.DUMMYFUNCTION("""COMPUTED_VALUE"""),"3.38")</f>
        <v>3.38</v>
      </c>
      <c r="M157" s="5" t="str">
        <f>IFERROR(__xludf.DUMMYFUNCTION("""COMPUTED_VALUE"""),"3.35")</f>
        <v>3.35</v>
      </c>
      <c r="N157" s="5" t="str">
        <f>IFERROR(__xludf.DUMMYFUNCTION("""COMPUTED_VALUE"""),"Kota tasikmalaya, Jawa Barat")</f>
        <v>Kota tasikmalaya, Jawa Barat</v>
      </c>
      <c r="O157" s="5" t="str">
        <f>IFERROR(__xludf.DUMMYFUNCTION("""COMPUTED_VALUE"""),"Tidak")</f>
        <v>Tidak</v>
      </c>
      <c r="P157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157" s="5"/>
      <c r="R157" s="11" t="str">
        <f>IFERROR(__xludf.DUMMYFUNCTION("""COMPUTED_VALUE"""),"https://drive.google.com/drive/folders/1W6SEKzHFkTmZeAxP_qWGJrfnGW2l_S8w?usp=drive_link")</f>
        <v>https://drive.google.com/drive/folders/1W6SEKzHFkTmZeAxP_qWGJrfnGW2l_S8w?usp=drive_link</v>
      </c>
      <c r="S157" s="11" t="str">
        <f>IFERROR(__xludf.DUMMYFUNCTION("""COMPUTED_VALUE"""),"https://drive.google.com/drive/folders/1h5D1OR-dlUErQydDQd5Q2HbzWDvq1noG?usp=drive_link")</f>
        <v>https://drive.google.com/drive/folders/1h5D1OR-dlUErQydDQd5Q2HbzWDvq1noG?usp=drive_link</v>
      </c>
      <c r="T157" s="5" t="str">
        <f>IFERROR(__xludf.DUMMYFUNCTION("""COMPUTED_VALUE"""),"Lainnya")</f>
        <v>Lainnya</v>
      </c>
      <c r="U157" s="5"/>
      <c r="V157" s="5"/>
      <c r="W157" s="5"/>
      <c r="X157" s="5"/>
      <c r="Y157" s="5"/>
      <c r="Z157" s="11" t="str">
        <f>IFERROR(__xludf.DUMMYFUNCTION("""COMPUTED_VALUE"""),"https://drive.google.com/open?id=1G7JeTDOXhNKnbYw9oBGqiYFj6TZ6Azby")</f>
        <v>https://drive.google.com/open?id=1G7JeTDOXhNKnbYw9oBGqiYFj6TZ6Azby</v>
      </c>
      <c r="AA157" s="42" t="s">
        <v>44</v>
      </c>
      <c r="AB157" s="5"/>
    </row>
    <row r="158">
      <c r="A158" s="4">
        <f>IFERROR(__xludf.DUMMYFUNCTION("""COMPUTED_VALUE"""),46264.82444604167)</f>
        <v>46264.82445</v>
      </c>
      <c r="B158" s="5" t="str">
        <f>IFERROR(__xludf.DUMMYFUNCTION("""COMPUTED_VALUE"""),"ohyossicahya@gmail.com")</f>
        <v>ohyossicahya@gmail.com</v>
      </c>
      <c r="C158" s="5" t="str">
        <f>IFERROR(__xludf.DUMMYFUNCTION("""COMPUTED_VALUE"""),"Yosi Cahyaningtiyas Fitri, S.Pd., Gr., M.Pd")</f>
        <v>Yosi Cahyaningtiyas Fitri, S.Pd., Gr., M.Pd</v>
      </c>
      <c r="D158" s="5">
        <f>IFERROR(__xludf.DUMMYFUNCTION("""COMPUTED_VALUE"""),7.000134922E9)</f>
        <v>7000134922</v>
      </c>
      <c r="E158" s="5" t="str">
        <f>IFERROR(__xludf.DUMMYFUNCTION("""COMPUTED_VALUE"""),"085210494081")</f>
        <v>085210494081</v>
      </c>
      <c r="F158" s="7">
        <f>IFERROR(__xludf.DUMMYFUNCTION("""COMPUTED_VALUE"""),36885.0)</f>
        <v>36885</v>
      </c>
      <c r="G158" s="5" t="str">
        <f>IFERROR(__xludf.DUMMYFUNCTION("""COMPUTED_VALUE"""),"Pendidikan Matematika")</f>
        <v>Pendidikan Matematika</v>
      </c>
      <c r="H158" s="5" t="str">
        <f>IFERROR(__xludf.DUMMYFUNCTION("""COMPUTED_VALUE"""),"Universitas Islam Riau")</f>
        <v>Universitas Islam Riau</v>
      </c>
      <c r="I158" s="5" t="str">
        <f>IFERROR(__xludf.DUMMYFUNCTION("""COMPUTED_VALUE"""),"Matematika")</f>
        <v>Matematika</v>
      </c>
      <c r="J158" s="5" t="str">
        <f>IFERROR(__xludf.DUMMYFUNCTION("""COMPUTED_VALUE"""),"PPG Prajabatan Gelombang 1 Tahun 2023")</f>
        <v>PPG Prajabatan Gelombang 1 Tahun 2023</v>
      </c>
      <c r="K158" s="5">
        <f>IFERROR(__xludf.DUMMYFUNCTION("""COMPUTED_VALUE"""),2024.0)</f>
        <v>2024</v>
      </c>
      <c r="L158" s="8" t="str">
        <f>IFERROR(__xludf.DUMMYFUNCTION("""COMPUTED_VALUE"""),"3.77")</f>
        <v>3.77</v>
      </c>
      <c r="M158" s="5" t="str">
        <f>IFERROR(__xludf.DUMMYFUNCTION("""COMPUTED_VALUE"""),"3.93")</f>
        <v>3.93</v>
      </c>
      <c r="N158" s="5" t="str">
        <f>IFERROR(__xludf.DUMMYFUNCTION("""COMPUTED_VALUE"""),"Kota Bandung, Jawa Barat")</f>
        <v>Kota Bandung, Jawa Barat</v>
      </c>
      <c r="O158" s="5" t="str">
        <f>IFERROR(__xludf.DUMMYFUNCTION("""COMPUTED_VALUE"""),"Tidak")</f>
        <v>Tidak</v>
      </c>
      <c r="P158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158" s="5"/>
      <c r="R158" s="5" t="str">
        <f>IFERROR(__xludf.DUMMYFUNCTION("""COMPUTED_VALUE"""),"Tidak ada")</f>
        <v>Tidak ada</v>
      </c>
      <c r="S158" s="11" t="str">
        <f>IFERROR(__xludf.DUMMYFUNCTION("""COMPUTED_VALUE"""),"https://drive.google.com/drive/folders/1PIdrEpmJ5Ts3AH6xgUsmMf4tQamCydq8?usp=sharing")</f>
        <v>https://drive.google.com/drive/folders/1PIdrEpmJ5Ts3AH6xgUsmMf4tQamCydq8?usp=sharing</v>
      </c>
      <c r="T158" s="5" t="str">
        <f>IFERROR(__xludf.DUMMYFUNCTION("""COMPUTED_VALUE"""),"Lainnya")</f>
        <v>Lainnya</v>
      </c>
      <c r="U158" s="5"/>
      <c r="V158" s="5"/>
      <c r="W158" s="5"/>
      <c r="X158" s="5"/>
      <c r="Y158" s="5"/>
      <c r="Z158" s="11" t="str">
        <f>IFERROR(__xludf.DUMMYFUNCTION("""COMPUTED_VALUE"""),"https://drive.google.com/open?id=12RM0lxmy7p964fkSebYx6A8aM2ovSq5L")</f>
        <v>https://drive.google.com/open?id=12RM0lxmy7p964fkSebYx6A8aM2ovSq5L</v>
      </c>
      <c r="AA158" s="42" t="s">
        <v>54</v>
      </c>
      <c r="AB158" s="42" t="s">
        <v>2439</v>
      </c>
    </row>
    <row r="159">
      <c r="A159" s="4">
        <f>IFERROR(__xludf.DUMMYFUNCTION("""COMPUTED_VALUE"""),46264.85634773149)</f>
        <v>46264.85635</v>
      </c>
      <c r="B159" s="5" t="str">
        <f>IFERROR(__xludf.DUMMYFUNCTION("""COMPUTED_VALUE"""),"rinahardianti2@gmail.com")</f>
        <v>rinahardianti2@gmail.com</v>
      </c>
      <c r="C159" s="5" t="str">
        <f>IFERROR(__xludf.DUMMYFUNCTION("""COMPUTED_VALUE"""),"Rina Hardianti, S.Si., Gr.")</f>
        <v>Rina Hardianti, S.Si., Gr.</v>
      </c>
      <c r="D159" s="5">
        <f>IFERROR(__xludf.DUMMYFUNCTION("""COMPUTED_VALUE"""),7.000025059E9)</f>
        <v>7000025059</v>
      </c>
      <c r="E159" s="5" t="str">
        <f>IFERROR(__xludf.DUMMYFUNCTION("""COMPUTED_VALUE"""),"082293115940")</f>
        <v>082293115940</v>
      </c>
      <c r="F159" s="7">
        <f>IFERROR(__xludf.DUMMYFUNCTION("""COMPUTED_VALUE"""),35996.0)</f>
        <v>35996</v>
      </c>
      <c r="G159" s="5" t="str">
        <f>IFERROR(__xludf.DUMMYFUNCTION("""COMPUTED_VALUE"""),"Kimia")</f>
        <v>Kimia</v>
      </c>
      <c r="H159" s="5" t="str">
        <f>IFERROR(__xludf.DUMMYFUNCTION("""COMPUTED_VALUE"""),"Universitas Tadulako")</f>
        <v>Universitas Tadulako</v>
      </c>
      <c r="I159" s="5" t="str">
        <f>IFERROR(__xludf.DUMMYFUNCTION("""COMPUTED_VALUE"""),"Kimia")</f>
        <v>Kimia</v>
      </c>
      <c r="J159" s="5" t="str">
        <f>IFERROR(__xludf.DUMMYFUNCTION("""COMPUTED_VALUE"""),"PPG Calon Guru Gelombang 2 Tahun 2024")</f>
        <v>PPG Calon Guru Gelombang 2 Tahun 2024</v>
      </c>
      <c r="K159" s="5">
        <f>IFERROR(__xludf.DUMMYFUNCTION("""COMPUTED_VALUE"""),2025.0)</f>
        <v>2025</v>
      </c>
      <c r="L159" s="8" t="str">
        <f>IFERROR(__xludf.DUMMYFUNCTION("""COMPUTED_VALUE"""),"3.77")</f>
        <v>3.77</v>
      </c>
      <c r="M159" s="5" t="str">
        <f>IFERROR(__xludf.DUMMYFUNCTION("""COMPUTED_VALUE"""),"4.00")</f>
        <v>4.00</v>
      </c>
      <c r="N159" s="5" t="str">
        <f>IFERROR(__xludf.DUMMYFUNCTION("""COMPUTED_VALUE"""),"Kabupaten Poso, Sulawesi Tengah")</f>
        <v>Kabupaten Poso, Sulawesi Tengah</v>
      </c>
      <c r="O159" s="5" t="str">
        <f>IFERROR(__xludf.DUMMYFUNCTION("""COMPUTED_VALUE"""),"Tidak")</f>
        <v>Tidak</v>
      </c>
      <c r="P159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159" s="5"/>
      <c r="R159" s="11" t="str">
        <f>IFERROR(__xludf.DUMMYFUNCTION("""COMPUTED_VALUE"""),"https://drive.google.com/drive/folders/157g7GPU2uWmVoir8HYWvwo04DYx70Q40?usp=drive_link")</f>
        <v>https://drive.google.com/drive/folders/157g7GPU2uWmVoir8HYWvwo04DYx70Q40?usp=drive_link</v>
      </c>
      <c r="S159" s="11" t="str">
        <f>IFERROR(__xludf.DUMMYFUNCTION("""COMPUTED_VALUE"""),"https://drive.google.com/file/d/1yC0TberpZjYSJT8tMqZe7xjRzz9PNz6L/view?usp=sharing")</f>
        <v>https://drive.google.com/file/d/1yC0TberpZjYSJT8tMqZe7xjRzz9PNz6L/view?usp=sharing</v>
      </c>
      <c r="T159" s="5" t="str">
        <f>IFERROR(__xludf.DUMMYFUNCTION("""COMPUTED_VALUE"""),"Lainnya")</f>
        <v>Lainnya</v>
      </c>
      <c r="U159" s="5"/>
      <c r="V159" s="5"/>
      <c r="W159" s="5"/>
      <c r="X159" s="5"/>
      <c r="Y159" s="5"/>
      <c r="Z159" s="11" t="str">
        <f>IFERROR(__xludf.DUMMYFUNCTION("""COMPUTED_VALUE"""),"https://drive.google.com/open?id=1aZKVu9Rru1OdgFnWpc8OVCpjt16nxE_b")</f>
        <v>https://drive.google.com/open?id=1aZKVu9Rru1OdgFnWpc8OVCpjt16nxE_b</v>
      </c>
      <c r="AA159" s="42" t="s">
        <v>44</v>
      </c>
      <c r="AB159" s="5"/>
    </row>
    <row r="160">
      <c r="A160" s="4">
        <f>IFERROR(__xludf.DUMMYFUNCTION("""COMPUTED_VALUE"""),46264.92172746528)</f>
        <v>46264.92173</v>
      </c>
      <c r="B160" s="5" t="str">
        <f>IFERROR(__xludf.DUMMYFUNCTION("""COMPUTED_VALUE"""),"agus01065@gmail.com")</f>
        <v>agus01065@gmail.com</v>
      </c>
      <c r="C160" s="5" t="str">
        <f>IFERROR(__xludf.DUMMYFUNCTION("""COMPUTED_VALUE"""),"Agus Susanto, ST, Gr")</f>
        <v>Agus Susanto, ST, Gr</v>
      </c>
      <c r="D160" s="5">
        <f>IFERROR(__xludf.DUMMYFUNCTION("""COMPUTED_VALUE"""),2.01507943477E11)</f>
        <v>201507943477</v>
      </c>
      <c r="E160" s="5" t="str">
        <f>IFERROR(__xludf.DUMMYFUNCTION("""COMPUTED_VALUE"""),"08995241141")</f>
        <v>08995241141</v>
      </c>
      <c r="F160" s="7">
        <f>IFERROR(__xludf.DUMMYFUNCTION("""COMPUTED_VALUE"""),30180.0)</f>
        <v>30180</v>
      </c>
      <c r="G160" s="5" t="str">
        <f>IFERROR(__xludf.DUMMYFUNCTION("""COMPUTED_VALUE"""),"Sarjana Teknik Mesin")</f>
        <v>Sarjana Teknik Mesin</v>
      </c>
      <c r="H160" s="5" t="str">
        <f>IFERROR(__xludf.DUMMYFUNCTION("""COMPUTED_VALUE"""),"UNiversitas Mpu Tantular jakarta")</f>
        <v>UNiversitas Mpu Tantular jakarta</v>
      </c>
      <c r="I160" s="5" t="str">
        <f>IFERROR(__xludf.DUMMYFUNCTION("""COMPUTED_VALUE"""),"Lainnya")</f>
        <v>Lainnya</v>
      </c>
      <c r="J160" s="5" t="str">
        <f>IFERROR(__xludf.DUMMYFUNCTION("""COMPUTED_VALUE"""),"Lainnya")</f>
        <v>Lainnya</v>
      </c>
      <c r="K160" s="5">
        <f>IFERROR(__xludf.DUMMYFUNCTION("""COMPUTED_VALUE"""),2025.0)</f>
        <v>2025</v>
      </c>
      <c r="L160" s="8" t="str">
        <f>IFERROR(__xludf.DUMMYFUNCTION("""COMPUTED_VALUE"""),"2.84")</f>
        <v>2.84</v>
      </c>
      <c r="M160" s="5" t="str">
        <f>IFERROR(__xludf.DUMMYFUNCTION("""COMPUTED_VALUE"""),"3.50")</f>
        <v>3.50</v>
      </c>
      <c r="N160" s="5" t="str">
        <f>IFERROR(__xludf.DUMMYFUNCTION("""COMPUTED_VALUE"""),"KOta Luwu Timur, Sulawesi Selatan")</f>
        <v>KOta Luwu Timur, Sulawesi Selatan</v>
      </c>
      <c r="O160" s="5" t="str">
        <f>IFERROR(__xludf.DUMMYFUNCTION("""COMPUTED_VALUE"""),"Tidak")</f>
        <v>Tidak</v>
      </c>
      <c r="P160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160" s="5"/>
      <c r="R160" s="11" t="str">
        <f>IFERROR(__xludf.DUMMYFUNCTION("""COMPUTED_VALUE"""),"https://drive.google.com/drive/folders/1xHnwtPpiVK8lvJBgar1ydRN9UUdDr1Yq?hl=ID")</f>
        <v>https://drive.google.com/drive/folders/1xHnwtPpiVK8lvJBgar1ydRN9UUdDr1Yq?hl=ID</v>
      </c>
      <c r="S160" s="11" t="str">
        <f>IFERROR(__xludf.DUMMYFUNCTION("""COMPUTED_VALUE"""),"https://drive.google.com/drive/my-drive?hl=ID")</f>
        <v>https://drive.google.com/drive/my-drive?hl=ID</v>
      </c>
      <c r="T160" s="5" t="str">
        <f>IFERROR(__xludf.DUMMYFUNCTION("""COMPUTED_VALUE"""),"Lainnya")</f>
        <v>Lainnya</v>
      </c>
      <c r="U160" s="5"/>
      <c r="V160" s="5"/>
      <c r="W160" s="5"/>
      <c r="X160" s="5"/>
      <c r="Y160" s="5"/>
      <c r="Z160" s="11" t="str">
        <f>IFERROR(__xludf.DUMMYFUNCTION("""COMPUTED_VALUE"""),"https://drive.google.com/open?id=1db97Hf6tsA3nNb8sTNo7QUalo4U5BhQg")</f>
        <v>https://drive.google.com/open?id=1db97Hf6tsA3nNb8sTNo7QUalo4U5BhQg</v>
      </c>
      <c r="AA160" s="42" t="s">
        <v>54</v>
      </c>
      <c r="AB160" s="42" t="s">
        <v>2434</v>
      </c>
    </row>
    <row r="161">
      <c r="A161" s="4">
        <f>IFERROR(__xludf.DUMMYFUNCTION("""COMPUTED_VALUE"""),46264.96208868056)</f>
        <v>46264.96209</v>
      </c>
      <c r="B161" s="5" t="str">
        <f>IFERROR(__xludf.DUMMYFUNCTION("""COMPUTED_VALUE"""),"nungky.rantatriana@gmail.com")</f>
        <v>nungky.rantatriana@gmail.com</v>
      </c>
      <c r="C161" s="5" t="str">
        <f>IFERROR(__xludf.DUMMYFUNCTION("""COMPUTED_VALUE"""),"Nungky Ranta Triana S.Pd.,Gr")</f>
        <v>Nungky Ranta Triana S.Pd.,Gr</v>
      </c>
      <c r="D161" s="5"/>
      <c r="E161" s="5" t="str">
        <f>IFERROR(__xludf.DUMMYFUNCTION("""COMPUTED_VALUE"""),"082257786101")</f>
        <v>082257786101</v>
      </c>
      <c r="F161" s="7">
        <f>IFERROR(__xludf.DUMMYFUNCTION("""COMPUTED_VALUE"""),36132.0)</f>
        <v>36132</v>
      </c>
      <c r="G161" s="5" t="str">
        <f>IFERROR(__xludf.DUMMYFUNCTION("""COMPUTED_VALUE"""),"S1 Pendidikan Biologi")</f>
        <v>S1 Pendidikan Biologi</v>
      </c>
      <c r="H161" s="5" t="str">
        <f>IFERROR(__xludf.DUMMYFUNCTION("""COMPUTED_VALUE"""),"Universitas Pgri Madiun")</f>
        <v>Universitas Pgri Madiun</v>
      </c>
      <c r="I161" s="5" t="str">
        <f>IFERROR(__xludf.DUMMYFUNCTION("""COMPUTED_VALUE"""),"Ilmu Pengetahuan Alam (IPA)")</f>
        <v>Ilmu Pengetahuan Alam (IPA)</v>
      </c>
      <c r="J161" s="5" t="str">
        <f>IFERROR(__xludf.DUMMYFUNCTION("""COMPUTED_VALUE"""),"PPG Prajabatan Gelombang 1 Tahun 2023")</f>
        <v>PPG Prajabatan Gelombang 1 Tahun 2023</v>
      </c>
      <c r="K161" s="5">
        <f>IFERROR(__xludf.DUMMYFUNCTION("""COMPUTED_VALUE"""),2024.0)</f>
        <v>2024</v>
      </c>
      <c r="L161" s="8" t="str">
        <f>IFERROR(__xludf.DUMMYFUNCTION("""COMPUTED_VALUE"""),"3.42")</f>
        <v>3.42</v>
      </c>
      <c r="M161" s="5" t="str">
        <f>IFERROR(__xludf.DUMMYFUNCTION("""COMPUTED_VALUE"""),"4")</f>
        <v>4</v>
      </c>
      <c r="N161" s="5" t="str">
        <f>IFERROR(__xludf.DUMMYFUNCTION("""COMPUTED_VALUE"""),"Kabupaten Nganjuk, Jawa Timur")</f>
        <v>Kabupaten Nganjuk, Jawa Timur</v>
      </c>
      <c r="O161" s="5" t="str">
        <f>IFERROR(__xludf.DUMMYFUNCTION("""COMPUTED_VALUE"""),"Tidak")</f>
        <v>Tidak</v>
      </c>
      <c r="P161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161" s="5"/>
      <c r="R161" s="5" t="str">
        <f>IFERROR(__xludf.DUMMYFUNCTION("""COMPUTED_VALUE"""),"-")</f>
        <v>-</v>
      </c>
      <c r="S161" s="11" t="str">
        <f>IFERROR(__xludf.DUMMYFUNCTION("""COMPUTED_VALUE"""),"https://drive.google.com/file/d/18x7LbrNM7kH5UuTFMQO0X7fNmqaZ7MP4/view?usp=drive_link")</f>
        <v>https://drive.google.com/file/d/18x7LbrNM7kH5UuTFMQO0X7fNmqaZ7MP4/view?usp=drive_link</v>
      </c>
      <c r="T161" s="5" t="str">
        <f>IFERROR(__xludf.DUMMYFUNCTION("""COMPUTED_VALUE"""),"Lainnya")</f>
        <v>Lainnya</v>
      </c>
      <c r="U161" s="5"/>
      <c r="V161" s="5"/>
      <c r="W161" s="5"/>
      <c r="X161" s="5"/>
      <c r="Y161" s="5"/>
      <c r="Z161" s="11" t="str">
        <f>IFERROR(__xludf.DUMMYFUNCTION("""COMPUTED_VALUE"""),"https://drive.google.com/open?id=1N5NFhx2jM62H_yO-Ykp0V4CSgnLC6Dea")</f>
        <v>https://drive.google.com/open?id=1N5NFhx2jM62H_yO-Ykp0V4CSgnLC6Dea</v>
      </c>
      <c r="AA161" s="42" t="s">
        <v>44</v>
      </c>
      <c r="AB161" s="5"/>
    </row>
    <row r="162">
      <c r="A162" s="4">
        <f>IFERROR(__xludf.DUMMYFUNCTION("""COMPUTED_VALUE"""),46265.04534612268)</f>
        <v>46265.04535</v>
      </c>
      <c r="B162" s="5" t="str">
        <f>IFERROR(__xludf.DUMMYFUNCTION("""COMPUTED_VALUE"""),"taufikhidayat.03123@gmail.com")</f>
        <v>taufikhidayat.03123@gmail.com</v>
      </c>
      <c r="C162" s="5" t="str">
        <f>IFERROR(__xludf.DUMMYFUNCTION("""COMPUTED_VALUE"""),"Taufik Hidayat, M.Pd ")</f>
        <v>Taufik Hidayat, M.Pd </v>
      </c>
      <c r="D162" s="5">
        <f>IFERROR(__xludf.DUMMYFUNCTION("""COMPUTED_VALUE"""),2.02400230819E11)</f>
        <v>202400230819</v>
      </c>
      <c r="E162" s="5" t="str">
        <f>IFERROR(__xludf.DUMMYFUNCTION("""COMPUTED_VALUE"""),"081362286358")</f>
        <v>081362286358</v>
      </c>
      <c r="F162" s="7">
        <f>IFERROR(__xludf.DUMMYFUNCTION("""COMPUTED_VALUE"""),36132.0)</f>
        <v>36132</v>
      </c>
      <c r="G162" s="5" t="str">
        <f>IFERROR(__xludf.DUMMYFUNCTION("""COMPUTED_VALUE"""),"S2 Pendidikan Agama Islam ")</f>
        <v>S2 Pendidikan Agama Islam </v>
      </c>
      <c r="H162" s="5" t="str">
        <f>IFERROR(__xludf.DUMMYFUNCTION("""COMPUTED_VALUE"""),"UIN Sunan Kalijaga Yogyakarta")</f>
        <v>UIN Sunan Kalijaga Yogyakarta</v>
      </c>
      <c r="I162" s="5" t="str">
        <f>IFERROR(__xludf.DUMMYFUNCTION("""COMPUTED_VALUE"""),"Bahasa Indonesia")</f>
        <v>Bahasa Indonesia</v>
      </c>
      <c r="J162" s="5" t="str">
        <f>IFERROR(__xludf.DUMMYFUNCTION("""COMPUTED_VALUE"""),"Lainnya")</f>
        <v>Lainnya</v>
      </c>
      <c r="K162" s="5">
        <f>IFERROR(__xludf.DUMMYFUNCTION("""COMPUTED_VALUE"""),2025.0)</f>
        <v>2025</v>
      </c>
      <c r="L162" s="8" t="str">
        <f>IFERROR(__xludf.DUMMYFUNCTION("""COMPUTED_VALUE"""),"3,75")</f>
        <v>3,75</v>
      </c>
      <c r="M162" s="5" t="str">
        <f>IFERROR(__xludf.DUMMYFUNCTION("""COMPUTED_VALUE"""),"3,7")</f>
        <v>3,7</v>
      </c>
      <c r="N162" s="5" t="str">
        <f>IFERROR(__xludf.DUMMYFUNCTION("""COMPUTED_VALUE"""),"Yogyarkarta ")</f>
        <v>Yogyarkarta </v>
      </c>
      <c r="O162" s="5" t="str">
        <f>IFERROR(__xludf.DUMMYFUNCTION("""COMPUTED_VALUE"""),"Tidak")</f>
        <v>Tidak</v>
      </c>
      <c r="P162" s="5" t="str">
        <f>IFERROR(__xludf.DUMMYFUNCTION("""COMPUTED_VALUE"""),"Kabupaten Jepara - Tenaga pendampingan pembelajaran mata pelajaran Pendidikan Agama Islam")</f>
        <v>Kabupaten Jepara - Tenaga pendampingan pembelajaran mata pelajaran Pendidikan Agama Islam</v>
      </c>
      <c r="Q162" s="5"/>
      <c r="R162" s="5" t="str">
        <f>IFERROR(__xludf.DUMMYFUNCTION("""COMPUTED_VALUE"""),"-")</f>
        <v>-</v>
      </c>
      <c r="S162" s="5" t="str">
        <f>IFERROR(__xludf.DUMMYFUNCTION("""COMPUTED_VALUE"""),"-")</f>
        <v>-</v>
      </c>
      <c r="T162" s="5" t="str">
        <f>IFERROR(__xludf.DUMMYFUNCTION("""COMPUTED_VALUE"""),"Lainnya")</f>
        <v>Lainnya</v>
      </c>
      <c r="U162" s="5"/>
      <c r="V162" s="5"/>
      <c r="W162" s="5"/>
      <c r="X162" s="5"/>
      <c r="Y162" s="5"/>
      <c r="Z162" s="11" t="str">
        <f>IFERROR(__xludf.DUMMYFUNCTION("""COMPUTED_VALUE"""),"https://drive.google.com/open?id=1RTN4mAERHAcq58SpAPuIjbfR-L_WYOUA")</f>
        <v>https://drive.google.com/open?id=1RTN4mAERHAcq58SpAPuIjbfR-L_WYOUA</v>
      </c>
      <c r="AA162" s="42" t="s">
        <v>44</v>
      </c>
      <c r="AB162" s="5"/>
    </row>
    <row r="163">
      <c r="A163" s="4">
        <f>IFERROR(__xludf.DUMMYFUNCTION("""COMPUTED_VALUE"""),46265.38720193287)</f>
        <v>46265.3872</v>
      </c>
      <c r="B163" s="5" t="str">
        <f>IFERROR(__xludf.DUMMYFUNCTION("""COMPUTED_VALUE"""),"handikasetyadarma@gmail.com")</f>
        <v>handikasetyadarma@gmail.com</v>
      </c>
      <c r="C163" s="5" t="str">
        <f>IFERROR(__xludf.DUMMYFUNCTION("""COMPUTED_VALUE"""),"Handika Setya Darma, S.Pd., Gr.")</f>
        <v>Handika Setya Darma, S.Pd., Gr.</v>
      </c>
      <c r="D163" s="5">
        <f>IFERROR(__xludf.DUMMYFUNCTION("""COMPUTED_VALUE"""),7.000150481E9)</f>
        <v>7000150481</v>
      </c>
      <c r="E163" s="5" t="str">
        <f>IFERROR(__xludf.DUMMYFUNCTION("""COMPUTED_VALUE"""),"085601013562")</f>
        <v>085601013562</v>
      </c>
      <c r="F163" s="7">
        <f>IFERROR(__xludf.DUMMYFUNCTION("""COMPUTED_VALUE"""),36734.0)</f>
        <v>36734</v>
      </c>
      <c r="G163" s="5" t="str">
        <f>IFERROR(__xludf.DUMMYFUNCTION("""COMPUTED_VALUE"""),"Pendidikan Fisika")</f>
        <v>Pendidikan Fisika</v>
      </c>
      <c r="H163" s="5" t="str">
        <f>IFERROR(__xludf.DUMMYFUNCTION("""COMPUTED_VALUE"""),"Universitas Negeri Yogyakarta")</f>
        <v>Universitas Negeri Yogyakarta</v>
      </c>
      <c r="I163" s="5" t="str">
        <f>IFERROR(__xludf.DUMMYFUNCTION("""COMPUTED_VALUE"""),"Ilmu Pengetahuan Alam (IPA)")</f>
        <v>Ilmu Pengetahuan Alam (IPA)</v>
      </c>
      <c r="J163" s="5" t="str">
        <f>IFERROR(__xludf.DUMMYFUNCTION("""COMPUTED_VALUE"""),"PPG Prajabatan Gelombang 1 Tahun 2023")</f>
        <v>PPG Prajabatan Gelombang 1 Tahun 2023</v>
      </c>
      <c r="K163" s="5">
        <f>IFERROR(__xludf.DUMMYFUNCTION("""COMPUTED_VALUE"""),2024.0)</f>
        <v>2024</v>
      </c>
      <c r="L163" s="8" t="str">
        <f>IFERROR(__xludf.DUMMYFUNCTION("""COMPUTED_VALUE"""),"3.68")</f>
        <v>3.68</v>
      </c>
      <c r="M163" s="5" t="str">
        <f>IFERROR(__xludf.DUMMYFUNCTION("""COMPUTED_VALUE"""),"3.85")</f>
        <v>3.85</v>
      </c>
      <c r="N163" s="5" t="str">
        <f>IFERROR(__xludf.DUMMYFUNCTION("""COMPUTED_VALUE"""),"Boyolali, Jawa Tengah")</f>
        <v>Boyolali, Jawa Tengah</v>
      </c>
      <c r="O163" s="5" t="str">
        <f>IFERROR(__xludf.DUMMYFUNCTION("""COMPUTED_VALUE"""),"Tidak")</f>
        <v>Tidak</v>
      </c>
      <c r="P163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163" s="5"/>
      <c r="R163" s="11" t="str">
        <f>IFERROR(__xludf.DUMMYFUNCTION("""COMPUTED_VALUE"""),"https://drive.google.com/file/d/1ZxhM7GdDCe-RzJJ4vTn8VM15XtiEYoDy/view?usp=drive_link")</f>
        <v>https://drive.google.com/file/d/1ZxhM7GdDCe-RzJJ4vTn8VM15XtiEYoDy/view?usp=drive_link</v>
      </c>
      <c r="S163" s="11" t="str">
        <f>IFERROR(__xludf.DUMMYFUNCTION("""COMPUTED_VALUE"""),"https://drive.google.com/file/d/1e3QMm77HgNls5npfBunclbid-2paBVp5/view?usp=sharing")</f>
        <v>https://drive.google.com/file/d/1e3QMm77HgNls5npfBunclbid-2paBVp5/view?usp=sharing</v>
      </c>
      <c r="T163" s="5" t="str">
        <f>IFERROR(__xludf.DUMMYFUNCTION("""COMPUTED_VALUE"""),"Alumni PPG Calon Guru / Prajabatan FKIP UNS")</f>
        <v>Alumni PPG Calon Guru / Prajabatan FKIP UNS</v>
      </c>
      <c r="U163" s="5" t="str">
        <f>IFERROR(__xludf.DUMMYFUNCTION("""COMPUTED_VALUE"""),"X902308388")</f>
        <v>X902308388</v>
      </c>
      <c r="V163" s="5" t="str">
        <f>IFERROR(__xludf.DUMMYFUNCTION("""COMPUTED_VALUE"""),"-")</f>
        <v>-</v>
      </c>
      <c r="W163" s="5" t="str">
        <f>IFERROR(__xludf.DUMMYFUNCTION("""COMPUTED_VALUE"""),"-")</f>
        <v>-</v>
      </c>
      <c r="X163" s="5" t="str">
        <f>IFERROR(__xludf.DUMMYFUNCTION("""COMPUTED_VALUE"""),"-")</f>
        <v>-</v>
      </c>
      <c r="Y163" s="5" t="str">
        <f>IFERROR(__xludf.DUMMYFUNCTION("""COMPUTED_VALUE"""),"-")</f>
        <v>-</v>
      </c>
      <c r="Z163" s="11" t="str">
        <f>IFERROR(__xludf.DUMMYFUNCTION("""COMPUTED_VALUE"""),"https://drive.google.com/open?id=10wpPpWUpfiijLrJDVPy5z3WmnT4r58x1")</f>
        <v>https://drive.google.com/open?id=10wpPpWUpfiijLrJDVPy5z3WmnT4r58x1</v>
      </c>
      <c r="AA163" s="42" t="s">
        <v>44</v>
      </c>
      <c r="AB163" s="5"/>
    </row>
    <row r="164">
      <c r="A164" s="4">
        <f>IFERROR(__xludf.DUMMYFUNCTION("""COMPUTED_VALUE"""),46265.41450895833)</f>
        <v>46265.41451</v>
      </c>
      <c r="B164" s="5" t="str">
        <f>IFERROR(__xludf.DUMMYFUNCTION("""COMPUTED_VALUE"""),"cinta29rahmalia@gmail.com")</f>
        <v>cinta29rahmalia@gmail.com</v>
      </c>
      <c r="C164" s="5" t="str">
        <f>IFERROR(__xludf.DUMMYFUNCTION("""COMPUTED_VALUE"""),"Cinta Rahmalia Ulfa, S.Pd., M.Pd. ")</f>
        <v>Cinta Rahmalia Ulfa, S.Pd., M.Pd. </v>
      </c>
      <c r="D164" s="5">
        <f>IFERROR(__xludf.DUMMYFUNCTION("""COMPUTED_VALUE"""),2.02200146506E11)</f>
        <v>202200146506</v>
      </c>
      <c r="E164" s="5" t="str">
        <f>IFERROR(__xludf.DUMMYFUNCTION("""COMPUTED_VALUE"""),"08990872171")</f>
        <v>08990872171</v>
      </c>
      <c r="F164" s="7">
        <f>IFERROR(__xludf.DUMMYFUNCTION("""COMPUTED_VALUE"""),35093.0)</f>
        <v>35093</v>
      </c>
      <c r="G164" s="5" t="str">
        <f>IFERROR(__xludf.DUMMYFUNCTION("""COMPUTED_VALUE"""),"S1- Pendidikan Fisika ")</f>
        <v>S1- Pendidikan Fisika </v>
      </c>
      <c r="H164" s="5" t="str">
        <f>IFERROR(__xludf.DUMMYFUNCTION("""COMPUTED_VALUE"""),"Universitas Negeri Semarang")</f>
        <v>Universitas Negeri Semarang</v>
      </c>
      <c r="I164" s="5" t="str">
        <f>IFERROR(__xludf.DUMMYFUNCTION("""COMPUTED_VALUE"""),"Ilmu Pengetahuan Alam (IPA)")</f>
        <v>Ilmu Pengetahuan Alam (IPA)</v>
      </c>
      <c r="J164" s="5" t="str">
        <f>IFERROR(__xludf.DUMMYFUNCTION("""COMPUTED_VALUE"""),"Lainnya")</f>
        <v>Lainnya</v>
      </c>
      <c r="K164" s="5">
        <f>IFERROR(__xludf.DUMMYFUNCTION("""COMPUTED_VALUE"""),2025.0)</f>
        <v>2025</v>
      </c>
      <c r="L164" s="8" t="str">
        <f>IFERROR(__xludf.DUMMYFUNCTION("""COMPUTED_VALUE"""),"3,28")</f>
        <v>3,28</v>
      </c>
      <c r="M164" s="5" t="str">
        <f>IFERROR(__xludf.DUMMYFUNCTION("""COMPUTED_VALUE"""),"0")</f>
        <v>0</v>
      </c>
      <c r="N164" s="5" t="str">
        <f>IFERROR(__xludf.DUMMYFUNCTION("""COMPUTED_VALUE"""),"Kota Semarang, Jawa Tengah ")</f>
        <v>Kota Semarang, Jawa Tengah </v>
      </c>
      <c r="O164" s="5" t="str">
        <f>IFERROR(__xludf.DUMMYFUNCTION("""COMPUTED_VALUE"""),"Tidak")</f>
        <v>Tidak</v>
      </c>
      <c r="P164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164" s="5"/>
      <c r="R164" s="5" t="str">
        <f>IFERROR(__xludf.DUMMYFUNCTION("""COMPUTED_VALUE"""),"tidak ada ")</f>
        <v>tidak ada </v>
      </c>
      <c r="S164" s="11" t="str">
        <f>IFERROR(__xludf.DUMMYFUNCTION("""COMPUTED_VALUE"""),"https://drive.google.com/file/d/1K14cG90SuffnJXjKhSAEWNFBzQd_EaEV/view?usp=drive_link")</f>
        <v>https://drive.google.com/file/d/1K14cG90SuffnJXjKhSAEWNFBzQd_EaEV/view?usp=drive_link</v>
      </c>
      <c r="T164" s="5" t="str">
        <f>IFERROR(__xludf.DUMMYFUNCTION("""COMPUTED_VALUE"""),"Lainnya")</f>
        <v>Lainnya</v>
      </c>
      <c r="U164" s="5"/>
      <c r="V164" s="5"/>
      <c r="W164" s="5"/>
      <c r="X164" s="5"/>
      <c r="Y164" s="5"/>
      <c r="Z164" s="11" t="str">
        <f>IFERROR(__xludf.DUMMYFUNCTION("""COMPUTED_VALUE"""),"https://drive.google.com/open?id=1hR5ji0xooSwVqpUU3y0A1mqqXOUK43An")</f>
        <v>https://drive.google.com/open?id=1hR5ji0xooSwVqpUU3y0A1mqqXOUK43An</v>
      </c>
      <c r="AA164" s="42" t="s">
        <v>44</v>
      </c>
      <c r="AB164" s="5"/>
    </row>
    <row r="165">
      <c r="A165" s="4">
        <f>IFERROR(__xludf.DUMMYFUNCTION("""COMPUTED_VALUE"""),46265.471213125)</f>
        <v>46265.47121</v>
      </c>
      <c r="B165" s="5" t="str">
        <f>IFERROR(__xludf.DUMMYFUNCTION("""COMPUTED_VALUE"""),"kiswari.lusida@gmail.com")</f>
        <v>kiswari.lusida@gmail.com</v>
      </c>
      <c r="C165" s="5" t="str">
        <f>IFERROR(__xludf.DUMMYFUNCTION("""COMPUTED_VALUE"""),"Lusida Kiswari, S.Pd. Gr.")</f>
        <v>Lusida Kiswari, S.Pd. Gr.</v>
      </c>
      <c r="D165" s="5">
        <f>IFERROR(__xludf.DUMMYFUNCTION("""COMPUTED_VALUE"""),7.000163719E9)</f>
        <v>7000163719</v>
      </c>
      <c r="E165" s="5" t="str">
        <f>IFERROR(__xludf.DUMMYFUNCTION("""COMPUTED_VALUE"""),"085701565762")</f>
        <v>085701565762</v>
      </c>
      <c r="F165" s="7">
        <f>IFERROR(__xludf.DUMMYFUNCTION("""COMPUTED_VALUE"""),36239.0)</f>
        <v>36239</v>
      </c>
      <c r="G165" s="5" t="str">
        <f>IFERROR(__xludf.DUMMYFUNCTION("""COMPUTED_VALUE"""),"Pendidikan IPA")</f>
        <v>Pendidikan IPA</v>
      </c>
      <c r="H165" s="5" t="str">
        <f>IFERROR(__xludf.DUMMYFUNCTION("""COMPUTED_VALUE"""),"Universitas Tidar ")</f>
        <v>Universitas Tidar </v>
      </c>
      <c r="I165" s="5" t="str">
        <f>IFERROR(__xludf.DUMMYFUNCTION("""COMPUTED_VALUE"""),"Ilmu Pengetahuan Alam (IPA)")</f>
        <v>Ilmu Pengetahuan Alam (IPA)</v>
      </c>
      <c r="J165" s="5" t="str">
        <f>IFERROR(__xludf.DUMMYFUNCTION("""COMPUTED_VALUE"""),"PPG Prajabatan Gelombang 1 Tahun 2023")</f>
        <v>PPG Prajabatan Gelombang 1 Tahun 2023</v>
      </c>
      <c r="K165" s="5">
        <f>IFERROR(__xludf.DUMMYFUNCTION("""COMPUTED_VALUE"""),2024.0)</f>
        <v>2024</v>
      </c>
      <c r="L165" s="8" t="str">
        <f>IFERROR(__xludf.DUMMYFUNCTION("""COMPUTED_VALUE"""),"3.85")</f>
        <v>3.85</v>
      </c>
      <c r="M165" s="5" t="str">
        <f>IFERROR(__xludf.DUMMYFUNCTION("""COMPUTED_VALUE"""),"3.95")</f>
        <v>3.95</v>
      </c>
      <c r="N165" s="5" t="str">
        <f>IFERROR(__xludf.DUMMYFUNCTION("""COMPUTED_VALUE"""),"Kabupaten Magelang, Jawa Tengah ")</f>
        <v>Kabupaten Magelang, Jawa Tengah </v>
      </c>
      <c r="O165" s="5" t="str">
        <f>IFERROR(__xludf.DUMMYFUNCTION("""COMPUTED_VALUE"""),"Tidak")</f>
        <v>Tidak</v>
      </c>
      <c r="P165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165" s="5"/>
      <c r="R165" s="11" t="str">
        <f>IFERROR(__xludf.DUMMYFUNCTION("""COMPUTED_VALUE"""),"https://drive.google.com/file/d/1ch7lfLBpgDwfd6eUCsp62QmQis-una8H/view?usp=drivesdk")</f>
        <v>https://drive.google.com/file/d/1ch7lfLBpgDwfd6eUCsp62QmQis-una8H/view?usp=drivesdk</v>
      </c>
      <c r="S165" s="11" t="str">
        <f>IFERROR(__xludf.DUMMYFUNCTION("""COMPUTED_VALUE"""),"https://drive.google.com/file/d/1ejoFKKYvBRZady_u6WBtR887yBw_aqnX/view?usp=drivesdk")</f>
        <v>https://drive.google.com/file/d/1ejoFKKYvBRZady_u6WBtR887yBw_aqnX/view?usp=drivesdk</v>
      </c>
      <c r="T165" s="5" t="str">
        <f>IFERROR(__xludf.DUMMYFUNCTION("""COMPUTED_VALUE"""),"Alumni PPG Calon Guru / Prajabatan FKIP UNS")</f>
        <v>Alumni PPG Calon Guru / Prajabatan FKIP UNS</v>
      </c>
      <c r="U165" s="5" t="str">
        <f>IFERROR(__xludf.DUMMYFUNCTION("""COMPUTED_VALUE"""),"X902308518")</f>
        <v>X902308518</v>
      </c>
      <c r="V165" s="5" t="str">
        <f>IFERROR(__xludf.DUMMYFUNCTION("""COMPUTED_VALUE"""),"-")</f>
        <v>-</v>
      </c>
      <c r="W165" s="5" t="str">
        <f>IFERROR(__xludf.DUMMYFUNCTION("""COMPUTED_VALUE"""),"-")</f>
        <v>-</v>
      </c>
      <c r="X165" s="5" t="str">
        <f>IFERROR(__xludf.DUMMYFUNCTION("""COMPUTED_VALUE"""),"-")</f>
        <v>-</v>
      </c>
      <c r="Y165" s="5" t="str">
        <f>IFERROR(__xludf.DUMMYFUNCTION("""COMPUTED_VALUE"""),"-")</f>
        <v>-</v>
      </c>
      <c r="Z165" s="11" t="str">
        <f>IFERROR(__xludf.DUMMYFUNCTION("""COMPUTED_VALUE"""),"https://drive.google.com/open?id=1KqQqtWMwtcAdCTMzKdmYxgBwUEYjNKEm")</f>
        <v>https://drive.google.com/open?id=1KqQqtWMwtcAdCTMzKdmYxgBwUEYjNKEm</v>
      </c>
      <c r="AA165" s="42" t="s">
        <v>44</v>
      </c>
      <c r="AB165" s="5"/>
    </row>
    <row r="166">
      <c r="A166" s="4">
        <f>IFERROR(__xludf.DUMMYFUNCTION("""COMPUTED_VALUE"""),46265.476640891204)</f>
        <v>46265.47664</v>
      </c>
      <c r="B166" s="5" t="str">
        <f>IFERROR(__xludf.DUMMYFUNCTION("""COMPUTED_VALUE"""),"officialatriahanif@gmail.com")</f>
        <v>officialatriahanif@gmail.com</v>
      </c>
      <c r="C166" s="5" t="str">
        <f>IFERROR(__xludf.DUMMYFUNCTION("""COMPUTED_VALUE"""),"Atria Hanif Dwi Rahayu, S.Pd.,Gr.")</f>
        <v>Atria Hanif Dwi Rahayu, S.Pd.,Gr.</v>
      </c>
      <c r="D166" s="5">
        <f>IFERROR(__xludf.DUMMYFUNCTION("""COMPUTED_VALUE"""),7.000012343E9)</f>
        <v>7000012343</v>
      </c>
      <c r="E166" s="5" t="str">
        <f>IFERROR(__xludf.DUMMYFUNCTION("""COMPUTED_VALUE"""),"089687924950")</f>
        <v>089687924950</v>
      </c>
      <c r="F166" s="7">
        <f>IFERROR(__xludf.DUMMYFUNCTION("""COMPUTED_VALUE"""),36144.0)</f>
        <v>36144</v>
      </c>
      <c r="G166" s="5" t="str">
        <f>IFERROR(__xludf.DUMMYFUNCTION("""COMPUTED_VALUE"""),"S-1 Pendidikan Kimia")</f>
        <v>S-1 Pendidikan Kimia</v>
      </c>
      <c r="H166" s="5" t="str">
        <f>IFERROR(__xludf.DUMMYFUNCTION("""COMPUTED_VALUE"""),"UNIVERSITAS ISLAM INDONESIA")</f>
        <v>UNIVERSITAS ISLAM INDONESIA</v>
      </c>
      <c r="I166" s="5" t="str">
        <f>IFERROR(__xludf.DUMMYFUNCTION("""COMPUTED_VALUE"""),"Ilmu Pengetahuan Alam (IPA)")</f>
        <v>Ilmu Pengetahuan Alam (IPA)</v>
      </c>
      <c r="J166" s="5" t="str">
        <f>IFERROR(__xludf.DUMMYFUNCTION("""COMPUTED_VALUE"""),"PPG Prajabatan Gelombang 1 Tahun 2023")</f>
        <v>PPG Prajabatan Gelombang 1 Tahun 2023</v>
      </c>
      <c r="K166" s="5">
        <f>IFERROR(__xludf.DUMMYFUNCTION("""COMPUTED_VALUE"""),2024.0)</f>
        <v>2024</v>
      </c>
      <c r="L166" s="8" t="str">
        <f>IFERROR(__xludf.DUMMYFUNCTION("""COMPUTED_VALUE"""),"3.67")</f>
        <v>3.67</v>
      </c>
      <c r="M166" s="5" t="str">
        <f>IFERROR(__xludf.DUMMYFUNCTION("""COMPUTED_VALUE"""),"3.94")</f>
        <v>3.94</v>
      </c>
      <c r="N166" s="5" t="str">
        <f>IFERROR(__xludf.DUMMYFUNCTION("""COMPUTED_VALUE"""),"Kota Pacitan, Jawa Timur")</f>
        <v>Kota Pacitan, Jawa Timur</v>
      </c>
      <c r="O166" s="5" t="str">
        <f>IFERROR(__xludf.DUMMYFUNCTION("""COMPUTED_VALUE"""),"Tidak")</f>
        <v>Tidak</v>
      </c>
      <c r="P166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166" s="5"/>
      <c r="R166" s="11" t="str">
        <f>IFERROR(__xludf.DUMMYFUNCTION("""COMPUTED_VALUE"""),"https://drive.google.com/drive/folders/1_JjDTlCQ95Z2HSt2cr6Z-dG-f-XTqN5-")</f>
        <v>https://drive.google.com/drive/folders/1_JjDTlCQ95Z2HSt2cr6Z-dG-f-XTqN5-</v>
      </c>
      <c r="S166" s="11" t="str">
        <f>IFERROR(__xludf.DUMMYFUNCTION("""COMPUTED_VALUE"""),"https://drive.google.com/file/d/17NLrI4FRBXVVXFTkiFWHEn8bkZGr1-yx/view?usp=drivesdk")</f>
        <v>https://drive.google.com/file/d/17NLrI4FRBXVVXFTkiFWHEn8bkZGr1-yx/view?usp=drivesdk</v>
      </c>
      <c r="T166" s="5" t="str">
        <f>IFERROR(__xludf.DUMMYFUNCTION("""COMPUTED_VALUE"""),"Alumni PPG Calon Guru / Prajabatan FKIP UNS")</f>
        <v>Alumni PPG Calon Guru / Prajabatan FKIP UNS</v>
      </c>
      <c r="U166" s="5" t="str">
        <f>IFERROR(__xludf.DUMMYFUNCTION("""COMPUTED_VALUE"""),"X902308152")</f>
        <v>X902308152</v>
      </c>
      <c r="V166" s="5" t="str">
        <f>IFERROR(__xludf.DUMMYFUNCTION("""COMPUTED_VALUE"""),"17614043")</f>
        <v>17614043</v>
      </c>
      <c r="W166" s="5" t="str">
        <f>IFERROR(__xludf.DUMMYFUNCTION("""COMPUTED_VALUE"""),"PENDIDIKAN KIMIA")</f>
        <v>PENDIDIKAN KIMIA</v>
      </c>
      <c r="X166" s="5" t="str">
        <f>IFERROR(__xludf.DUMMYFUNCTION("""COMPUTED_VALUE"""),"UNIVERSITAS NEGERI SEBELAS MARET (UNS)")</f>
        <v>UNIVERSITAS NEGERI SEBELAS MARET (UNS)</v>
      </c>
      <c r="Y166" s="5" t="str">
        <f>IFERROR(__xludf.DUMMYFUNCTION("""COMPUTED_VALUE"""),"X902308152")</f>
        <v>X902308152</v>
      </c>
      <c r="Z166" s="11" t="str">
        <f>IFERROR(__xludf.DUMMYFUNCTION("""COMPUTED_VALUE"""),"https://drive.google.com/open?id=1UBd0WIAKYjvMwStxghV0L83GR7Mrz1Jo")</f>
        <v>https://drive.google.com/open?id=1UBd0WIAKYjvMwStxghV0L83GR7Mrz1Jo</v>
      </c>
      <c r="AA166" s="42" t="s">
        <v>44</v>
      </c>
      <c r="AB166" s="5"/>
    </row>
    <row r="167">
      <c r="A167" s="4">
        <f>IFERROR(__xludf.DUMMYFUNCTION("""COMPUTED_VALUE"""),46265.48387097222)</f>
        <v>46265.48387</v>
      </c>
      <c r="B167" s="5" t="str">
        <f>IFERROR(__xludf.DUMMYFUNCTION("""COMPUTED_VALUE"""),"luzyhapsara4@gmail.com")</f>
        <v>luzyhapsara4@gmail.com</v>
      </c>
      <c r="C167" s="5" t="str">
        <f>IFERROR(__xludf.DUMMYFUNCTION("""COMPUTED_VALUE"""),"Luzy hapsara")</f>
        <v>Luzy hapsara</v>
      </c>
      <c r="D167" s="5">
        <f>IFERROR(__xludf.DUMMYFUNCTION("""COMPUTED_VALUE"""),7.000195495E9)</f>
        <v>7000195495</v>
      </c>
      <c r="E167" s="5" t="str">
        <f>IFERROR(__xludf.DUMMYFUNCTION("""COMPUTED_VALUE"""),"085786746890")</f>
        <v>085786746890</v>
      </c>
      <c r="F167" s="7">
        <f>IFERROR(__xludf.DUMMYFUNCTION("""COMPUTED_VALUE"""),34544.0)</f>
        <v>34544</v>
      </c>
      <c r="G167" s="5" t="str">
        <f>IFERROR(__xludf.DUMMYFUNCTION("""COMPUTED_VALUE"""),"S-1 Pendidikan Ekonomi")</f>
        <v>S-1 Pendidikan Ekonomi</v>
      </c>
      <c r="H167" s="5" t="str">
        <f>IFERROR(__xludf.DUMMYFUNCTION("""COMPUTED_VALUE"""),"Universitas Muhammadiyah Purworejo")</f>
        <v>Universitas Muhammadiyah Purworejo</v>
      </c>
      <c r="I167" s="5" t="str">
        <f>IFERROR(__xludf.DUMMYFUNCTION("""COMPUTED_VALUE"""),"Lainnya")</f>
        <v>Lainnya</v>
      </c>
      <c r="J167" s="5" t="str">
        <f>IFERROR(__xludf.DUMMYFUNCTION("""COMPUTED_VALUE"""),"PPG Prajabatan Gelombang 2 Tahun 2023")</f>
        <v>PPG Prajabatan Gelombang 2 Tahun 2023</v>
      </c>
      <c r="K167" s="5">
        <f>IFERROR(__xludf.DUMMYFUNCTION("""COMPUTED_VALUE"""),2024.0)</f>
        <v>2024</v>
      </c>
      <c r="L167" s="8" t="str">
        <f>IFERROR(__xludf.DUMMYFUNCTION("""COMPUTED_VALUE"""),"3.44")</f>
        <v>3.44</v>
      </c>
      <c r="M167" s="5" t="str">
        <f>IFERROR(__xludf.DUMMYFUNCTION("""COMPUTED_VALUE"""),"3.99")</f>
        <v>3.99</v>
      </c>
      <c r="N167" s="5" t="str">
        <f>IFERROR(__xludf.DUMMYFUNCTION("""COMPUTED_VALUE"""),"Kabupaten Bogor")</f>
        <v>Kabupaten Bogor</v>
      </c>
      <c r="O167" s="5" t="str">
        <f>IFERROR(__xludf.DUMMYFUNCTION("""COMPUTED_VALUE"""),"Tidak")</f>
        <v>Tidak</v>
      </c>
      <c r="P167" s="5" t="str">
        <f>IFERROR(__xludf.DUMMYFUNCTION("""COMPUTED_VALUE"""),"Kabupaten Buton Tengah - Tenaga pendampingan pembelajaran mata pelajaran Ekonomi")</f>
        <v>Kabupaten Buton Tengah - Tenaga pendampingan pembelajaran mata pelajaran Ekonomi</v>
      </c>
      <c r="Q167" s="5"/>
      <c r="R167" s="5" t="str">
        <f>IFERROR(__xludf.DUMMYFUNCTION("""COMPUTED_VALUE"""),"-")</f>
        <v>-</v>
      </c>
      <c r="S167" s="11" t="str">
        <f>IFERROR(__xludf.DUMMYFUNCTION("""COMPUTED_VALUE"""),"https://drive.google.com/file/d/1cIgg449V7hr7PwJdcH9hBPLNw7NVBI61/view?usp=drivesdk")</f>
        <v>https://drive.google.com/file/d/1cIgg449V7hr7PwJdcH9hBPLNw7NVBI61/view?usp=drivesdk</v>
      </c>
      <c r="T167" s="5" t="str">
        <f>IFERROR(__xludf.DUMMYFUNCTION("""COMPUTED_VALUE"""),"Lainnya")</f>
        <v>Lainnya</v>
      </c>
      <c r="U167" s="5"/>
      <c r="V167" s="5"/>
      <c r="W167" s="5"/>
      <c r="X167" s="5"/>
      <c r="Y167" s="5"/>
      <c r="Z167" s="11" t="str">
        <f>IFERROR(__xludf.DUMMYFUNCTION("""COMPUTED_VALUE"""),"https://drive.google.com/open?id=1sLL6XZkL0ktgl7fN5JZX9kb8BzpiTTkN")</f>
        <v>https://drive.google.com/open?id=1sLL6XZkL0ktgl7fN5JZX9kb8BzpiTTkN</v>
      </c>
      <c r="AA167" s="42" t="s">
        <v>44</v>
      </c>
      <c r="AB167" s="5"/>
    </row>
    <row r="168">
      <c r="A168" s="4">
        <f>IFERROR(__xludf.DUMMYFUNCTION("""COMPUTED_VALUE"""),46265.54310918981)</f>
        <v>46265.54311</v>
      </c>
      <c r="B168" s="5" t="str">
        <f>IFERROR(__xludf.DUMMYFUNCTION("""COMPUTED_VALUE"""),"putrinataliasidabutar9383@gmail.com")</f>
        <v>putrinataliasidabutar9383@gmail.com</v>
      </c>
      <c r="C168" s="5" t="str">
        <f>IFERROR(__xludf.DUMMYFUNCTION("""COMPUTED_VALUE"""),"Putri Natalia Sidabutar, S. Pd., Gr. ")</f>
        <v>Putri Natalia Sidabutar, S. Pd., Gr. </v>
      </c>
      <c r="D168" s="5">
        <f>IFERROR(__xludf.DUMMYFUNCTION("""COMPUTED_VALUE"""),7.000144672E9)</f>
        <v>7000144672</v>
      </c>
      <c r="E168" s="5" t="str">
        <f>IFERROR(__xludf.DUMMYFUNCTION("""COMPUTED_VALUE"""),"082377155470")</f>
        <v>082377155470</v>
      </c>
      <c r="F168" s="7">
        <f>IFERROR(__xludf.DUMMYFUNCTION("""COMPUTED_VALUE"""),36886.0)</f>
        <v>36886</v>
      </c>
      <c r="G168" s="5" t="str">
        <f>IFERROR(__xludf.DUMMYFUNCTION("""COMPUTED_VALUE"""),"Pendidikan Biologi")</f>
        <v>Pendidikan Biologi</v>
      </c>
      <c r="H168" s="5" t="str">
        <f>IFERROR(__xludf.DUMMYFUNCTION("""COMPUTED_VALUE"""),"Universitas Jambi")</f>
        <v>Universitas Jambi</v>
      </c>
      <c r="I168" s="5" t="str">
        <f>IFERROR(__xludf.DUMMYFUNCTION("""COMPUTED_VALUE"""),"Pendidikan Guru Sekolah Dasar (PGSD)")</f>
        <v>Pendidikan Guru Sekolah Dasar (PGSD)</v>
      </c>
      <c r="J168" s="5" t="str">
        <f>IFERROR(__xludf.DUMMYFUNCTION("""COMPUTED_VALUE"""),"PPG Calon Guru Gelombang 2 Tahun 2024")</f>
        <v>PPG Calon Guru Gelombang 2 Tahun 2024</v>
      </c>
      <c r="K168" s="5">
        <f>IFERROR(__xludf.DUMMYFUNCTION("""COMPUTED_VALUE"""),2025.0)</f>
        <v>2025</v>
      </c>
      <c r="L168" s="8" t="str">
        <f>IFERROR(__xludf.DUMMYFUNCTION("""COMPUTED_VALUE"""),"3.66")</f>
        <v>3.66</v>
      </c>
      <c r="M168" s="5" t="str">
        <f>IFERROR(__xludf.DUMMYFUNCTION("""COMPUTED_VALUE"""),"3.98")</f>
        <v>3.98</v>
      </c>
      <c r="N168" s="5" t="str">
        <f>IFERROR(__xludf.DUMMYFUNCTION("""COMPUTED_VALUE"""),"Kota Jambi, Jambi")</f>
        <v>Kota Jambi, Jambi</v>
      </c>
      <c r="O168" s="5" t="str">
        <f>IFERROR(__xludf.DUMMYFUNCTION("""COMPUTED_VALUE"""),"Tidak")</f>
        <v>Tidak</v>
      </c>
      <c r="P168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168" s="5"/>
      <c r="R168" s="5" t="str">
        <f>IFERROR(__xludf.DUMMYFUNCTION("""COMPUTED_VALUE"""),"-")</f>
        <v>-</v>
      </c>
      <c r="S168" s="11" t="str">
        <f>IFERROR(__xludf.DUMMYFUNCTION("""COMPUTED_VALUE"""),"https://drive.google.com/drive/folders/1x4MdjO2kQbaHin0MZOtOv52o2Nc0rj9s ")</f>
        <v>https://drive.google.com/drive/folders/1x4MdjO2kQbaHin0MZOtOv52o2Nc0rj9s </v>
      </c>
      <c r="T168" s="5" t="str">
        <f>IFERROR(__xludf.DUMMYFUNCTION("""COMPUTED_VALUE"""),"Lainnya")</f>
        <v>Lainnya</v>
      </c>
      <c r="U168" s="5"/>
      <c r="V168" s="5"/>
      <c r="W168" s="5"/>
      <c r="X168" s="5"/>
      <c r="Y168" s="5"/>
      <c r="Z168" s="11" t="str">
        <f>IFERROR(__xludf.DUMMYFUNCTION("""COMPUTED_VALUE"""),"https://drive.google.com/open?id=1uAmBjxEuNzTxY2jczSJIhVC3UOy-Q789")</f>
        <v>https://drive.google.com/open?id=1uAmBjxEuNzTxY2jczSJIhVC3UOy-Q789</v>
      </c>
      <c r="AA168" s="42" t="s">
        <v>54</v>
      </c>
      <c r="AB168" s="42" t="s">
        <v>2439</v>
      </c>
    </row>
    <row r="169">
      <c r="A169" s="4">
        <f>IFERROR(__xludf.DUMMYFUNCTION("""COMPUTED_VALUE"""),46265.6797290625)</f>
        <v>46265.67973</v>
      </c>
      <c r="B169" s="5" t="str">
        <f>IFERROR(__xludf.DUMMYFUNCTION("""COMPUTED_VALUE"""),"ppg.sofyanhidayatulloh10@program.belajar.id")</f>
        <v>ppg.sofyanhidayatulloh10@program.belajar.id</v>
      </c>
      <c r="C169" s="5" t="str">
        <f>IFERROR(__xludf.DUMMYFUNCTION("""COMPUTED_VALUE"""),"Sofyan Soleh Nur Hidayatulloh, S.Pd., Gr.")</f>
        <v>Sofyan Soleh Nur Hidayatulloh, S.Pd., Gr.</v>
      </c>
      <c r="D169" s="5">
        <f>IFERROR(__xludf.DUMMYFUNCTION("""COMPUTED_VALUE"""),7.000153949E9)</f>
        <v>7000153949</v>
      </c>
      <c r="E169" s="5" t="str">
        <f>IFERROR(__xludf.DUMMYFUNCTION("""COMPUTED_VALUE"""),"081394581595")</f>
        <v>081394581595</v>
      </c>
      <c r="F169" s="7">
        <f>IFERROR(__xludf.DUMMYFUNCTION("""COMPUTED_VALUE"""),37180.0)</f>
        <v>37180</v>
      </c>
      <c r="G169" s="5" t="str">
        <f>IFERROR(__xludf.DUMMYFUNCTION("""COMPUTED_VALUE"""),"Pendidikan IPS")</f>
        <v>Pendidikan IPS</v>
      </c>
      <c r="H169" s="5" t="str">
        <f>IFERROR(__xludf.DUMMYFUNCTION("""COMPUTED_VALUE"""),"Universitas Negeri Semarang")</f>
        <v>Universitas Negeri Semarang</v>
      </c>
      <c r="I169" s="5" t="str">
        <f>IFERROR(__xludf.DUMMYFUNCTION("""COMPUTED_VALUE"""),"Lainnya")</f>
        <v>Lainnya</v>
      </c>
      <c r="J169" s="5" t="str">
        <f>IFERROR(__xludf.DUMMYFUNCTION("""COMPUTED_VALUE"""),"PPG Prajabatan Gelombang 1 Tahun 2023")</f>
        <v>PPG Prajabatan Gelombang 1 Tahun 2023</v>
      </c>
      <c r="K169" s="5">
        <f>IFERROR(__xludf.DUMMYFUNCTION("""COMPUTED_VALUE"""),2024.0)</f>
        <v>2024</v>
      </c>
      <c r="L169" s="8" t="str">
        <f>IFERROR(__xludf.DUMMYFUNCTION("""COMPUTED_VALUE"""),"3.76")</f>
        <v>3.76</v>
      </c>
      <c r="M169" s="5" t="str">
        <f>IFERROR(__xludf.DUMMYFUNCTION("""COMPUTED_VALUE"""),"3,97")</f>
        <v>3,97</v>
      </c>
      <c r="N169" s="5" t="str">
        <f>IFERROR(__xludf.DUMMYFUNCTION("""COMPUTED_VALUE"""),"Kabupaten Banjarnegara, Jawa tengah")</f>
        <v>Kabupaten Banjarnegara, Jawa tengah</v>
      </c>
      <c r="O169" s="5" t="str">
        <f>IFERROR(__xludf.DUMMYFUNCTION("""COMPUTED_VALUE"""),"Tidak")</f>
        <v>Tidak</v>
      </c>
      <c r="P169" s="5" t="str">
        <f>IFERROR(__xludf.DUMMYFUNCTION("""COMPUTED_VALUE"""),"Kabupaten Buton Tengah - Tenaga pendampingan pembelajaran mata pelajaran Ekonomi")</f>
        <v>Kabupaten Buton Tengah - Tenaga pendampingan pembelajaran mata pelajaran Ekonomi</v>
      </c>
      <c r="Q169" s="5"/>
      <c r="R169" s="11" t="str">
        <f>IFERROR(__xludf.DUMMYFUNCTION("""COMPUTED_VALUE"""),"https://drive.google.com/drive/folders/1EQcbBqenLkSz0J9gJhtDto86pLrpaCuh?usp=sharing")</f>
        <v>https://drive.google.com/drive/folders/1EQcbBqenLkSz0J9gJhtDto86pLrpaCuh?usp=sharing</v>
      </c>
      <c r="S169" s="11" t="str">
        <f>IFERROR(__xludf.DUMMYFUNCTION("""COMPUTED_VALUE"""),"https://drive.google.com/file/d/19VB4oC8gH9T2JoGpnp6RBho_vfo-ZthB/view?usp=sharing")</f>
        <v>https://drive.google.com/file/d/19VB4oC8gH9T2JoGpnp6RBho_vfo-ZthB/view?usp=sharing</v>
      </c>
      <c r="T169" s="5" t="str">
        <f>IFERROR(__xludf.DUMMYFUNCTION("""COMPUTED_VALUE"""),"Lainnya")</f>
        <v>Lainnya</v>
      </c>
      <c r="U169" s="5"/>
      <c r="V169" s="5"/>
      <c r="W169" s="5"/>
      <c r="X169" s="5"/>
      <c r="Y169" s="5"/>
      <c r="Z169" s="11" t="str">
        <f>IFERROR(__xludf.DUMMYFUNCTION("""COMPUTED_VALUE"""),"https://drive.google.com/open?id=1uxpIjLCj4hCUQ9jmqUlozThXy9-ey5jX")</f>
        <v>https://drive.google.com/open?id=1uxpIjLCj4hCUQ9jmqUlozThXy9-ey5jX</v>
      </c>
      <c r="AA169" s="42" t="s">
        <v>54</v>
      </c>
      <c r="AB169" s="42" t="s">
        <v>2439</v>
      </c>
    </row>
    <row r="170">
      <c r="A170" s="4">
        <f>IFERROR(__xludf.DUMMYFUNCTION("""COMPUTED_VALUE"""),46265.75588362268)</f>
        <v>46265.75588</v>
      </c>
      <c r="B170" s="5" t="str">
        <f>IFERROR(__xludf.DUMMYFUNCTION("""COMPUTED_VALUE"""),"achmadsabani98@gmail.com")</f>
        <v>achmadsabani98@gmail.com</v>
      </c>
      <c r="C170" s="5" t="str">
        <f>IFERROR(__xludf.DUMMYFUNCTION("""COMPUTED_VALUE"""),"Achmad Sa'bani S.Pd, Gr")</f>
        <v>Achmad Sa'bani S.Pd, Gr</v>
      </c>
      <c r="D170" s="5">
        <f>IFERROR(__xludf.DUMMYFUNCTION("""COMPUTED_VALUE"""),7.000031429E9)</f>
        <v>7000031429</v>
      </c>
      <c r="E170" s="5" t="str">
        <f>IFERROR(__xludf.DUMMYFUNCTION("""COMPUTED_VALUE"""),"081330076170")</f>
        <v>081330076170</v>
      </c>
      <c r="F170" s="7">
        <f>IFERROR(__xludf.DUMMYFUNCTION("""COMPUTED_VALUE"""),36140.0)</f>
        <v>36140</v>
      </c>
      <c r="G170" s="5" t="str">
        <f>IFERROR(__xludf.DUMMYFUNCTION("""COMPUTED_VALUE"""),"Pendidikan Geografi ")</f>
        <v>Pendidikan Geografi </v>
      </c>
      <c r="H170" s="5" t="str">
        <f>IFERROR(__xludf.DUMMYFUNCTION("""COMPUTED_VALUE"""),"Universitas Negeri Semarang ")</f>
        <v>Universitas Negeri Semarang </v>
      </c>
      <c r="I170" s="5" t="str">
        <f>IFERROR(__xludf.DUMMYFUNCTION("""COMPUTED_VALUE"""),"Geografi")</f>
        <v>Geografi</v>
      </c>
      <c r="J170" s="5" t="str">
        <f>IFERROR(__xludf.DUMMYFUNCTION("""COMPUTED_VALUE"""),"PPG Prajabatan Gelombang 1 Tahun 2022")</f>
        <v>PPG Prajabatan Gelombang 1 Tahun 2022</v>
      </c>
      <c r="K170" s="5">
        <f>IFERROR(__xludf.DUMMYFUNCTION("""COMPUTED_VALUE"""),2023.0)</f>
        <v>2023</v>
      </c>
      <c r="L170" s="8" t="str">
        <f>IFERROR(__xludf.DUMMYFUNCTION("""COMPUTED_VALUE"""),"3.60")</f>
        <v>3.60</v>
      </c>
      <c r="M170" s="5" t="str">
        <f>IFERROR(__xludf.DUMMYFUNCTION("""COMPUTED_VALUE"""),".")</f>
        <v>.</v>
      </c>
      <c r="N170" s="5" t="str">
        <f>IFERROR(__xludf.DUMMYFUNCTION("""COMPUTED_VALUE"""),"Kabupaten Grobogan, Jawa Tengah ")</f>
        <v>Kabupaten Grobogan, Jawa Tengah </v>
      </c>
      <c r="O170" s="5" t="str">
        <f>IFERROR(__xludf.DUMMYFUNCTION("""COMPUTED_VALUE"""),"Tidak")</f>
        <v>Tidak</v>
      </c>
      <c r="P170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170" s="5"/>
      <c r="R170" s="11" t="str">
        <f>IFERROR(__xludf.DUMMYFUNCTION("""COMPUTED_VALUE"""),"https://drive.google.com/drive/folders/1IaQW-dcaYjHZUYV21uzLtWwjnRkNPlKR?usp=sharing")</f>
        <v>https://drive.google.com/drive/folders/1IaQW-dcaYjHZUYV21uzLtWwjnRkNPlKR?usp=sharing</v>
      </c>
      <c r="S170" s="11" t="str">
        <f>IFERROR(__xludf.DUMMYFUNCTION("""COMPUTED_VALUE"""),"https://drive.google.com/file/d/1K86AVWNyVATp4KXXM8v8zL54rKLVnO3R/view?usp=sharing")</f>
        <v>https://drive.google.com/file/d/1K86AVWNyVATp4KXXM8v8zL54rKLVnO3R/view?usp=sharing</v>
      </c>
      <c r="T170" s="5" t="str">
        <f>IFERROR(__xludf.DUMMYFUNCTION("""COMPUTED_VALUE"""),"Lainnya")</f>
        <v>Lainnya</v>
      </c>
      <c r="U170" s="5"/>
      <c r="V170" s="5"/>
      <c r="W170" s="5"/>
      <c r="X170" s="5"/>
      <c r="Y170" s="5"/>
      <c r="Z170" s="11" t="str">
        <f>IFERROR(__xludf.DUMMYFUNCTION("""COMPUTED_VALUE"""),"https://drive.google.com/open?id=12CcefKKtmukTuQohEcxYNxXehY5d7v-n")</f>
        <v>https://drive.google.com/open?id=12CcefKKtmukTuQohEcxYNxXehY5d7v-n</v>
      </c>
      <c r="AA170" s="42" t="s">
        <v>54</v>
      </c>
      <c r="AB170" s="42" t="s">
        <v>2439</v>
      </c>
    </row>
    <row r="171">
      <c r="A171" s="4">
        <f>IFERROR(__xludf.DUMMYFUNCTION("""COMPUTED_VALUE"""),46265.86106523148)</f>
        <v>46265.86107</v>
      </c>
      <c r="B171" s="5" t="str">
        <f>IFERROR(__xludf.DUMMYFUNCTION("""COMPUTED_VALUE"""),"riskadamay280@gmail.com")</f>
        <v>riskadamay280@gmail.com</v>
      </c>
      <c r="C171" s="5" t="str">
        <f>IFERROR(__xludf.DUMMYFUNCTION("""COMPUTED_VALUE"""),"Riska Damayanti, S.Pd.Gr")</f>
        <v>Riska Damayanti, S.Pd.Gr</v>
      </c>
      <c r="D171" s="5">
        <f>IFERROR(__xludf.DUMMYFUNCTION("""COMPUTED_VALUE"""),7.000105518E9)</f>
        <v>7000105518</v>
      </c>
      <c r="E171" s="5" t="str">
        <f>IFERROR(__xludf.DUMMYFUNCTION("""COMPUTED_VALUE"""),"085658784410")</f>
        <v>085658784410</v>
      </c>
      <c r="F171" s="7">
        <f>IFERROR(__xludf.DUMMYFUNCTION("""COMPUTED_VALUE"""),36465.0)</f>
        <v>36465</v>
      </c>
      <c r="G171" s="5" t="str">
        <f>IFERROR(__xludf.DUMMYFUNCTION("""COMPUTED_VALUE"""),"Pendidikan Ekonomi")</f>
        <v>Pendidikan Ekonomi</v>
      </c>
      <c r="H171" s="5" t="str">
        <f>IFERROR(__xludf.DUMMYFUNCTION("""COMPUTED_VALUE"""),"STKIP PGRI BANDAR LAMPUNG")</f>
        <v>STKIP PGRI BANDAR LAMPUNG</v>
      </c>
      <c r="I171" s="5" t="str">
        <f>IFERROR(__xludf.DUMMYFUNCTION("""COMPUTED_VALUE"""),"Ekonomi")</f>
        <v>Ekonomi</v>
      </c>
      <c r="J171" s="5" t="str">
        <f>IFERROR(__xludf.DUMMYFUNCTION("""COMPUTED_VALUE"""),"PPG Calon Guru Gelombang 2 Tahun 2024")</f>
        <v>PPG Calon Guru Gelombang 2 Tahun 2024</v>
      </c>
      <c r="K171" s="5">
        <f>IFERROR(__xludf.DUMMYFUNCTION("""COMPUTED_VALUE"""),2025.0)</f>
        <v>2025</v>
      </c>
      <c r="L171" s="8" t="str">
        <f>IFERROR(__xludf.DUMMYFUNCTION("""COMPUTED_VALUE"""),"3.59")</f>
        <v>3.59</v>
      </c>
      <c r="M171" s="5" t="str">
        <f>IFERROR(__xludf.DUMMYFUNCTION("""COMPUTED_VALUE"""),"4.00")</f>
        <v>4.00</v>
      </c>
      <c r="N171" s="5" t="str">
        <f>IFERROR(__xludf.DUMMYFUNCTION("""COMPUTED_VALUE"""),"Way Petai, Kec. Sumber Jaya, Lampung Barat")</f>
        <v>Way Petai, Kec. Sumber Jaya, Lampung Barat</v>
      </c>
      <c r="O171" s="5" t="str">
        <f>IFERROR(__xludf.DUMMYFUNCTION("""COMPUTED_VALUE"""),"Tidak")</f>
        <v>Tidak</v>
      </c>
      <c r="P171" s="5" t="str">
        <f>IFERROR(__xludf.DUMMYFUNCTION("""COMPUTED_VALUE"""),"Kabupaten Buton Tengah - Tenaga pendampingan pembelajaran mata pelajaran Pendidikan Agama Katolik")</f>
        <v>Kabupaten Buton Tengah - Tenaga pendampingan pembelajaran mata pelajaran Pendidikan Agama Katolik</v>
      </c>
      <c r="Q171" s="5"/>
      <c r="R171" s="5" t="str">
        <f>IFERROR(__xludf.DUMMYFUNCTION("""COMPUTED_VALUE"""),"-")</f>
        <v>-</v>
      </c>
      <c r="S171" s="11" t="str">
        <f>IFERROR(__xludf.DUMMYFUNCTION("""COMPUTED_VALUE"""),"https://drive.google.com/file/d/172f0M3H2gpFfR__p6zpeCKTzUdDjy8Bp/view?usp=drivesdk")</f>
        <v>https://drive.google.com/file/d/172f0M3H2gpFfR__p6zpeCKTzUdDjy8Bp/view?usp=drivesdk</v>
      </c>
      <c r="T171" s="5" t="str">
        <f>IFERROR(__xludf.DUMMYFUNCTION("""COMPUTED_VALUE"""),"Lainnya")</f>
        <v>Lainnya</v>
      </c>
      <c r="U171" s="5"/>
      <c r="V171" s="5"/>
      <c r="W171" s="5"/>
      <c r="X171" s="5"/>
      <c r="Y171" s="5"/>
      <c r="Z171" s="11" t="str">
        <f>IFERROR(__xludf.DUMMYFUNCTION("""COMPUTED_VALUE"""),"https://drive.google.com/open?id=1H8DJtB-4-coeIgzOA1w8WR0R1W5sgzkK")</f>
        <v>https://drive.google.com/open?id=1H8DJtB-4-coeIgzOA1w8WR0R1W5sgzkK</v>
      </c>
      <c r="AA171" s="42" t="s">
        <v>54</v>
      </c>
      <c r="AB171" s="42" t="s">
        <v>2439</v>
      </c>
    </row>
    <row r="172">
      <c r="A172" s="4">
        <f>IFERROR(__xludf.DUMMYFUNCTION("""COMPUTED_VALUE"""),46266.00157498843)</f>
        <v>46266.00157</v>
      </c>
      <c r="B172" s="5" t="str">
        <f>IFERROR(__xludf.DUMMYFUNCTION("""COMPUTED_VALUE"""),"alvian160894@gmail.com")</f>
        <v>alvian160894@gmail.com</v>
      </c>
      <c r="C172" s="5" t="str">
        <f>IFERROR(__xludf.DUMMYFUNCTION("""COMPUTED_VALUE"""),"Alviansyah, S.Pd., M.Pd.")</f>
        <v>Alviansyah, S.Pd., M.Pd.</v>
      </c>
      <c r="D172" s="5">
        <f>IFERROR(__xludf.DUMMYFUNCTION("""COMPUTED_VALUE"""),2.01800313277E11)</f>
        <v>201800313277</v>
      </c>
      <c r="E172" s="5" t="str">
        <f>IFERROR(__xludf.DUMMYFUNCTION("""COMPUTED_VALUE"""),"087898293493")</f>
        <v>087898293493</v>
      </c>
      <c r="F172" s="7">
        <f>IFERROR(__xludf.DUMMYFUNCTION("""COMPUTED_VALUE"""),34562.0)</f>
        <v>34562</v>
      </c>
      <c r="G172" s="5" t="str">
        <f>IFERROR(__xludf.DUMMYFUNCTION("""COMPUTED_VALUE"""),"Pendidikan Agama Islam")</f>
        <v>Pendidikan Agama Islam</v>
      </c>
      <c r="H172" s="5" t="str">
        <f>IFERROR(__xludf.DUMMYFUNCTION("""COMPUTED_VALUE"""),"STAI Al-Azhary Cianjur")</f>
        <v>STAI Al-Azhary Cianjur</v>
      </c>
      <c r="I172" s="5" t="str">
        <f>IFERROR(__xludf.DUMMYFUNCTION("""COMPUTED_VALUE"""),"Agama Islam")</f>
        <v>Agama Islam</v>
      </c>
      <c r="J172" s="5" t="str">
        <f>IFERROR(__xludf.DUMMYFUNCTION("""COMPUTED_VALUE"""),"Lainnya")</f>
        <v>Lainnya</v>
      </c>
      <c r="K172" s="5">
        <f>IFERROR(__xludf.DUMMYFUNCTION("""COMPUTED_VALUE"""),2026.0)</f>
        <v>2026</v>
      </c>
      <c r="L172" s="8" t="str">
        <f>IFERROR(__xludf.DUMMYFUNCTION("""COMPUTED_VALUE"""),"3.68")</f>
        <v>3.68</v>
      </c>
      <c r="M172" s="5" t="str">
        <f>IFERROR(__xludf.DUMMYFUNCTION("""COMPUTED_VALUE"""),"3.92")</f>
        <v>3.92</v>
      </c>
      <c r="N172" s="5" t="str">
        <f>IFERROR(__xludf.DUMMYFUNCTION("""COMPUTED_VALUE"""),"Kabupaten Cianjur, Jawa Barat")</f>
        <v>Kabupaten Cianjur, Jawa Barat</v>
      </c>
      <c r="O172" s="5" t="str">
        <f>IFERROR(__xludf.DUMMYFUNCTION("""COMPUTED_VALUE"""),"Tidak")</f>
        <v>Tidak</v>
      </c>
      <c r="P172" s="5" t="str">
        <f>IFERROR(__xludf.DUMMYFUNCTION("""COMPUTED_VALUE"""),"Kabupaten Jepara - Tenaga pendampingan pembelajaran mata pelajaran Pendidikan Agama Islam")</f>
        <v>Kabupaten Jepara - Tenaga pendampingan pembelajaran mata pelajaran Pendidikan Agama Islam</v>
      </c>
      <c r="Q172" s="5"/>
      <c r="R172" s="11" t="str">
        <f>IFERROR(__xludf.DUMMYFUNCTION("""COMPUTED_VALUE"""),"https://drive.google.com/drive/folders/19ZaeMbjpdH449ZYhMj6QlN3JF3TdnMn3?usp=sharing")</f>
        <v>https://drive.google.com/drive/folders/19ZaeMbjpdH449ZYhMj6QlN3JF3TdnMn3?usp=sharing</v>
      </c>
      <c r="S172" s="11" t="str">
        <f>IFERROR(__xludf.DUMMYFUNCTION("""COMPUTED_VALUE"""),"https://drive.google.com/drive/folders/13EBQ6zkg47_cYMeEfaosw1H8pEf7UVeF?usp=sharing")</f>
        <v>https://drive.google.com/drive/folders/13EBQ6zkg47_cYMeEfaosw1H8pEf7UVeF?usp=sharing</v>
      </c>
      <c r="T172" s="5" t="str">
        <f>IFERROR(__xludf.DUMMYFUNCTION("""COMPUTED_VALUE"""),"Lainnya")</f>
        <v>Lainnya</v>
      </c>
      <c r="U172" s="5"/>
      <c r="V172" s="5"/>
      <c r="W172" s="5"/>
      <c r="X172" s="5"/>
      <c r="Y172" s="5"/>
      <c r="Z172" s="11" t="str">
        <f>IFERROR(__xludf.DUMMYFUNCTION("""COMPUTED_VALUE"""),"https://drive.google.com/open?id=1clQt07YYNZaakzi5VJWcsmUiqsYJe2nr")</f>
        <v>https://drive.google.com/open?id=1clQt07YYNZaakzi5VJWcsmUiqsYJe2nr</v>
      </c>
      <c r="AA172" s="42" t="s">
        <v>44</v>
      </c>
      <c r="AB172" s="5"/>
    </row>
    <row r="173">
      <c r="A173" s="4">
        <f>IFERROR(__xludf.DUMMYFUNCTION("""COMPUTED_VALUE"""),46266.05365083334)</f>
        <v>46266.05365</v>
      </c>
      <c r="B173" s="5" t="str">
        <f>IFERROR(__xludf.DUMMYFUNCTION("""COMPUTED_VALUE"""),"opikrina94@gmail.com")</f>
        <v>opikrina94@gmail.com</v>
      </c>
      <c r="C173" s="5" t="str">
        <f>IFERROR(__xludf.DUMMYFUNCTION("""COMPUTED_VALUE"""),"Rina Opik, S.Pd., Gr.")</f>
        <v>Rina Opik, S.Pd., Gr.</v>
      </c>
      <c r="D173" s="5"/>
      <c r="E173" s="5" t="str">
        <f>IFERROR(__xludf.DUMMYFUNCTION("""COMPUTED_VALUE"""),"089610501377")</f>
        <v>089610501377</v>
      </c>
      <c r="F173" s="7">
        <f>IFERROR(__xludf.DUMMYFUNCTION("""COMPUTED_VALUE"""),34617.0)</f>
        <v>34617</v>
      </c>
      <c r="G173" s="5" t="str">
        <f>IFERROR(__xludf.DUMMYFUNCTION("""COMPUTED_VALUE"""),"Pendidikan Ekonomi")</f>
        <v>Pendidikan Ekonomi</v>
      </c>
      <c r="H173" s="5" t="str">
        <f>IFERROR(__xludf.DUMMYFUNCTION("""COMPUTED_VALUE"""),"Universitas Negeri Semarang")</f>
        <v>Universitas Negeri Semarang</v>
      </c>
      <c r="I173" s="5" t="str">
        <f>IFERROR(__xludf.DUMMYFUNCTION("""COMPUTED_VALUE"""),"Pendidikan Guru Sekolah Dasar (PGSD)")</f>
        <v>Pendidikan Guru Sekolah Dasar (PGSD)</v>
      </c>
      <c r="J173" s="5" t="str">
        <f>IFERROR(__xludf.DUMMYFUNCTION("""COMPUTED_VALUE"""),"PPG Calon Guru Gelombang 2 Tahun 2024")</f>
        <v>PPG Calon Guru Gelombang 2 Tahun 2024</v>
      </c>
      <c r="K173" s="5">
        <f>IFERROR(__xludf.DUMMYFUNCTION("""COMPUTED_VALUE"""),2025.0)</f>
        <v>2025</v>
      </c>
      <c r="L173" s="8" t="str">
        <f>IFERROR(__xludf.DUMMYFUNCTION("""COMPUTED_VALUE"""),"3,63")</f>
        <v>3,63</v>
      </c>
      <c r="M173" s="5" t="str">
        <f>IFERROR(__xludf.DUMMYFUNCTION("""COMPUTED_VALUE"""),"4.00")</f>
        <v>4.00</v>
      </c>
      <c r="N173" s="5" t="str">
        <f>IFERROR(__xludf.DUMMYFUNCTION("""COMPUTED_VALUE"""),"Rembang, Jawa Tengah")</f>
        <v>Rembang, Jawa Tengah</v>
      </c>
      <c r="O173" s="5" t="str">
        <f>IFERROR(__xludf.DUMMYFUNCTION("""COMPUTED_VALUE"""),"Tidak")</f>
        <v>Tidak</v>
      </c>
      <c r="P173" s="5" t="str">
        <f>IFERROR(__xludf.DUMMYFUNCTION("""COMPUTED_VALUE"""),"Kabupaten Buton Tengah - Tenaga pendampingan pembelajaran mata pelajaran Ekonomi")</f>
        <v>Kabupaten Buton Tengah - Tenaga pendampingan pembelajaran mata pelajaran Ekonomi</v>
      </c>
      <c r="Q173" s="5"/>
      <c r="R173" s="11" t="str">
        <f>IFERROR(__xludf.DUMMYFUNCTION("""COMPUTED_VALUE"""),"https://drive.google.com/drive/folders/11AM3M-pMv6xsy4fEdku3wpgYdWZ-b-S9")</f>
        <v>https://drive.google.com/drive/folders/11AM3M-pMv6xsy4fEdku3wpgYdWZ-b-S9</v>
      </c>
      <c r="S173" s="11" t="str">
        <f>IFERROR(__xludf.DUMMYFUNCTION("""COMPUTED_VALUE"""),"https://drive.google.com/drive/folders/11AM3M-pMv6xsy4fEdku3wpgYdWZ-b-S9")</f>
        <v>https://drive.google.com/drive/folders/11AM3M-pMv6xsy4fEdku3wpgYdWZ-b-S9</v>
      </c>
      <c r="T173" s="5" t="str">
        <f>IFERROR(__xludf.DUMMYFUNCTION("""COMPUTED_VALUE"""),"Lainnya")</f>
        <v>Lainnya</v>
      </c>
      <c r="U173" s="5"/>
      <c r="V173" s="5"/>
      <c r="W173" s="5"/>
      <c r="X173" s="5"/>
      <c r="Y173" s="5"/>
      <c r="Z173" s="11" t="str">
        <f>IFERROR(__xludf.DUMMYFUNCTION("""COMPUTED_VALUE"""),"https://drive.google.com/open?id=1A6si8rghPSrxwUZuTEOSbhu1zyKJezWM")</f>
        <v>https://drive.google.com/open?id=1A6si8rghPSrxwUZuTEOSbhu1zyKJezWM</v>
      </c>
      <c r="AA173" s="42" t="s">
        <v>54</v>
      </c>
      <c r="AB173" s="42" t="s">
        <v>2439</v>
      </c>
    </row>
    <row r="174">
      <c r="A174" s="4">
        <f>IFERROR(__xludf.DUMMYFUNCTION("""COMPUTED_VALUE"""),46266.05766297454)</f>
        <v>46266.05766</v>
      </c>
      <c r="B174" s="5" t="str">
        <f>IFERROR(__xludf.DUMMYFUNCTION("""COMPUTED_VALUE"""),"sutrisno051@guru.sd.belajar.id")</f>
        <v>sutrisno051@guru.sd.belajar.id</v>
      </c>
      <c r="C174" s="5" t="str">
        <f>IFERROR(__xludf.DUMMYFUNCTION("""COMPUTED_VALUE"""),"SUTRISNO, S.Pd.I., M.Pd.")</f>
        <v>SUTRISNO, S.Pd.I., M.Pd.</v>
      </c>
      <c r="D174" s="5">
        <f>IFERROR(__xludf.DUMMYFUNCTION("""COMPUTED_VALUE"""),2.0190061126E11)</f>
        <v>201900611260</v>
      </c>
      <c r="E174" s="5" t="str">
        <f>IFERROR(__xludf.DUMMYFUNCTION("""COMPUTED_VALUE"""),"085733472739")</f>
        <v>085733472739</v>
      </c>
      <c r="F174" s="7">
        <f>IFERROR(__xludf.DUMMYFUNCTION("""COMPUTED_VALUE"""),33754.0)</f>
        <v>33754</v>
      </c>
      <c r="G174" s="5" t="str">
        <f>IFERROR(__xludf.DUMMYFUNCTION("""COMPUTED_VALUE"""),"S-1")</f>
        <v>S-1</v>
      </c>
      <c r="H174" s="5" t="str">
        <f>IFERROR(__xludf.DUMMYFUNCTION("""COMPUTED_VALUE"""),"Universitas Islam Lamongan")</f>
        <v>Universitas Islam Lamongan</v>
      </c>
      <c r="I174" s="5" t="str">
        <f>IFERROR(__xludf.DUMMYFUNCTION("""COMPUTED_VALUE"""),"Agama Islam")</f>
        <v>Agama Islam</v>
      </c>
      <c r="J174" s="5" t="str">
        <f>IFERROR(__xludf.DUMMYFUNCTION("""COMPUTED_VALUE"""),"Lainnya")</f>
        <v>Lainnya</v>
      </c>
      <c r="K174" s="5">
        <f>IFERROR(__xludf.DUMMYFUNCTION("""COMPUTED_VALUE"""),2025.0)</f>
        <v>2025</v>
      </c>
      <c r="L174" s="8" t="str">
        <f>IFERROR(__xludf.DUMMYFUNCTION("""COMPUTED_VALUE"""),"3.40")</f>
        <v>3.40</v>
      </c>
      <c r="M174" s="5" t="str">
        <f>IFERROR(__xludf.DUMMYFUNCTION("""COMPUTED_VALUE"""),"3.72")</f>
        <v>3.72</v>
      </c>
      <c r="N174" s="5" t="str">
        <f>IFERROR(__xludf.DUMMYFUNCTION("""COMPUTED_VALUE"""),"Jepara, Jawa TengaJEPARA, JAWA TENGAH")</f>
        <v>Jepara, Jawa TengaJEPARA, JAWA TENGAH</v>
      </c>
      <c r="O174" s="5" t="str">
        <f>IFERROR(__xludf.DUMMYFUNCTION("""COMPUTED_VALUE"""),"Ya")</f>
        <v>Ya</v>
      </c>
      <c r="P174" s="5" t="str">
        <f>IFERROR(__xludf.DUMMYFUNCTION("""COMPUTED_VALUE"""),"Kabupaten Jepara - Tenaga pendampingan pembelajaran mata pelajaran Pendidikan Agama Islam")</f>
        <v>Kabupaten Jepara - Tenaga pendampingan pembelajaran mata pelajaran Pendidikan Agama Islam</v>
      </c>
      <c r="Q174" s="5"/>
      <c r="R174" s="11" t="str">
        <f>IFERROR(__xludf.DUMMYFUNCTION("""COMPUTED_VALUE"""),"https://drive.google.com/drive/folders/1ICeef0wQTCT9S8mdkQaRK57ifVIK1OcE?usp=sharing")</f>
        <v>https://drive.google.com/drive/folders/1ICeef0wQTCT9S8mdkQaRK57ifVIK1OcE?usp=sharing</v>
      </c>
      <c r="S174" s="11" t="str">
        <f>IFERROR(__xludf.DUMMYFUNCTION("""COMPUTED_VALUE"""),"https://www.youtube.com/watch?v=Y7RSD79zK0M")</f>
        <v>https://www.youtube.com/watch?v=Y7RSD79zK0M</v>
      </c>
      <c r="T174" s="5" t="str">
        <f>IFERROR(__xludf.DUMMYFUNCTION("""COMPUTED_VALUE"""),"Lainnya")</f>
        <v>Lainnya</v>
      </c>
      <c r="U174" s="5"/>
      <c r="V174" s="5"/>
      <c r="W174" s="5"/>
      <c r="X174" s="5"/>
      <c r="Y174" s="5"/>
      <c r="Z174" s="11" t="str">
        <f>IFERROR(__xludf.DUMMYFUNCTION("""COMPUTED_VALUE"""),"https://drive.google.com/open?id=14t-X2PJ0VOz1A4g7P67HoD-MaarDNsc9")</f>
        <v>https://drive.google.com/open?id=14t-X2PJ0VOz1A4g7P67HoD-MaarDNsc9</v>
      </c>
      <c r="AA174" s="42" t="s">
        <v>54</v>
      </c>
      <c r="AB174" s="42" t="s">
        <v>2434</v>
      </c>
    </row>
    <row r="175">
      <c r="A175" s="4">
        <f>IFERROR(__xludf.DUMMYFUNCTION("""COMPUTED_VALUE"""),46266.390441828706)</f>
        <v>46266.39044</v>
      </c>
      <c r="B175" s="5" t="str">
        <f>IFERROR(__xludf.DUMMYFUNCTION("""COMPUTED_VALUE"""),"putri_1905026033@student.walisongo.ac.id")</f>
        <v>putri_1905026033@student.walisongo.ac.id</v>
      </c>
      <c r="C175" s="5" t="str">
        <f>IFERROR(__xludf.DUMMYFUNCTION("""COMPUTED_VALUE"""),"Dyah Putri Purnamasari, S. E., Gr.")</f>
        <v>Dyah Putri Purnamasari, S. E., Gr.</v>
      </c>
      <c r="D175" s="5">
        <f>IFERROR(__xludf.DUMMYFUNCTION("""COMPUTED_VALUE"""),7.000200665E9)</f>
        <v>7000200665</v>
      </c>
      <c r="E175" s="5" t="str">
        <f>IFERROR(__xludf.DUMMYFUNCTION("""COMPUTED_VALUE"""),"087737317231")</f>
        <v>087737317231</v>
      </c>
      <c r="F175" s="7">
        <f>IFERROR(__xludf.DUMMYFUNCTION("""COMPUTED_VALUE"""),37182.0)</f>
        <v>37182</v>
      </c>
      <c r="G175" s="5" t="str">
        <f>IFERROR(__xludf.DUMMYFUNCTION("""COMPUTED_VALUE"""),"Ekonomi Islam")</f>
        <v>Ekonomi Islam</v>
      </c>
      <c r="H175" s="5" t="str">
        <f>IFERROR(__xludf.DUMMYFUNCTION("""COMPUTED_VALUE"""),"UIN Walisongo Semarang")</f>
        <v>UIN Walisongo Semarang</v>
      </c>
      <c r="I175" s="5" t="str">
        <f>IFERROR(__xludf.DUMMYFUNCTION("""COMPUTED_VALUE"""),"Lainnya")</f>
        <v>Lainnya</v>
      </c>
      <c r="J175" s="5" t="str">
        <f>IFERROR(__xludf.DUMMYFUNCTION("""COMPUTED_VALUE"""),"PPG Prajabatan Gelombang 2 Tahun 2023")</f>
        <v>PPG Prajabatan Gelombang 2 Tahun 2023</v>
      </c>
      <c r="K175" s="5">
        <f>IFERROR(__xludf.DUMMYFUNCTION("""COMPUTED_VALUE"""),2024.0)</f>
        <v>2024</v>
      </c>
      <c r="L175" s="8" t="str">
        <f>IFERROR(__xludf.DUMMYFUNCTION("""COMPUTED_VALUE"""),"3.84")</f>
        <v>3.84</v>
      </c>
      <c r="M175" s="5" t="str">
        <f>IFERROR(__xludf.DUMMYFUNCTION("""COMPUTED_VALUE"""),"3.80")</f>
        <v>3.80</v>
      </c>
      <c r="N175" s="5" t="str">
        <f>IFERROR(__xludf.DUMMYFUNCTION("""COMPUTED_VALUE"""),"Kabupaten Kendal, Jawa Tengah")</f>
        <v>Kabupaten Kendal, Jawa Tengah</v>
      </c>
      <c r="O175" s="5" t="str">
        <f>IFERROR(__xludf.DUMMYFUNCTION("""COMPUTED_VALUE"""),"Tidak")</f>
        <v>Tidak</v>
      </c>
      <c r="P175" s="5" t="str">
        <f>IFERROR(__xludf.DUMMYFUNCTION("""COMPUTED_VALUE"""),"Kabupaten Buton Tengah - Tenaga pendampingan pembelajaran mata pelajaran Ekonomi")</f>
        <v>Kabupaten Buton Tengah - Tenaga pendampingan pembelajaran mata pelajaran Ekonomi</v>
      </c>
      <c r="Q175" s="5"/>
      <c r="R175" s="11" t="str">
        <f>IFERROR(__xludf.DUMMYFUNCTION("""COMPUTED_VALUE"""),"https://drive.google.com/drive/folders/1-bEcGrl_eMrn6Y-BA6XicqyOiP1cPSgk?usp=sharing")</f>
        <v>https://drive.google.com/drive/folders/1-bEcGrl_eMrn6Y-BA6XicqyOiP1cPSgk?usp=sharing</v>
      </c>
      <c r="S175" s="11" t="str">
        <f>IFERROR(__xludf.DUMMYFUNCTION("""COMPUTED_VALUE"""),"https://drive.google.com/file/d/1Wm6uIxCaBKd1xLMMABx5TWhmf1ceuDef/view?usp=drive_link")</f>
        <v>https://drive.google.com/file/d/1Wm6uIxCaBKd1xLMMABx5TWhmf1ceuDef/view?usp=drive_link</v>
      </c>
      <c r="T175" s="5" t="str">
        <f>IFERROR(__xludf.DUMMYFUNCTION("""COMPUTED_VALUE"""),"Lainnya")</f>
        <v>Lainnya</v>
      </c>
      <c r="U175" s="5"/>
      <c r="V175" s="5"/>
      <c r="W175" s="5"/>
      <c r="X175" s="5"/>
      <c r="Y175" s="5"/>
      <c r="Z175" s="11" t="str">
        <f>IFERROR(__xludf.DUMMYFUNCTION("""COMPUTED_VALUE"""),"https://drive.google.com/open?id=1xzXrgHy0HdPQgmM8QN5DogdaH8l96dNI")</f>
        <v>https://drive.google.com/open?id=1xzXrgHy0HdPQgmM8QN5DogdaH8l96dNI</v>
      </c>
      <c r="AA175" s="42" t="s">
        <v>44</v>
      </c>
      <c r="AB175" s="5"/>
    </row>
    <row r="176">
      <c r="A176" s="4">
        <f>IFERROR(__xludf.DUMMYFUNCTION("""COMPUTED_VALUE"""),46266.40816414352)</f>
        <v>46266.40816</v>
      </c>
      <c r="B176" s="5" t="str">
        <f>IFERROR(__xludf.DUMMYFUNCTION("""COMPUTED_VALUE"""),"zainulngage@gmail.com")</f>
        <v>zainulngage@gmail.com</v>
      </c>
      <c r="C176" s="5" t="str">
        <f>IFERROR(__xludf.DUMMYFUNCTION("""COMPUTED_VALUE"""),"Zainul Arifin, S.Si., Gr.")</f>
        <v>Zainul Arifin, S.Si., Gr.</v>
      </c>
      <c r="D176" s="5">
        <f>IFERROR(__xludf.DUMMYFUNCTION("""COMPUTED_VALUE"""),7.000099711E9)</f>
        <v>7000099711</v>
      </c>
      <c r="E176" s="5" t="str">
        <f>IFERROR(__xludf.DUMMYFUNCTION("""COMPUTED_VALUE"""),"083162371393")</f>
        <v>083162371393</v>
      </c>
      <c r="F176" s="7">
        <f>IFERROR(__xludf.DUMMYFUNCTION("""COMPUTED_VALUE"""),35593.0)</f>
        <v>35593</v>
      </c>
      <c r="G176" s="5" t="str">
        <f>IFERROR(__xludf.DUMMYFUNCTION("""COMPUTED_VALUE"""),"S-1 Kimia")</f>
        <v>S-1 Kimia</v>
      </c>
      <c r="H176" s="5" t="str">
        <f>IFERROR(__xludf.DUMMYFUNCTION("""COMPUTED_VALUE"""),"Universitas Negeri Yogyakarta")</f>
        <v>Universitas Negeri Yogyakarta</v>
      </c>
      <c r="I176" s="5" t="str">
        <f>IFERROR(__xludf.DUMMYFUNCTION("""COMPUTED_VALUE"""),"Kimia")</f>
        <v>Kimia</v>
      </c>
      <c r="J176" s="5" t="str">
        <f>IFERROR(__xludf.DUMMYFUNCTION("""COMPUTED_VALUE"""),"PPG Calon Guru Gelombang 2 Tahun 2024")</f>
        <v>PPG Calon Guru Gelombang 2 Tahun 2024</v>
      </c>
      <c r="K176" s="5">
        <f>IFERROR(__xludf.DUMMYFUNCTION("""COMPUTED_VALUE"""),2025.0)</f>
        <v>2025</v>
      </c>
      <c r="L176" s="8" t="str">
        <f>IFERROR(__xludf.DUMMYFUNCTION("""COMPUTED_VALUE"""),"3.31")</f>
        <v>3.31</v>
      </c>
      <c r="M176" s="5" t="str">
        <f>IFERROR(__xludf.DUMMYFUNCTION("""COMPUTED_VALUE"""),"4.00")</f>
        <v>4.00</v>
      </c>
      <c r="N176" s="5" t="str">
        <f>IFERROR(__xludf.DUMMYFUNCTION("""COMPUTED_VALUE"""),"Kabupaten Bondowoso, Jawa Timur")</f>
        <v>Kabupaten Bondowoso, Jawa Timur</v>
      </c>
      <c r="O176" s="5" t="str">
        <f>IFERROR(__xludf.DUMMYFUNCTION("""COMPUTED_VALUE"""),"Tidak")</f>
        <v>Tidak</v>
      </c>
      <c r="P176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176" s="5"/>
      <c r="R176" s="5" t="str">
        <f>IFERROR(__xludf.DUMMYFUNCTION("""COMPUTED_VALUE"""),"-")</f>
        <v>-</v>
      </c>
      <c r="S176" s="11" t="str">
        <f>IFERROR(__xludf.DUMMYFUNCTION("""COMPUTED_VALUE"""),"https://drive.google.com/file/d/1zjqleX_QHQweZRqUCYtwKhGBDTpjIHzs/view?usp=drivesdk")</f>
        <v>https://drive.google.com/file/d/1zjqleX_QHQweZRqUCYtwKhGBDTpjIHzs/view?usp=drivesdk</v>
      </c>
      <c r="T176" s="5" t="str">
        <f>IFERROR(__xludf.DUMMYFUNCTION("""COMPUTED_VALUE"""),"Alumni PPG Calon Guru / Prajabatan FKIP UHO")</f>
        <v>Alumni PPG Calon Guru / Prajabatan FKIP UHO</v>
      </c>
      <c r="U176" s="5"/>
      <c r="V176" s="5"/>
      <c r="W176" s="5"/>
      <c r="X176" s="5"/>
      <c r="Y176" s="5" t="str">
        <f>IFERROR(__xludf.DUMMYFUNCTION("""COMPUTED_VALUE"""),"A3S224237")</f>
        <v>A3S224237</v>
      </c>
      <c r="Z176" s="11" t="str">
        <f>IFERROR(__xludf.DUMMYFUNCTION("""COMPUTED_VALUE"""),"https://drive.google.com/open?id=1W_uGv6WL8v3Kkoxc7iIV-SP5vN8tyjyA")</f>
        <v>https://drive.google.com/open?id=1W_uGv6WL8v3Kkoxc7iIV-SP5vN8tyjyA</v>
      </c>
      <c r="AA176" s="42" t="s">
        <v>44</v>
      </c>
      <c r="AB176" s="5"/>
    </row>
    <row r="177">
      <c r="A177" s="4">
        <f>IFERROR(__xludf.DUMMYFUNCTION("""COMPUTED_VALUE"""),46266.41867010417)</f>
        <v>46266.41867</v>
      </c>
      <c r="B177" s="5" t="str">
        <f>IFERROR(__xludf.DUMMYFUNCTION("""COMPUTED_VALUE"""),"novrianirahmah99@gmail.com")</f>
        <v>novrianirahmah99@gmail.com</v>
      </c>
      <c r="C177" s="5" t="str">
        <f>IFERROR(__xludf.DUMMYFUNCTION("""COMPUTED_VALUE"""),"Novriani Rahmah, S.Pd, Gr")</f>
        <v>Novriani Rahmah, S.Pd, Gr</v>
      </c>
      <c r="D177" s="5">
        <f>IFERROR(__xludf.DUMMYFUNCTION("""COMPUTED_VALUE"""),7.000168191E9)</f>
        <v>7000168191</v>
      </c>
      <c r="E177" s="5" t="str">
        <f>IFERROR(__xludf.DUMMYFUNCTION("""COMPUTED_VALUE"""),"082210660252")</f>
        <v>082210660252</v>
      </c>
      <c r="F177" s="7">
        <f>IFERROR(__xludf.DUMMYFUNCTION("""COMPUTED_VALUE"""),36493.0)</f>
        <v>36493</v>
      </c>
      <c r="G177" s="5" t="str">
        <f>IFERROR(__xludf.DUMMYFUNCTION("""COMPUTED_VALUE"""),"Pendidikan Fisika")</f>
        <v>Pendidikan Fisika</v>
      </c>
      <c r="H177" s="5" t="str">
        <f>IFERROR(__xludf.DUMMYFUNCTION("""COMPUTED_VALUE"""),"Universitas Riau")</f>
        <v>Universitas Riau</v>
      </c>
      <c r="I177" s="5" t="str">
        <f>IFERROR(__xludf.DUMMYFUNCTION("""COMPUTED_VALUE"""),"Fisika")</f>
        <v>Fisika</v>
      </c>
      <c r="J177" s="5" t="str">
        <f>IFERROR(__xludf.DUMMYFUNCTION("""COMPUTED_VALUE"""),"PPG Calon Guru Gelombang 2 Tahun 2024")</f>
        <v>PPG Calon Guru Gelombang 2 Tahun 2024</v>
      </c>
      <c r="K177" s="5">
        <f>IFERROR(__xludf.DUMMYFUNCTION("""COMPUTED_VALUE"""),2025.0)</f>
        <v>2025</v>
      </c>
      <c r="L177" s="8" t="str">
        <f>IFERROR(__xludf.DUMMYFUNCTION("""COMPUTED_VALUE"""),"3.57")</f>
        <v>3.57</v>
      </c>
      <c r="M177" s="5" t="str">
        <f>IFERROR(__xludf.DUMMYFUNCTION("""COMPUTED_VALUE"""),"4")</f>
        <v>4</v>
      </c>
      <c r="N177" s="5" t="str">
        <f>IFERROR(__xludf.DUMMYFUNCTION("""COMPUTED_VALUE"""),"Pekanbaru, Riau")</f>
        <v>Pekanbaru, Riau</v>
      </c>
      <c r="O177" s="5" t="str">
        <f>IFERROR(__xludf.DUMMYFUNCTION("""COMPUTED_VALUE"""),"Tidak")</f>
        <v>Tidak</v>
      </c>
      <c r="P177" s="5" t="str">
        <f>IFERROR(__xludf.DUMMYFUNCTION("""COMPUTED_VALUE"""),"Kabupaten Buton Tengah - Tenaga pendampingan pembelajaran mata pelajaran FISIKA")</f>
        <v>Kabupaten Buton Tengah - Tenaga pendampingan pembelajaran mata pelajaran FISIKA</v>
      </c>
      <c r="Q177" s="5"/>
      <c r="R177" s="5" t="str">
        <f>IFERROR(__xludf.DUMMYFUNCTION("""COMPUTED_VALUE"""),"-")</f>
        <v>-</v>
      </c>
      <c r="S177" s="11" t="str">
        <f>IFERROR(__xludf.DUMMYFUNCTION("""COMPUTED_VALUE"""),"https://drive.google.com/file/d/1sTg0GXfA0ou2D4E9TCTn9o4nXdvK1QW9/view?usp=sharing")</f>
        <v>https://drive.google.com/file/d/1sTg0GXfA0ou2D4E9TCTn9o4nXdvK1QW9/view?usp=sharing</v>
      </c>
      <c r="T177" s="5" t="str">
        <f>IFERROR(__xludf.DUMMYFUNCTION("""COMPUTED_VALUE"""),"Lainnya")</f>
        <v>Lainnya</v>
      </c>
      <c r="U177" s="5"/>
      <c r="V177" s="5"/>
      <c r="W177" s="5"/>
      <c r="X177" s="5"/>
      <c r="Y177" s="5"/>
      <c r="Z177" s="11" t="str">
        <f>IFERROR(__xludf.DUMMYFUNCTION("""COMPUTED_VALUE"""),"https://drive.google.com/open?id=1s1noQshHV2IknPd7Vd6ta41HxEXXbfr2")</f>
        <v>https://drive.google.com/open?id=1s1noQshHV2IknPd7Vd6ta41HxEXXbfr2</v>
      </c>
      <c r="AA177" s="42" t="s">
        <v>44</v>
      </c>
      <c r="AB177" s="5"/>
    </row>
    <row r="178">
      <c r="A178" s="4">
        <f>IFERROR(__xludf.DUMMYFUNCTION("""COMPUTED_VALUE"""),46266.44483237269)</f>
        <v>46266.44483</v>
      </c>
      <c r="B178" s="5" t="str">
        <f>IFERROR(__xludf.DUMMYFUNCTION("""COMPUTED_VALUE"""),"rdpr95@gmail.com")</f>
        <v>rdpr95@gmail.com</v>
      </c>
      <c r="C178" s="5" t="str">
        <f>IFERROR(__xludf.DUMMYFUNCTION("""COMPUTED_VALUE"""),"Rizki Dimas Puji Raharjo, S.Pd, Gr., M.M")</f>
        <v>Rizki Dimas Puji Raharjo, S.Pd, Gr., M.M</v>
      </c>
      <c r="D178" s="5">
        <f>IFERROR(__xludf.DUMMYFUNCTION("""COMPUTED_VALUE"""),2.01699750644E11)</f>
        <v>201699750644</v>
      </c>
      <c r="E178" s="5" t="str">
        <f>IFERROR(__xludf.DUMMYFUNCTION("""COMPUTED_VALUE"""),"082127279439")</f>
        <v>082127279439</v>
      </c>
      <c r="F178" s="7">
        <f>IFERROR(__xludf.DUMMYFUNCTION("""COMPUTED_VALUE"""),35040.0)</f>
        <v>35040</v>
      </c>
      <c r="G178" s="5" t="str">
        <f>IFERROR(__xludf.DUMMYFUNCTION("""COMPUTED_VALUE"""),"Pendidikan Agama Islam")</f>
        <v>Pendidikan Agama Islam</v>
      </c>
      <c r="H178" s="5" t="str">
        <f>IFERROR(__xludf.DUMMYFUNCTION("""COMPUTED_VALUE"""),"STAI Sabili Bandung")</f>
        <v>STAI Sabili Bandung</v>
      </c>
      <c r="I178" s="5" t="str">
        <f>IFERROR(__xludf.DUMMYFUNCTION("""COMPUTED_VALUE"""),"Agama Islam")</f>
        <v>Agama Islam</v>
      </c>
      <c r="J178" s="5" t="str">
        <f>IFERROR(__xludf.DUMMYFUNCTION("""COMPUTED_VALUE"""),"Lainnya")</f>
        <v>Lainnya</v>
      </c>
      <c r="K178" s="5">
        <f>IFERROR(__xludf.DUMMYFUNCTION("""COMPUTED_VALUE"""),2024.0)</f>
        <v>2024</v>
      </c>
      <c r="L178" s="8" t="str">
        <f>IFERROR(__xludf.DUMMYFUNCTION("""COMPUTED_VALUE"""),"3.20")</f>
        <v>3.20</v>
      </c>
      <c r="M178" s="5" t="str">
        <f>IFERROR(__xludf.DUMMYFUNCTION("""COMPUTED_VALUE"""),"3.89")</f>
        <v>3.89</v>
      </c>
      <c r="N178" s="5" t="str">
        <f>IFERROR(__xludf.DUMMYFUNCTION("""COMPUTED_VALUE"""),"Cimahi, Jawa Barat")</f>
        <v>Cimahi, Jawa Barat</v>
      </c>
      <c r="O178" s="5" t="str">
        <f>IFERROR(__xludf.DUMMYFUNCTION("""COMPUTED_VALUE"""),"Tidak")</f>
        <v>Tidak</v>
      </c>
      <c r="P178" s="5" t="str">
        <f>IFERROR(__xludf.DUMMYFUNCTION("""COMPUTED_VALUE"""),"Kabupaten Jepara - Tenaga pendampingan pembelajaran mata pelajaran Pendidikan Agama Islam")</f>
        <v>Kabupaten Jepara - Tenaga pendampingan pembelajaran mata pelajaran Pendidikan Agama Islam</v>
      </c>
      <c r="Q178" s="5"/>
      <c r="R178" s="11" t="str">
        <f>IFERROR(__xludf.DUMMYFUNCTION("""COMPUTED_VALUE"""),"https://drive.google.com/drive/folders/1GqJj_gTolCzY7IGi_gOauHlV5h4RcNxN")</f>
        <v>https://drive.google.com/drive/folders/1GqJj_gTolCzY7IGi_gOauHlV5h4RcNxN</v>
      </c>
      <c r="S178" s="11" t="str">
        <f>IFERROR(__xludf.DUMMYFUNCTION("""COMPUTED_VALUE"""),"https://youtu.be/p6vnqpID7e8?feature=shared")</f>
        <v>https://youtu.be/p6vnqpID7e8?feature=shared</v>
      </c>
      <c r="T178" s="5" t="str">
        <f>IFERROR(__xludf.DUMMYFUNCTION("""COMPUTED_VALUE"""),"Lainnya")</f>
        <v>Lainnya</v>
      </c>
      <c r="U178" s="5"/>
      <c r="V178" s="5"/>
      <c r="W178" s="5"/>
      <c r="X178" s="5"/>
      <c r="Y178" s="5"/>
      <c r="Z178" s="11" t="str">
        <f>IFERROR(__xludf.DUMMYFUNCTION("""COMPUTED_VALUE"""),"https://drive.google.com/open?id=1mJdWUCeuEe0iKRyrN5QgFC_irfLKPMA3")</f>
        <v>https://drive.google.com/open?id=1mJdWUCeuEe0iKRyrN5QgFC_irfLKPMA3</v>
      </c>
      <c r="AA178" s="42" t="s">
        <v>54</v>
      </c>
      <c r="AB178" s="42" t="s">
        <v>2621</v>
      </c>
    </row>
    <row r="179">
      <c r="A179" s="4">
        <f>IFERROR(__xludf.DUMMYFUNCTION("""COMPUTED_VALUE"""),46266.55718449074)</f>
        <v>46266.55718</v>
      </c>
      <c r="B179" s="5" t="str">
        <f>IFERROR(__xludf.DUMMYFUNCTION("""COMPUTED_VALUE"""),"fanisadwi13@gmail.com")</f>
        <v>fanisadwi13@gmail.com</v>
      </c>
      <c r="C179" s="5" t="str">
        <f>IFERROR(__xludf.DUMMYFUNCTION("""COMPUTED_VALUE"""),"Anisa Dwi Febriyanti, S.Ag")</f>
        <v>Anisa Dwi Febriyanti, S.Ag</v>
      </c>
      <c r="D179" s="5">
        <f>IFERROR(__xludf.DUMMYFUNCTION("""COMPUTED_VALUE"""),2.02300057531E11)</f>
        <v>202300057531</v>
      </c>
      <c r="E179" s="5" t="str">
        <f>IFERROR(__xludf.DUMMYFUNCTION("""COMPUTED_VALUE"""),"083814983412")</f>
        <v>083814983412</v>
      </c>
      <c r="F179" s="7">
        <f>IFERROR(__xludf.DUMMYFUNCTION("""COMPUTED_VALUE"""),36204.0)</f>
        <v>36204</v>
      </c>
      <c r="G179" s="5" t="str">
        <f>IFERROR(__xludf.DUMMYFUNCTION("""COMPUTED_VALUE"""),"S1 - Ilmu Hadis")</f>
        <v>S1 - Ilmu Hadis</v>
      </c>
      <c r="H179" s="5" t="str">
        <f>IFERROR(__xludf.DUMMYFUNCTION("""COMPUTED_VALUE"""),"UIN Syarif Hidayatullah Jakarta")</f>
        <v>UIN Syarif Hidayatullah Jakarta</v>
      </c>
      <c r="I179" s="5" t="str">
        <f>IFERROR(__xludf.DUMMYFUNCTION("""COMPUTED_VALUE"""),"Agama Islam")</f>
        <v>Agama Islam</v>
      </c>
      <c r="J179" s="5" t="str">
        <f>IFERROR(__xludf.DUMMYFUNCTION("""COMPUTED_VALUE"""),"Lainnya")</f>
        <v>Lainnya</v>
      </c>
      <c r="K179" s="5">
        <f>IFERROR(__xludf.DUMMYFUNCTION("""COMPUTED_VALUE"""),2026.0)</f>
        <v>2026</v>
      </c>
      <c r="L179" s="8" t="str">
        <f>IFERROR(__xludf.DUMMYFUNCTION("""COMPUTED_VALUE"""),"3.74")</f>
        <v>3.74</v>
      </c>
      <c r="M179" s="5" t="str">
        <f>IFERROR(__xludf.DUMMYFUNCTION("""COMPUTED_VALUE"""),"4.00")</f>
        <v>4.00</v>
      </c>
      <c r="N179" s="5" t="str">
        <f>IFERROR(__xludf.DUMMYFUNCTION("""COMPUTED_VALUE"""),"Tuban, Jawa Timur")</f>
        <v>Tuban, Jawa Timur</v>
      </c>
      <c r="O179" s="5" t="str">
        <f>IFERROR(__xludf.DUMMYFUNCTION("""COMPUTED_VALUE"""),"Tidak")</f>
        <v>Tidak</v>
      </c>
      <c r="P179" s="5" t="str">
        <f>IFERROR(__xludf.DUMMYFUNCTION("""COMPUTED_VALUE"""),"Kabupaten Jepara - Tenaga pendampingan pembelajaran mata pelajaran Pendidikan Agama Islam")</f>
        <v>Kabupaten Jepara - Tenaga pendampingan pembelajaran mata pelajaran Pendidikan Agama Islam</v>
      </c>
      <c r="Q179" s="5"/>
      <c r="R179" s="5" t="str">
        <f>IFERROR(__xludf.DUMMYFUNCTION("""COMPUTED_VALUE"""),"-")</f>
        <v>-</v>
      </c>
      <c r="S179" s="11" t="str">
        <f>IFERROR(__xludf.DUMMYFUNCTION("""COMPUTED_VALUE"""),"https://drive.google.com/file/d/1iSiR6l-NAhQDC8BDga9qElowr2pmcdmq/view?usp=drivesdk")</f>
        <v>https://drive.google.com/file/d/1iSiR6l-NAhQDC8BDga9qElowr2pmcdmq/view?usp=drivesdk</v>
      </c>
      <c r="T179" s="5" t="str">
        <f>IFERROR(__xludf.DUMMYFUNCTION("""COMPUTED_VALUE"""),"Lainnya")</f>
        <v>Lainnya</v>
      </c>
      <c r="U179" s="5"/>
      <c r="V179" s="5"/>
      <c r="W179" s="5"/>
      <c r="X179" s="5"/>
      <c r="Y179" s="5"/>
      <c r="Z179" s="11" t="str">
        <f>IFERROR(__xludf.DUMMYFUNCTION("""COMPUTED_VALUE"""),"https://drive.google.com/open?id=1d4RviYiyN_TRkmaDv1hYUjnlOS9igtHu")</f>
        <v>https://drive.google.com/open?id=1d4RviYiyN_TRkmaDv1hYUjnlOS9igtHu</v>
      </c>
      <c r="AA179" s="42" t="s">
        <v>44</v>
      </c>
      <c r="AB179" s="5"/>
    </row>
    <row r="180">
      <c r="A180" s="4">
        <f>IFERROR(__xludf.DUMMYFUNCTION("""COMPUTED_VALUE"""),46266.594055138885)</f>
        <v>46266.59406</v>
      </c>
      <c r="B180" s="5" t="str">
        <f>IFERROR(__xludf.DUMMYFUNCTION("""COMPUTED_VALUE"""),"irwandidarwin01@gmail.com")</f>
        <v>irwandidarwin01@gmail.com</v>
      </c>
      <c r="C180" s="5" t="str">
        <f>IFERROR(__xludf.DUMMYFUNCTION("""COMPUTED_VALUE"""),"Irwandi, S.Pd, Gr.")</f>
        <v>Irwandi, S.Pd, Gr.</v>
      </c>
      <c r="D180" s="5">
        <f>IFERROR(__xludf.DUMMYFUNCTION("""COMPUTED_VALUE"""),7.000199602E9)</f>
        <v>7000199602</v>
      </c>
      <c r="E180" s="5" t="str">
        <f>IFERROR(__xludf.DUMMYFUNCTION("""COMPUTED_VALUE"""),"082239248295")</f>
        <v>082239248295</v>
      </c>
      <c r="F180" s="7">
        <f>IFERROR(__xludf.DUMMYFUNCTION("""COMPUTED_VALUE"""),36960.0)</f>
        <v>36960</v>
      </c>
      <c r="G180" s="5" t="str">
        <f>IFERROR(__xludf.DUMMYFUNCTION("""COMPUTED_VALUE"""),"Pendidikan Sejarah")</f>
        <v>Pendidikan Sejarah</v>
      </c>
      <c r="H180" s="5" t="str">
        <f>IFERROR(__xludf.DUMMYFUNCTION("""COMPUTED_VALUE"""),"Universitas Syiah Kuala ")</f>
        <v>Universitas Syiah Kuala </v>
      </c>
      <c r="I180" s="5" t="str">
        <f>IFERROR(__xludf.DUMMYFUNCTION("""COMPUTED_VALUE"""),"Sejarah")</f>
        <v>Sejarah</v>
      </c>
      <c r="J180" s="5" t="str">
        <f>IFERROR(__xludf.DUMMYFUNCTION("""COMPUTED_VALUE"""),"PPG Prajabatan Gelombang 1 Tahun 2024")</f>
        <v>PPG Prajabatan Gelombang 1 Tahun 2024</v>
      </c>
      <c r="K180" s="5">
        <f>IFERROR(__xludf.DUMMYFUNCTION("""COMPUTED_VALUE"""),2025.0)</f>
        <v>2025</v>
      </c>
      <c r="L180" s="8" t="str">
        <f>IFERROR(__xludf.DUMMYFUNCTION("""COMPUTED_VALUE"""),"3.64")</f>
        <v>3.64</v>
      </c>
      <c r="M180" s="5" t="str">
        <f>IFERROR(__xludf.DUMMYFUNCTION("""COMPUTED_VALUE"""),"0")</f>
        <v>0</v>
      </c>
      <c r="N180" s="5" t="str">
        <f>IFERROR(__xludf.DUMMYFUNCTION("""COMPUTED_VALUE"""),"Aceh Besar, Provinsi Aceh")</f>
        <v>Aceh Besar, Provinsi Aceh</v>
      </c>
      <c r="O180" s="5" t="str">
        <f>IFERROR(__xludf.DUMMYFUNCTION("""COMPUTED_VALUE"""),"Tidak")</f>
        <v>Tidak</v>
      </c>
      <c r="P180" s="5" t="str">
        <f>IFERROR(__xludf.DUMMYFUNCTION("""COMPUTED_VALUE"""),"Kabupaten Buton Tengah - Tenaga pendampingan pembelajaran mata pelajaran Ekonomi")</f>
        <v>Kabupaten Buton Tengah - Tenaga pendampingan pembelajaran mata pelajaran Ekonomi</v>
      </c>
      <c r="Q180" s="5"/>
      <c r="R180" s="11" t="str">
        <f>IFERROR(__xludf.DUMMYFUNCTION("""COMPUTED_VALUE"""),"https://drive.google.com/drive/folders/1cegUgtvsI39sI0sj-raJPktHprolj2xl")</f>
        <v>https://drive.google.com/drive/folders/1cegUgtvsI39sI0sj-raJPktHprolj2xl</v>
      </c>
      <c r="S180" s="11" t="str">
        <f>IFERROR(__xludf.DUMMYFUNCTION("""COMPUTED_VALUE"""),"https://drive.google.com/file/d/1umtXJUYRtnAmBG3GAHtW9vh-Klt3ydSg/view?usp=drivesdk")</f>
        <v>https://drive.google.com/file/d/1umtXJUYRtnAmBG3GAHtW9vh-Klt3ydSg/view?usp=drivesdk</v>
      </c>
      <c r="T180" s="5" t="str">
        <f>IFERROR(__xludf.DUMMYFUNCTION("""COMPUTED_VALUE"""),"Lainnya")</f>
        <v>Lainnya</v>
      </c>
      <c r="U180" s="5"/>
      <c r="V180" s="5"/>
      <c r="W180" s="5"/>
      <c r="X180" s="5"/>
      <c r="Y180" s="5"/>
      <c r="Z180" s="11" t="str">
        <f>IFERROR(__xludf.DUMMYFUNCTION("""COMPUTED_VALUE"""),"https://drive.google.com/open?id=13V3059FOOduRJ53LVmxxKPEQPGSmn6je")</f>
        <v>https://drive.google.com/open?id=13V3059FOOduRJ53LVmxxKPEQPGSmn6je</v>
      </c>
      <c r="AA180" s="42" t="s">
        <v>54</v>
      </c>
      <c r="AB180" s="42" t="s">
        <v>2439</v>
      </c>
    </row>
    <row r="181">
      <c r="A181" s="4">
        <f>IFERROR(__xludf.DUMMYFUNCTION("""COMPUTED_VALUE"""),46266.60901377315)</f>
        <v>46266.60901</v>
      </c>
      <c r="B181" s="5" t="str">
        <f>IFERROR(__xludf.DUMMYFUNCTION("""COMPUTED_VALUE"""),"elvitarahmamei@gmail.com")</f>
        <v>elvitarahmamei@gmail.com</v>
      </c>
      <c r="C181" s="5" t="str">
        <f>IFERROR(__xludf.DUMMYFUNCTION("""COMPUTED_VALUE"""),"Rahma Mei Elvita, S.Pd.Gr")</f>
        <v>Rahma Mei Elvita, S.Pd.Gr</v>
      </c>
      <c r="D181" s="5">
        <f>IFERROR(__xludf.DUMMYFUNCTION("""COMPUTED_VALUE"""),7.000122238E9)</f>
        <v>7000122238</v>
      </c>
      <c r="E181" s="5" t="str">
        <f>IFERROR(__xludf.DUMMYFUNCTION("""COMPUTED_VALUE"""),"085668083061")</f>
        <v>085668083061</v>
      </c>
      <c r="F181" s="7">
        <f>IFERROR(__xludf.DUMMYFUNCTION("""COMPUTED_VALUE"""),35932.0)</f>
        <v>35932</v>
      </c>
      <c r="G181" s="5" t="str">
        <f>IFERROR(__xludf.DUMMYFUNCTION("""COMPUTED_VALUE"""),"S-1 Tadris Matematika")</f>
        <v>S-1 Tadris Matematika</v>
      </c>
      <c r="H181" s="5" t="str">
        <f>IFERROR(__xludf.DUMMYFUNCTION("""COMPUTED_VALUE"""),"UIN Imam Bonjol Padang")</f>
        <v>UIN Imam Bonjol Padang</v>
      </c>
      <c r="I181" s="5" t="str">
        <f>IFERROR(__xludf.DUMMYFUNCTION("""COMPUTED_VALUE"""),"Matematika")</f>
        <v>Matematika</v>
      </c>
      <c r="J181" s="5" t="str">
        <f>IFERROR(__xludf.DUMMYFUNCTION("""COMPUTED_VALUE"""),"PPG Prajabatan Gelombang 1 Tahun 2023")</f>
        <v>PPG Prajabatan Gelombang 1 Tahun 2023</v>
      </c>
      <c r="K181" s="5">
        <f>IFERROR(__xludf.DUMMYFUNCTION("""COMPUTED_VALUE"""),2024.0)</f>
        <v>2024</v>
      </c>
      <c r="L181" s="8" t="str">
        <f>IFERROR(__xludf.DUMMYFUNCTION("""COMPUTED_VALUE"""),"3.35")</f>
        <v>3.35</v>
      </c>
      <c r="M181" s="5" t="str">
        <f>IFERROR(__xludf.DUMMYFUNCTION("""COMPUTED_VALUE"""),"0")</f>
        <v>0</v>
      </c>
      <c r="N181" s="5" t="str">
        <f>IFERROR(__xludf.DUMMYFUNCTION("""COMPUTED_VALUE"""),"Kota Padang, Sumatera Barat")</f>
        <v>Kota Padang, Sumatera Barat</v>
      </c>
      <c r="O181" s="5" t="str">
        <f>IFERROR(__xludf.DUMMYFUNCTION("""COMPUTED_VALUE"""),"Tidak")</f>
        <v>Tidak</v>
      </c>
      <c r="P181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181" s="5"/>
      <c r="R181" s="11" t="str">
        <f>IFERROR(__xludf.DUMMYFUNCTION("""COMPUTED_VALUE"""),"https://drive.google.com/file/d/1b4bKuE3zYG0664rNvgYGLLQmJEAvlKdh/view?usp=drivesdk")</f>
        <v>https://drive.google.com/file/d/1b4bKuE3zYG0664rNvgYGLLQmJEAvlKdh/view?usp=drivesdk</v>
      </c>
      <c r="S181" s="11" t="str">
        <f>IFERROR(__xludf.DUMMYFUNCTION("""COMPUTED_VALUE"""),"https://drive.google.com/file/d/16Anw84sKT-kWKagGdVplXbaZzuZUNtCB/view?usp=drivesdk")</f>
        <v>https://drive.google.com/file/d/16Anw84sKT-kWKagGdVplXbaZzuZUNtCB/view?usp=drivesdk</v>
      </c>
      <c r="T181" s="5" t="str">
        <f>IFERROR(__xludf.DUMMYFUNCTION("""COMPUTED_VALUE"""),"Lainnya")</f>
        <v>Lainnya</v>
      </c>
      <c r="U181" s="5"/>
      <c r="V181" s="5"/>
      <c r="W181" s="5"/>
      <c r="X181" s="5"/>
      <c r="Y181" s="5"/>
      <c r="Z181" s="11" t="str">
        <f>IFERROR(__xludf.DUMMYFUNCTION("""COMPUTED_VALUE"""),"https://drive.google.com/open?id=1r9DxO4KR12KclEKsdfjWmAiruYBt71bj")</f>
        <v>https://drive.google.com/open?id=1r9DxO4KR12KclEKsdfjWmAiruYBt71bj</v>
      </c>
      <c r="AA181" s="42" t="s">
        <v>54</v>
      </c>
      <c r="AB181" s="42" t="s">
        <v>2439</v>
      </c>
    </row>
    <row r="182">
      <c r="A182" s="4">
        <f>IFERROR(__xludf.DUMMYFUNCTION("""COMPUTED_VALUE"""),46266.66388773148)</f>
        <v>46266.66389</v>
      </c>
      <c r="B182" s="5" t="str">
        <f>IFERROR(__xludf.DUMMYFUNCTION("""COMPUTED_VALUE"""),"lutfikhakim30@gmail.com")</f>
        <v>lutfikhakim30@gmail.com</v>
      </c>
      <c r="C182" s="5" t="str">
        <f>IFERROR(__xludf.DUMMYFUNCTION("""COMPUTED_VALUE"""),"Lutfi Khakim, M.Pd")</f>
        <v>Lutfi Khakim, M.Pd</v>
      </c>
      <c r="D182" s="5"/>
      <c r="E182" s="5" t="str">
        <f>IFERROR(__xludf.DUMMYFUNCTION("""COMPUTED_VALUE"""),"088215411711")</f>
        <v>088215411711</v>
      </c>
      <c r="F182" s="7">
        <f>IFERROR(__xludf.DUMMYFUNCTION("""COMPUTED_VALUE"""),35276.0)</f>
        <v>35276</v>
      </c>
      <c r="G182" s="5" t="str">
        <f>IFERROR(__xludf.DUMMYFUNCTION("""COMPUTED_VALUE"""),"Pendidikan Agama Islam")</f>
        <v>Pendidikan Agama Islam</v>
      </c>
      <c r="H182" s="5" t="str">
        <f>IFERROR(__xludf.DUMMYFUNCTION("""COMPUTED_VALUE"""),"Universitas Islam Negeri Walisongo")</f>
        <v>Universitas Islam Negeri Walisongo</v>
      </c>
      <c r="I182" s="5" t="str">
        <f>IFERROR(__xludf.DUMMYFUNCTION("""COMPUTED_VALUE"""),"Agama Islam")</f>
        <v>Agama Islam</v>
      </c>
      <c r="J182" s="5" t="str">
        <f>IFERROR(__xludf.DUMMYFUNCTION("""COMPUTED_VALUE"""),"Lainnya")</f>
        <v>Lainnya</v>
      </c>
      <c r="K182" s="5">
        <f>IFERROR(__xludf.DUMMYFUNCTION("""COMPUTED_VALUE"""),2025.0)</f>
        <v>2025</v>
      </c>
      <c r="L182" s="8" t="str">
        <f>IFERROR(__xludf.DUMMYFUNCTION("""COMPUTED_VALUE"""),"3.76")</f>
        <v>3.76</v>
      </c>
      <c r="M182" s="5" t="str">
        <f>IFERROR(__xludf.DUMMYFUNCTION("""COMPUTED_VALUE"""),"4.00")</f>
        <v>4.00</v>
      </c>
      <c r="N182" s="5" t="str">
        <f>IFERROR(__xludf.DUMMYFUNCTION("""COMPUTED_VALUE"""),"Kab. Rembang, Jawa Tengah")</f>
        <v>Kab. Rembang, Jawa Tengah</v>
      </c>
      <c r="O182" s="5" t="str">
        <f>IFERROR(__xludf.DUMMYFUNCTION("""COMPUTED_VALUE"""),"Tidak")</f>
        <v>Tidak</v>
      </c>
      <c r="P182" s="5" t="str">
        <f>IFERROR(__xludf.DUMMYFUNCTION("""COMPUTED_VALUE"""),"Kabupaten Jepara - Tenaga pendampingan pembelajaran mata pelajaran Pendidikan Agama Islam")</f>
        <v>Kabupaten Jepara - Tenaga pendampingan pembelajaran mata pelajaran Pendidikan Agama Islam</v>
      </c>
      <c r="Q182" s="5"/>
      <c r="R182" s="5" t="str">
        <f>IFERROR(__xludf.DUMMYFUNCTION("""COMPUTED_VALUE"""),"-")</f>
        <v>-</v>
      </c>
      <c r="S182" s="11" t="str">
        <f>IFERROR(__xludf.DUMMYFUNCTION("""COMPUTED_VALUE"""),"https://drive.google.com/file/d/1MCBD--uL26st95zUhkgQjZsGVv2OFcCm/view?usp=drivesdk")</f>
        <v>https://drive.google.com/file/d/1MCBD--uL26st95zUhkgQjZsGVv2OFcCm/view?usp=drivesdk</v>
      </c>
      <c r="T182" s="5" t="str">
        <f>IFERROR(__xludf.DUMMYFUNCTION("""COMPUTED_VALUE"""),"Lainnya")</f>
        <v>Lainnya</v>
      </c>
      <c r="U182" s="5"/>
      <c r="V182" s="5"/>
      <c r="W182" s="5"/>
      <c r="X182" s="5"/>
      <c r="Y182" s="5"/>
      <c r="Z182" s="11" t="str">
        <f>IFERROR(__xludf.DUMMYFUNCTION("""COMPUTED_VALUE"""),"https://drive.google.com/open?id=1POiHSH4J9zDSHQoLnIiTZEEZesCGlMLz")</f>
        <v>https://drive.google.com/open?id=1POiHSH4J9zDSHQoLnIiTZEEZesCGlMLz</v>
      </c>
      <c r="AA182" s="42" t="s">
        <v>44</v>
      </c>
      <c r="AB182" s="5"/>
    </row>
    <row r="183">
      <c r="A183" s="4">
        <f>IFERROR(__xludf.DUMMYFUNCTION("""COMPUTED_VALUE"""),46266.701824710646)</f>
        <v>46266.70182</v>
      </c>
      <c r="B183" s="5" t="str">
        <f>IFERROR(__xludf.DUMMYFUNCTION("""COMPUTED_VALUE"""),"ramlizzha9@gmail.com")</f>
        <v>ramlizzha9@gmail.com</v>
      </c>
      <c r="C183" s="5" t="str">
        <f>IFERROR(__xludf.DUMMYFUNCTION("""COMPUTED_VALUE"""),"Ramli")</f>
        <v>Ramli</v>
      </c>
      <c r="D183" s="5">
        <f>IFERROR(__xludf.DUMMYFUNCTION("""COMPUTED_VALUE"""),7.000061039E9)</f>
        <v>7000061039</v>
      </c>
      <c r="E183" s="5" t="str">
        <f>IFERROR(__xludf.DUMMYFUNCTION("""COMPUTED_VALUE"""),"085356190507")</f>
        <v>085356190507</v>
      </c>
      <c r="F183" s="7">
        <f>IFERROR(__xludf.DUMMYFUNCTION("""COMPUTED_VALUE"""),34600.0)</f>
        <v>34600</v>
      </c>
      <c r="G183" s="5" t="str">
        <f>IFERROR(__xludf.DUMMYFUNCTION("""COMPUTED_VALUE"""),"S-1 Pendidikan Ekonomi")</f>
        <v>S-1 Pendidikan Ekonomi</v>
      </c>
      <c r="H183" s="5" t="str">
        <f>IFERROR(__xludf.DUMMYFUNCTION("""COMPUTED_VALUE"""),"Universitas Islam Negeri Sultan Syarif Kasim Riau")</f>
        <v>Universitas Islam Negeri Sultan Syarif Kasim Riau</v>
      </c>
      <c r="I183" s="5" t="str">
        <f>IFERROR(__xludf.DUMMYFUNCTION("""COMPUTED_VALUE"""),"Lainnya")</f>
        <v>Lainnya</v>
      </c>
      <c r="J183" s="5" t="str">
        <f>IFERROR(__xludf.DUMMYFUNCTION("""COMPUTED_VALUE"""),"PPG Prajabatan Gelombang 1 Tahun 2023")</f>
        <v>PPG Prajabatan Gelombang 1 Tahun 2023</v>
      </c>
      <c r="K183" s="5">
        <f>IFERROR(__xludf.DUMMYFUNCTION("""COMPUTED_VALUE"""),2024.0)</f>
        <v>2024</v>
      </c>
      <c r="L183" s="8" t="str">
        <f>IFERROR(__xludf.DUMMYFUNCTION("""COMPUTED_VALUE"""),"3.31")</f>
        <v>3.31</v>
      </c>
      <c r="M183" s="5" t="str">
        <f>IFERROR(__xludf.DUMMYFUNCTION("""COMPUTED_VALUE"""),"Tidak ada transkrip nilai dari LPTK")</f>
        <v>Tidak ada transkrip nilai dari LPTK</v>
      </c>
      <c r="N183" s="5" t="str">
        <f>IFERROR(__xludf.DUMMYFUNCTION("""COMPUTED_VALUE"""),"Kota Pekanbaru, Riau")</f>
        <v>Kota Pekanbaru, Riau</v>
      </c>
      <c r="O183" s="5" t="str">
        <f>IFERROR(__xludf.DUMMYFUNCTION("""COMPUTED_VALUE"""),"Tidak")</f>
        <v>Tidak</v>
      </c>
      <c r="P183" s="5" t="str">
        <f>IFERROR(__xludf.DUMMYFUNCTION("""COMPUTED_VALUE"""),"Kabupaten Buton Tengah - Tenaga pendampingan pembelajaran mata pelajaran Ekonomi")</f>
        <v>Kabupaten Buton Tengah - Tenaga pendampingan pembelajaran mata pelajaran Ekonomi</v>
      </c>
      <c r="Q183" s="5"/>
      <c r="R183" s="5" t="str">
        <f>IFERROR(__xludf.DUMMYFUNCTION("""COMPUTED_VALUE"""),"-")</f>
        <v>-</v>
      </c>
      <c r="S183" s="11" t="str">
        <f>IFERROR(__xludf.DUMMYFUNCTION("""COMPUTED_VALUE"""),"https://drive.google.com/drive/folders/10h0bICv1sbwM8H39qnDBJjpkWu_Bj5lc?usp=share_link")</f>
        <v>https://drive.google.com/drive/folders/10h0bICv1sbwM8H39qnDBJjpkWu_Bj5lc?usp=share_link</v>
      </c>
      <c r="T183" s="5" t="str">
        <f>IFERROR(__xludf.DUMMYFUNCTION("""COMPUTED_VALUE"""),"Lainnya")</f>
        <v>Lainnya</v>
      </c>
      <c r="U183" s="5"/>
      <c r="V183" s="5"/>
      <c r="W183" s="5"/>
      <c r="X183" s="5"/>
      <c r="Y183" s="5"/>
      <c r="Z183" s="11" t="str">
        <f>IFERROR(__xludf.DUMMYFUNCTION("""COMPUTED_VALUE"""),"https://drive.google.com/open?id=10biL2L-Yv12WNuw04xgno9JseVyuPRZh")</f>
        <v>https://drive.google.com/open?id=10biL2L-Yv12WNuw04xgno9JseVyuPRZh</v>
      </c>
      <c r="AA183" s="42" t="s">
        <v>44</v>
      </c>
      <c r="AB183" s="5"/>
    </row>
    <row r="184">
      <c r="A184" s="4">
        <f>IFERROR(__xludf.DUMMYFUNCTION("""COMPUTED_VALUE"""),46266.863294999996)</f>
        <v>46266.8633</v>
      </c>
      <c r="B184" s="5" t="str">
        <f>IFERROR(__xludf.DUMMYFUNCTION("""COMPUTED_VALUE"""),"daprianti596@gmail.com")</f>
        <v>daprianti596@gmail.com</v>
      </c>
      <c r="C184" s="5" t="str">
        <f>IFERROR(__xludf.DUMMYFUNCTION("""COMPUTED_VALUE"""),"Desi Aprianti, S.Pd., Gr., M.Pd.")</f>
        <v>Desi Aprianti, S.Pd., Gr., M.Pd.</v>
      </c>
      <c r="D184" s="5">
        <f>IFERROR(__xludf.DUMMYFUNCTION("""COMPUTED_VALUE"""),7.000076889E9)</f>
        <v>7000076889</v>
      </c>
      <c r="E184" s="5" t="str">
        <f>IFERROR(__xludf.DUMMYFUNCTION("""COMPUTED_VALUE"""),"082378459973")</f>
        <v>082378459973</v>
      </c>
      <c r="F184" s="7">
        <f>IFERROR(__xludf.DUMMYFUNCTION("""COMPUTED_VALUE"""),36618.0)</f>
        <v>36618</v>
      </c>
      <c r="G184" s="5" t="str">
        <f>IFERROR(__xludf.DUMMYFUNCTION("""COMPUTED_VALUE"""),"Pendidikan IPA")</f>
        <v>Pendidikan IPA</v>
      </c>
      <c r="H184" s="5" t="str">
        <f>IFERROR(__xludf.DUMMYFUNCTION("""COMPUTED_VALUE"""),"UNIVERSITAS BENGKULU")</f>
        <v>UNIVERSITAS BENGKULU</v>
      </c>
      <c r="I184" s="5" t="str">
        <f>IFERROR(__xludf.DUMMYFUNCTION("""COMPUTED_VALUE"""),"Pendidikan Guru Sekolah Dasar (PGSD)")</f>
        <v>Pendidikan Guru Sekolah Dasar (PGSD)</v>
      </c>
      <c r="J184" s="5" t="str">
        <f>IFERROR(__xludf.DUMMYFUNCTION("""COMPUTED_VALUE"""),"PPG Prajabatan Gelombang 1 Tahun 2024")</f>
        <v>PPG Prajabatan Gelombang 1 Tahun 2024</v>
      </c>
      <c r="K184" s="5">
        <f>IFERROR(__xludf.DUMMYFUNCTION("""COMPUTED_VALUE"""),2024.0)</f>
        <v>2024</v>
      </c>
      <c r="L184" s="8" t="str">
        <f>IFERROR(__xludf.DUMMYFUNCTION("""COMPUTED_VALUE"""),"3.72")</f>
        <v>3.72</v>
      </c>
      <c r="M184" s="5" t="str">
        <f>IFERROR(__xludf.DUMMYFUNCTION("""COMPUTED_VALUE"""),"3.99")</f>
        <v>3.99</v>
      </c>
      <c r="N184" s="5" t="str">
        <f>IFERROR(__xludf.DUMMYFUNCTION("""COMPUTED_VALUE"""),"Kota Bengkulu, Bengkulu")</f>
        <v>Kota Bengkulu, Bengkulu</v>
      </c>
      <c r="O184" s="5" t="str">
        <f>IFERROR(__xludf.DUMMYFUNCTION("""COMPUTED_VALUE"""),"Tidak")</f>
        <v>Tidak</v>
      </c>
      <c r="P184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184" s="5"/>
      <c r="R184" s="11" t="str">
        <f>IFERROR(__xludf.DUMMYFUNCTION("""COMPUTED_VALUE"""),"https://drive.google.com/file/d/135s2eY1pnAEWfIfOiMIwnJXlWbqMIkCP/view?usp=sharing")</f>
        <v>https://drive.google.com/file/d/135s2eY1pnAEWfIfOiMIwnJXlWbqMIkCP/view?usp=sharing</v>
      </c>
      <c r="S184" s="11" t="str">
        <f>IFERROR(__xludf.DUMMYFUNCTION("""COMPUTED_VALUE"""),"https://drive.google.com/file/d/1jfu9QLcFkUIRToh11Ezjc2rHHgjxXIzl/view?usp=drivesdk")</f>
        <v>https://drive.google.com/file/d/1jfu9QLcFkUIRToh11Ezjc2rHHgjxXIzl/view?usp=drivesdk</v>
      </c>
      <c r="T184" s="5" t="str">
        <f>IFERROR(__xludf.DUMMYFUNCTION("""COMPUTED_VALUE"""),"Lainnya")</f>
        <v>Lainnya</v>
      </c>
      <c r="U184" s="5"/>
      <c r="V184" s="5"/>
      <c r="W184" s="5"/>
      <c r="X184" s="5"/>
      <c r="Y184" s="5"/>
      <c r="Z184" s="11" t="str">
        <f>IFERROR(__xludf.DUMMYFUNCTION("""COMPUTED_VALUE"""),"https://drive.google.com/open?id=1v0OvSZeu0kAF5sP-dxp4DA3fI3GPwDUf")</f>
        <v>https://drive.google.com/open?id=1v0OvSZeu0kAF5sP-dxp4DA3fI3GPwDUf</v>
      </c>
      <c r="AA184" s="42" t="s">
        <v>44</v>
      </c>
      <c r="AB184" s="5"/>
    </row>
    <row r="185">
      <c r="A185" s="4">
        <f>IFERROR(__xludf.DUMMYFUNCTION("""COMPUTED_VALUE"""),46266.863489351854)</f>
        <v>46266.86349</v>
      </c>
      <c r="B185" s="5" t="str">
        <f>IFERROR(__xludf.DUMMYFUNCTION("""COMPUTED_VALUE"""),"fianazulfa11@gmail.com")</f>
        <v>fianazulfa11@gmail.com</v>
      </c>
      <c r="C185" s="5" t="str">
        <f>IFERROR(__xludf.DUMMYFUNCTION("""COMPUTED_VALUE"""),"Siti Alfiana Zulfa S.Pd, Gr")</f>
        <v>Siti Alfiana Zulfa S.Pd, Gr</v>
      </c>
      <c r="D185" s="5">
        <f>IFERROR(__xludf.DUMMYFUNCTION("""COMPUTED_VALUE"""),7.000146358E9)</f>
        <v>7000146358</v>
      </c>
      <c r="E185" s="5" t="str">
        <f>IFERROR(__xludf.DUMMYFUNCTION("""COMPUTED_VALUE"""),"088221270774")</f>
        <v>088221270774</v>
      </c>
      <c r="F185" s="7">
        <f>IFERROR(__xludf.DUMMYFUNCTION("""COMPUTED_VALUE"""),37057.0)</f>
        <v>37057</v>
      </c>
      <c r="G185" s="5" t="str">
        <f>IFERROR(__xludf.DUMMYFUNCTION("""COMPUTED_VALUE"""),"Pendidikan IPA")</f>
        <v>Pendidikan IPA</v>
      </c>
      <c r="H185" s="5" t="str">
        <f>IFERROR(__xludf.DUMMYFUNCTION("""COMPUTED_VALUE"""),"UIN Sunan Kudus")</f>
        <v>UIN Sunan Kudus</v>
      </c>
      <c r="I185" s="5" t="str">
        <f>IFERROR(__xludf.DUMMYFUNCTION("""COMPUTED_VALUE"""),"Ilmu Pengetahuan Alam (IPA)")</f>
        <v>Ilmu Pengetahuan Alam (IPA)</v>
      </c>
      <c r="J185" s="5" t="str">
        <f>IFERROR(__xludf.DUMMYFUNCTION("""COMPUTED_VALUE"""),"PPG Prajabatan Gelombang 1 Tahun 2023")</f>
        <v>PPG Prajabatan Gelombang 1 Tahun 2023</v>
      </c>
      <c r="K185" s="5">
        <f>IFERROR(__xludf.DUMMYFUNCTION("""COMPUTED_VALUE"""),2024.0)</f>
        <v>2024</v>
      </c>
      <c r="L185" s="8" t="str">
        <f>IFERROR(__xludf.DUMMYFUNCTION("""COMPUTED_VALUE"""),"3.84")</f>
        <v>3.84</v>
      </c>
      <c r="M185" s="5" t="str">
        <f>IFERROR(__xludf.DUMMYFUNCTION("""COMPUTED_VALUE"""),"4.00")</f>
        <v>4.00</v>
      </c>
      <c r="N185" s="5" t="str">
        <f>IFERROR(__xludf.DUMMYFUNCTION("""COMPUTED_VALUE"""),"Grobogan, Jawa Tengah")</f>
        <v>Grobogan, Jawa Tengah</v>
      </c>
      <c r="O185" s="5" t="str">
        <f>IFERROR(__xludf.DUMMYFUNCTION("""COMPUTED_VALUE"""),"Tidak")</f>
        <v>Tidak</v>
      </c>
      <c r="P185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185" s="5"/>
      <c r="R185" s="11" t="str">
        <f>IFERROR(__xludf.DUMMYFUNCTION("""COMPUTED_VALUE"""),"https://drive.google.com/drive/folders/1BOLsbpZenoUTbTOk1887z8HGqXUo-DJ1")</f>
        <v>https://drive.google.com/drive/folders/1BOLsbpZenoUTbTOk1887z8HGqXUo-DJ1</v>
      </c>
      <c r="S185" s="11" t="str">
        <f>IFERROR(__xludf.DUMMYFUNCTION("""COMPUTED_VALUE"""),"https://drive.google.com/file/d/15DvaHVYPeSBauHFW_AUm0GxGrFWrx0UA/view?usp=drivesdk")</f>
        <v>https://drive.google.com/file/d/15DvaHVYPeSBauHFW_AUm0GxGrFWrx0UA/view?usp=drivesdk</v>
      </c>
      <c r="T185" s="5" t="str">
        <f>IFERROR(__xludf.DUMMYFUNCTION("""COMPUTED_VALUE"""),"Lainnya")</f>
        <v>Lainnya</v>
      </c>
      <c r="U185" s="5"/>
      <c r="V185" s="5"/>
      <c r="W185" s="5"/>
      <c r="X185" s="5"/>
      <c r="Y185" s="5"/>
      <c r="Z185" s="11" t="str">
        <f>IFERROR(__xludf.DUMMYFUNCTION("""COMPUTED_VALUE"""),"https://drive.google.com/open?id=1Ly0YqjhuygZ9yiU9FdUIthfmXv-qtJiQ")</f>
        <v>https://drive.google.com/open?id=1Ly0YqjhuygZ9yiU9FdUIthfmXv-qtJiQ</v>
      </c>
      <c r="AA185" s="42" t="s">
        <v>44</v>
      </c>
      <c r="AB185" s="5"/>
    </row>
    <row r="186">
      <c r="A186" s="4">
        <f>IFERROR(__xludf.DUMMYFUNCTION("""COMPUTED_VALUE"""),46266.890165729164)</f>
        <v>46266.89017</v>
      </c>
      <c r="B186" s="5" t="str">
        <f>IFERROR(__xludf.DUMMYFUNCTION("""COMPUTED_VALUE"""),"reyneldaadmar47@gmail.com")</f>
        <v>reyneldaadmar47@gmail.com</v>
      </c>
      <c r="C186" s="5" t="str">
        <f>IFERROR(__xludf.DUMMYFUNCTION("""COMPUTED_VALUE"""),"Reynelda Admar Bartha, S.Pd., Gr")</f>
        <v>Reynelda Admar Bartha, S.Pd., Gr</v>
      </c>
      <c r="D186" s="5"/>
      <c r="E186" s="5" t="str">
        <f>IFERROR(__xludf.DUMMYFUNCTION("""COMPUTED_VALUE"""),"085341982105")</f>
        <v>085341982105</v>
      </c>
      <c r="F186" s="7">
        <f>IFERROR(__xludf.DUMMYFUNCTION("""COMPUTED_VALUE"""),37471.0)</f>
        <v>37471</v>
      </c>
      <c r="G186" s="5" t="str">
        <f>IFERROR(__xludf.DUMMYFUNCTION("""COMPUTED_VALUE"""),"Pendidikan Bahasa Inggris")</f>
        <v>Pendidikan Bahasa Inggris</v>
      </c>
      <c r="H186" s="5" t="str">
        <f>IFERROR(__xludf.DUMMYFUNCTION("""COMPUTED_VALUE"""),"Universitas Kristen Indonesja Toraja")</f>
        <v>Universitas Kristen Indonesja Toraja</v>
      </c>
      <c r="I186" s="5" t="str">
        <f>IFERROR(__xludf.DUMMYFUNCTION("""COMPUTED_VALUE"""),"Pendidikan Guru Sekolah Dasar (PGSD)")</f>
        <v>Pendidikan Guru Sekolah Dasar (PGSD)</v>
      </c>
      <c r="J186" s="5" t="str">
        <f>IFERROR(__xludf.DUMMYFUNCTION("""COMPUTED_VALUE"""),"PPG Calon Guru Gelombang 2 Tahun 2024")</f>
        <v>PPG Calon Guru Gelombang 2 Tahun 2024</v>
      </c>
      <c r="K186" s="5">
        <f>IFERROR(__xludf.DUMMYFUNCTION("""COMPUTED_VALUE"""),2026.0)</f>
        <v>2026</v>
      </c>
      <c r="L186" s="8" t="str">
        <f>IFERROR(__xludf.DUMMYFUNCTION("""COMPUTED_VALUE"""),"3.64")</f>
        <v>3.64</v>
      </c>
      <c r="M186" s="5" t="str">
        <f>IFERROR(__xludf.DUMMYFUNCTION("""COMPUTED_VALUE"""),"-")</f>
        <v>-</v>
      </c>
      <c r="N186" s="5" t="str">
        <f>IFERROR(__xludf.DUMMYFUNCTION("""COMPUTED_VALUE"""),"Toraja,Sulawesi Selatan")</f>
        <v>Toraja,Sulawesi Selatan</v>
      </c>
      <c r="O186" s="5" t="str">
        <f>IFERROR(__xludf.DUMMYFUNCTION("""COMPUTED_VALUE"""),"Tidak")</f>
        <v>Tidak</v>
      </c>
      <c r="P186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186" s="5"/>
      <c r="R186" s="5" t="str">
        <f>IFERROR(__xludf.DUMMYFUNCTION("""COMPUTED_VALUE"""),"-")</f>
        <v>-</v>
      </c>
      <c r="S186" s="11" t="str">
        <f>IFERROR(__xludf.DUMMYFUNCTION("""COMPUTED_VALUE"""),"https://drive.google.com/file/d/1TSMxPbSYCE-wGzRrKrkCo5WhXMY4oK6Y/view?usp=drivesdk")</f>
        <v>https://drive.google.com/file/d/1TSMxPbSYCE-wGzRrKrkCo5WhXMY4oK6Y/view?usp=drivesdk</v>
      </c>
      <c r="T186" s="5" t="str">
        <f>IFERROR(__xludf.DUMMYFUNCTION("""COMPUTED_VALUE"""),"Lainnya")</f>
        <v>Lainnya</v>
      </c>
      <c r="U186" s="5"/>
      <c r="V186" s="5"/>
      <c r="W186" s="5"/>
      <c r="X186" s="5"/>
      <c r="Y186" s="5"/>
      <c r="Z186" s="11" t="str">
        <f>IFERROR(__xludf.DUMMYFUNCTION("""COMPUTED_VALUE"""),"https://drive.google.com/open?id=1lPLcJeflAkOP4t5DkRolkpH8Hh6VBEyL")</f>
        <v>https://drive.google.com/open?id=1lPLcJeflAkOP4t5DkRolkpH8Hh6VBEyL</v>
      </c>
      <c r="AA186" s="42" t="s">
        <v>54</v>
      </c>
      <c r="AB186" s="42" t="s">
        <v>2439</v>
      </c>
    </row>
    <row r="187">
      <c r="A187" s="4">
        <f>IFERROR(__xludf.DUMMYFUNCTION("""COMPUTED_VALUE"""),46266.90977841435)</f>
        <v>46266.90978</v>
      </c>
      <c r="B187" s="5" t="str">
        <f>IFERROR(__xludf.DUMMYFUNCTION("""COMPUTED_VALUE"""),"afadholi43@gmail.com")</f>
        <v>afadholi43@gmail.com</v>
      </c>
      <c r="C187" s="5" t="str">
        <f>IFERROR(__xludf.DUMMYFUNCTION("""COMPUTED_VALUE"""),"Ahmad Fadholi, S.Pd., Gr.")</f>
        <v>Ahmad Fadholi, S.Pd., Gr.</v>
      </c>
      <c r="D187" s="5"/>
      <c r="E187" s="5" t="str">
        <f>IFERROR(__xludf.DUMMYFUNCTION("""COMPUTED_VALUE"""),"089689063702")</f>
        <v>089689063702</v>
      </c>
      <c r="F187" s="7">
        <f>IFERROR(__xludf.DUMMYFUNCTION("""COMPUTED_VALUE"""),34941.0)</f>
        <v>34941</v>
      </c>
      <c r="G187" s="5" t="str">
        <f>IFERROR(__xludf.DUMMYFUNCTION("""COMPUTED_VALUE"""),"Pendidikan Agama Islam")</f>
        <v>Pendidikan Agama Islam</v>
      </c>
      <c r="H187" s="5" t="str">
        <f>IFERROR(__xludf.DUMMYFUNCTION("""COMPUTED_VALUE"""),"Universitas Islam Nahdlatul Ulama Jepara")</f>
        <v>Universitas Islam Nahdlatul Ulama Jepara</v>
      </c>
      <c r="I187" s="5" t="str">
        <f>IFERROR(__xludf.DUMMYFUNCTION("""COMPUTED_VALUE"""),"Pendidikan Guru Sekolah Dasar (PGSD)")</f>
        <v>Pendidikan Guru Sekolah Dasar (PGSD)</v>
      </c>
      <c r="J187" s="5" t="str">
        <f>IFERROR(__xludf.DUMMYFUNCTION("""COMPUTED_VALUE"""),"PPG Calon Guru Gelombang 2 Tahun 2024")</f>
        <v>PPG Calon Guru Gelombang 2 Tahun 2024</v>
      </c>
      <c r="K187" s="5">
        <f>IFERROR(__xludf.DUMMYFUNCTION("""COMPUTED_VALUE"""),2025.0)</f>
        <v>2025</v>
      </c>
      <c r="L187" s="8" t="str">
        <f>IFERROR(__xludf.DUMMYFUNCTION("""COMPUTED_VALUE"""),"3.93")</f>
        <v>3.93</v>
      </c>
      <c r="M187" s="5" t="str">
        <f>IFERROR(__xludf.DUMMYFUNCTION("""COMPUTED_VALUE"""),"4.00")</f>
        <v>4.00</v>
      </c>
      <c r="N187" s="5" t="str">
        <f>IFERROR(__xludf.DUMMYFUNCTION("""COMPUTED_VALUE"""),"Kabupaten Jepara, Jawa Tengah")</f>
        <v>Kabupaten Jepara, Jawa Tengah</v>
      </c>
      <c r="O187" s="5" t="str">
        <f>IFERROR(__xludf.DUMMYFUNCTION("""COMPUTED_VALUE"""),"Tidak")</f>
        <v>Tidak</v>
      </c>
      <c r="P187" s="5" t="str">
        <f>IFERROR(__xludf.DUMMYFUNCTION("""COMPUTED_VALUE"""),"Kabupaten Jepara - Tenaga pendampingan pembelajaran mata pelajaran Pendidikan Agama Islam")</f>
        <v>Kabupaten Jepara - Tenaga pendampingan pembelajaran mata pelajaran Pendidikan Agama Islam</v>
      </c>
      <c r="Q187" s="5"/>
      <c r="R187" s="5" t="str">
        <f>IFERROR(__xludf.DUMMYFUNCTION("""COMPUTED_VALUE"""),"-")</f>
        <v>-</v>
      </c>
      <c r="S187" s="11" t="str">
        <f>IFERROR(__xludf.DUMMYFUNCTION("""COMPUTED_VALUE"""),"https://drive.google.com/file/d/1Z0OtvaaPj_hoVvHlUmcOKq1RJZ8us2f0/view?usp=sharing ")</f>
        <v>https://drive.google.com/file/d/1Z0OtvaaPj_hoVvHlUmcOKq1RJZ8us2f0/view?usp=sharing </v>
      </c>
      <c r="T187" s="5" t="str">
        <f>IFERROR(__xludf.DUMMYFUNCTION("""COMPUTED_VALUE"""),"Lainnya")</f>
        <v>Lainnya</v>
      </c>
      <c r="U187" s="5"/>
      <c r="V187" s="5"/>
      <c r="W187" s="5"/>
      <c r="X187" s="5"/>
      <c r="Y187" s="5"/>
      <c r="Z187" s="11" t="str">
        <f>IFERROR(__xludf.DUMMYFUNCTION("""COMPUTED_VALUE"""),"https://drive.google.com/open?id=1BNPA1Mbkwluk1NfmGRRYFVZPuP-F0Fmx")</f>
        <v>https://drive.google.com/open?id=1BNPA1Mbkwluk1NfmGRRYFVZPuP-F0Fmx</v>
      </c>
      <c r="AA187" s="42" t="s">
        <v>44</v>
      </c>
      <c r="AB187" s="5"/>
    </row>
    <row r="188">
      <c r="A188" s="4">
        <f>IFERROR(__xludf.DUMMYFUNCTION("""COMPUTED_VALUE"""),46267.288681759266)</f>
        <v>46267.28868</v>
      </c>
      <c r="B188" s="5" t="str">
        <f>IFERROR(__xludf.DUMMYFUNCTION("""COMPUTED_VALUE"""),"nurramadanif@gmail.com")</f>
        <v>nurramadanif@gmail.com</v>
      </c>
      <c r="C188" s="5" t="str">
        <f>IFERROR(__xludf.DUMMYFUNCTION("""COMPUTED_VALUE"""),"Nur Ramadani Fitri, S.Tr.T., Gr.")</f>
        <v>Nur Ramadani Fitri, S.Tr.T., Gr.</v>
      </c>
      <c r="D188" s="5">
        <f>IFERROR(__xludf.DUMMYFUNCTION("""COMPUTED_VALUE"""),7.000251901E9)</f>
        <v>7000251901</v>
      </c>
      <c r="E188" s="5" t="str">
        <f>IFERROR(__xludf.DUMMYFUNCTION("""COMPUTED_VALUE"""),"082283876650")</f>
        <v>082283876650</v>
      </c>
      <c r="F188" s="7">
        <f>IFERROR(__xludf.DUMMYFUNCTION("""COMPUTED_VALUE"""),36885.0)</f>
        <v>36885</v>
      </c>
      <c r="G188" s="5" t="str">
        <f>IFERROR(__xludf.DUMMYFUNCTION("""COMPUTED_VALUE"""),"D4 - Teknologi Rekayasa Kimia Industri")</f>
        <v>D4 - Teknologi Rekayasa Kimia Industri</v>
      </c>
      <c r="H188" s="5" t="str">
        <f>IFERROR(__xludf.DUMMYFUNCTION("""COMPUTED_VALUE"""),"Universitas Diponegoro")</f>
        <v>Universitas Diponegoro</v>
      </c>
      <c r="I188" s="5" t="str">
        <f>IFERROR(__xludf.DUMMYFUNCTION("""COMPUTED_VALUE"""),"Kimia Analisis")</f>
        <v>Kimia Analisis</v>
      </c>
      <c r="J188" s="5" t="str">
        <f>IFERROR(__xludf.DUMMYFUNCTION("""COMPUTED_VALUE"""),"PPG Calon Guru Gelombang 2 Tahun 2024")</f>
        <v>PPG Calon Guru Gelombang 2 Tahun 2024</v>
      </c>
      <c r="K188" s="5">
        <f>IFERROR(__xludf.DUMMYFUNCTION("""COMPUTED_VALUE"""),2025.0)</f>
        <v>2025</v>
      </c>
      <c r="L188" s="8" t="str">
        <f>IFERROR(__xludf.DUMMYFUNCTION("""COMPUTED_VALUE"""),"3.71")</f>
        <v>3.71</v>
      </c>
      <c r="M188" s="5" t="str">
        <f>IFERROR(__xludf.DUMMYFUNCTION("""COMPUTED_VALUE"""),"3.90")</f>
        <v>3.90</v>
      </c>
      <c r="N188" s="5" t="str">
        <f>IFERROR(__xludf.DUMMYFUNCTION("""COMPUTED_VALUE"""),"Solok Selatan, Sumatera Barat")</f>
        <v>Solok Selatan, Sumatera Barat</v>
      </c>
      <c r="O188" s="5" t="str">
        <f>IFERROR(__xludf.DUMMYFUNCTION("""COMPUTED_VALUE"""),"Tidak")</f>
        <v>Tidak</v>
      </c>
      <c r="P188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188" s="5"/>
      <c r="R188" s="11" t="str">
        <f>IFERROR(__xludf.DUMMYFUNCTION("""COMPUTED_VALUE"""),"https://drive.google.com/drive/folders/1I6nLkdMZqvJAU2L43X-kVh_2_sopTxj3")</f>
        <v>https://drive.google.com/drive/folders/1I6nLkdMZqvJAU2L43X-kVh_2_sopTxj3</v>
      </c>
      <c r="S188" s="11" t="str">
        <f>IFERROR(__xludf.DUMMYFUNCTION("""COMPUTED_VALUE"""),"https://drive.google.com/file/d/1mqHsEuBiuAkI9IQqrp9iBb4ZzPvSo2Hw/view?usp=drivesdk")</f>
        <v>https://drive.google.com/file/d/1mqHsEuBiuAkI9IQqrp9iBb4ZzPvSo2Hw/view?usp=drivesdk</v>
      </c>
      <c r="T188" s="5" t="str">
        <f>IFERROR(__xludf.DUMMYFUNCTION("""COMPUTED_VALUE"""),"Lainnya")</f>
        <v>Lainnya</v>
      </c>
      <c r="U188" s="5"/>
      <c r="V188" s="5"/>
      <c r="W188" s="5"/>
      <c r="X188" s="5"/>
      <c r="Y188" s="5"/>
      <c r="Z188" s="11" t="str">
        <f>IFERROR(__xludf.DUMMYFUNCTION("""COMPUTED_VALUE"""),"https://drive.google.com/open?id=10RytqU2OVz93cUkyObN9Lrv3Oip_nEsg")</f>
        <v>https://drive.google.com/open?id=10RytqU2OVz93cUkyObN9Lrv3Oip_nEsg</v>
      </c>
      <c r="AA188" s="42" t="s">
        <v>44</v>
      </c>
      <c r="AB188" s="5"/>
    </row>
    <row r="189">
      <c r="A189" s="4">
        <f>IFERROR(__xludf.DUMMYFUNCTION("""COMPUTED_VALUE"""),46267.31852922453)</f>
        <v>46267.31853</v>
      </c>
      <c r="B189" s="5" t="str">
        <f>IFERROR(__xludf.DUMMYFUNCTION("""COMPUTED_VALUE"""),"zahratul186@gmail.com")</f>
        <v>zahratul186@gmail.com</v>
      </c>
      <c r="C189" s="5" t="str">
        <f>IFERROR(__xludf.DUMMYFUNCTION("""COMPUTED_VALUE"""),"ZAHRATUL JANNAH, S.Si.")</f>
        <v>ZAHRATUL JANNAH, S.Si.</v>
      </c>
      <c r="D189" s="5">
        <f>IFERROR(__xludf.DUMMYFUNCTION("""COMPUTED_VALUE"""),2.02000887457E11)</f>
        <v>202000887457</v>
      </c>
      <c r="E189" s="5" t="str">
        <f>IFERROR(__xludf.DUMMYFUNCTION("""COMPUTED_VALUE"""),"082213770205")</f>
        <v>082213770205</v>
      </c>
      <c r="F189" s="7">
        <f>IFERROR(__xludf.DUMMYFUNCTION("""COMPUTED_VALUE"""),35647.0)</f>
        <v>35647</v>
      </c>
      <c r="G189" s="5" t="str">
        <f>IFERROR(__xludf.DUMMYFUNCTION("""COMPUTED_VALUE"""),"Biologi")</f>
        <v>Biologi</v>
      </c>
      <c r="H189" s="5" t="str">
        <f>IFERROR(__xludf.DUMMYFUNCTION("""COMPUTED_VALUE"""),"Universitas Syiah Kuala")</f>
        <v>Universitas Syiah Kuala</v>
      </c>
      <c r="I189" s="5" t="str">
        <f>IFERROR(__xludf.DUMMYFUNCTION("""COMPUTED_VALUE"""),"Biologi")</f>
        <v>Biologi</v>
      </c>
      <c r="J189" s="5" t="str">
        <f>IFERROR(__xludf.DUMMYFUNCTION("""COMPUTED_VALUE"""),"Lainnya")</f>
        <v>Lainnya</v>
      </c>
      <c r="K189" s="5">
        <f>IFERROR(__xludf.DUMMYFUNCTION("""COMPUTED_VALUE"""),2025.0)</f>
        <v>2025</v>
      </c>
      <c r="L189" s="8" t="str">
        <f>IFERROR(__xludf.DUMMYFUNCTION("""COMPUTED_VALUE"""),"2.96")</f>
        <v>2.96</v>
      </c>
      <c r="M189" s="5" t="str">
        <f>IFERROR(__xludf.DUMMYFUNCTION("""COMPUTED_VALUE"""),"-")</f>
        <v>-</v>
      </c>
      <c r="N189" s="5" t="str">
        <f>IFERROR(__xludf.DUMMYFUNCTION("""COMPUTED_VALUE"""),"KABUPATEN SIMEULUE")</f>
        <v>KABUPATEN SIMEULUE</v>
      </c>
      <c r="O189" s="5" t="str">
        <f>IFERROR(__xludf.DUMMYFUNCTION("""COMPUTED_VALUE"""),"Tidak")</f>
        <v>Tidak</v>
      </c>
      <c r="P189" s="5" t="str">
        <f>IFERROR(__xludf.DUMMYFUNCTION("""COMPUTED_VALUE"""),"Kabupaten Jepara - Tenaga pendampingan pembelajaran mata pelajaran Pendidikan Agama Islam")</f>
        <v>Kabupaten Jepara - Tenaga pendampingan pembelajaran mata pelajaran Pendidikan Agama Islam</v>
      </c>
      <c r="Q189" s="5"/>
      <c r="R189" s="5" t="str">
        <f>IFERROR(__xludf.DUMMYFUNCTION("""COMPUTED_VALUE"""),"-")</f>
        <v>-</v>
      </c>
      <c r="S189" s="11" t="str">
        <f>IFERROR(__xludf.DUMMYFUNCTION("""COMPUTED_VALUE"""),"https://drive.google.com/file/d/1-E6elHxJDXxCqW0udD7ymA9ux653j06c/view?usp=drivesdk")</f>
        <v>https://drive.google.com/file/d/1-E6elHxJDXxCqW0udD7ymA9ux653j06c/view?usp=drivesdk</v>
      </c>
      <c r="T189" s="5" t="str">
        <f>IFERROR(__xludf.DUMMYFUNCTION("""COMPUTED_VALUE"""),"Lainnya")</f>
        <v>Lainnya</v>
      </c>
      <c r="U189" s="5"/>
      <c r="V189" s="5"/>
      <c r="W189" s="5"/>
      <c r="X189" s="5"/>
      <c r="Y189" s="5"/>
      <c r="Z189" s="11" t="str">
        <f>IFERROR(__xludf.DUMMYFUNCTION("""COMPUTED_VALUE"""),"https://drive.google.com/open?id=1ob8mAKiXrDZQtJQapkC2gNfYon89bQnI")</f>
        <v>https://drive.google.com/open?id=1ob8mAKiXrDZQtJQapkC2gNfYon89bQnI</v>
      </c>
      <c r="AA189" s="42" t="s">
        <v>54</v>
      </c>
      <c r="AB189" s="42" t="s">
        <v>2621</v>
      </c>
    </row>
    <row r="190">
      <c r="A190" s="4">
        <f>IFERROR(__xludf.DUMMYFUNCTION("""COMPUTED_VALUE"""),46267.456403564815)</f>
        <v>46267.4564</v>
      </c>
      <c r="B190" s="5" t="str">
        <f>IFERROR(__xludf.DUMMYFUNCTION("""COMPUTED_VALUE"""),"hatta.dinata1@gmail.com")</f>
        <v>hatta.dinata1@gmail.com</v>
      </c>
      <c r="C190" s="5" t="str">
        <f>IFERROR(__xludf.DUMMYFUNCTION("""COMPUTED_VALUE"""),"HATTA DINATA")</f>
        <v>HATTA DINATA</v>
      </c>
      <c r="D190" s="5"/>
      <c r="E190" s="5" t="str">
        <f>IFERROR(__xludf.DUMMYFUNCTION("""COMPUTED_VALUE"""),"085270650072")</f>
        <v>085270650072</v>
      </c>
      <c r="F190" s="7">
        <f>IFERROR(__xludf.DUMMYFUNCTION("""COMPUTED_VALUE"""),34858.0)</f>
        <v>34858</v>
      </c>
      <c r="G190" s="5" t="str">
        <f>IFERROR(__xludf.DUMMYFUNCTION("""COMPUTED_VALUE"""),"AKUNTANSI PERPAJAKAN")</f>
        <v>AKUNTANSI PERPAJAKAN</v>
      </c>
      <c r="H190" s="5" t="str">
        <f>IFERROR(__xludf.DUMMYFUNCTION("""COMPUTED_VALUE"""),"POLITEKNIK UNGGUL LP3M")</f>
        <v>POLITEKNIK UNGGUL LP3M</v>
      </c>
      <c r="I190" s="5" t="str">
        <f>IFERROR(__xludf.DUMMYFUNCTION("""COMPUTED_VALUE"""),"Akuntansi dan Keuangan")</f>
        <v>Akuntansi dan Keuangan</v>
      </c>
      <c r="J190" s="5" t="str">
        <f>IFERROR(__xludf.DUMMYFUNCTION("""COMPUTED_VALUE"""),"Lainnya")</f>
        <v>Lainnya</v>
      </c>
      <c r="K190" s="5">
        <f>IFERROR(__xludf.DUMMYFUNCTION("""COMPUTED_VALUE"""),2025.0)</f>
        <v>2025</v>
      </c>
      <c r="L190" s="8" t="str">
        <f>IFERROR(__xludf.DUMMYFUNCTION("""COMPUTED_VALUE"""),"3.36")</f>
        <v>3.36</v>
      </c>
      <c r="M190" s="5" t="str">
        <f>IFERROR(__xludf.DUMMYFUNCTION("""COMPUTED_VALUE"""),"3.50")</f>
        <v>3.50</v>
      </c>
      <c r="N190" s="5" t="str">
        <f>IFERROR(__xludf.DUMMYFUNCTION("""COMPUTED_VALUE"""),"MEDAN")</f>
        <v>MEDAN</v>
      </c>
      <c r="O190" s="5" t="str">
        <f>IFERROR(__xludf.DUMMYFUNCTION("""COMPUTED_VALUE"""),"Tidak")</f>
        <v>Tidak</v>
      </c>
      <c r="P190" s="5" t="str">
        <f>IFERROR(__xludf.DUMMYFUNCTION("""COMPUTED_VALUE"""),"Kabupaten Buton Tengah - Tenaga pendampingan pembelajaran mata pelajaran Ekonomi")</f>
        <v>Kabupaten Buton Tengah - Tenaga pendampingan pembelajaran mata pelajaran Ekonomi</v>
      </c>
      <c r="Q190" s="5"/>
      <c r="R190" s="5" t="str">
        <f>IFERROR(__xludf.DUMMYFUNCTION("""COMPUTED_VALUE"""),"-")</f>
        <v>-</v>
      </c>
      <c r="S190" s="11" t="str">
        <f>IFERROR(__xludf.DUMMYFUNCTION("""COMPUTED_VALUE"""),"https://drive.google.com/file/d/1n2WAyt9F20OXDGt_kHtZrYIWrFHd46Gv/view?usp=drive_link")</f>
        <v>https://drive.google.com/file/d/1n2WAyt9F20OXDGt_kHtZrYIWrFHd46Gv/view?usp=drive_link</v>
      </c>
      <c r="T190" s="5" t="str">
        <f>IFERROR(__xludf.DUMMYFUNCTION("""COMPUTED_VALUE"""),"Lainnya")</f>
        <v>Lainnya</v>
      </c>
      <c r="U190" s="5"/>
      <c r="V190" s="5"/>
      <c r="W190" s="5"/>
      <c r="X190" s="5"/>
      <c r="Y190" s="5"/>
      <c r="Z190" s="11" t="str">
        <f>IFERROR(__xludf.DUMMYFUNCTION("""COMPUTED_VALUE"""),"https://drive.google.com/open?id=1Tero7wxuYRFJD15Nwjf-mpzKUdENWFSi")</f>
        <v>https://drive.google.com/open?id=1Tero7wxuYRFJD15Nwjf-mpzKUdENWFSi</v>
      </c>
      <c r="AA190" s="42" t="s">
        <v>44</v>
      </c>
      <c r="AB190" s="5"/>
    </row>
    <row r="191">
      <c r="A191" s="4">
        <f>IFERROR(__xludf.DUMMYFUNCTION("""COMPUTED_VALUE"""),46267.467628784725)</f>
        <v>46267.46763</v>
      </c>
      <c r="B191" s="5" t="str">
        <f>IFERROR(__xludf.DUMMYFUNCTION("""COMPUTED_VALUE"""),"deliepde93@gmail.com")</f>
        <v>deliepde93@gmail.com</v>
      </c>
      <c r="C191" s="5" t="str">
        <f>IFERROR(__xludf.DUMMYFUNCTION("""COMPUTED_VALUE"""),"Laela Noor Fa'izah, S.Pd, M.Pd. Gr")</f>
        <v>Laela Noor Fa'izah, S.Pd, M.Pd. Gr</v>
      </c>
      <c r="D191" s="5">
        <f>IFERROR(__xludf.DUMMYFUNCTION("""COMPUTED_VALUE"""),2.02100315822E11)</f>
        <v>202100315822</v>
      </c>
      <c r="E191" s="5" t="str">
        <f>IFERROR(__xludf.DUMMYFUNCTION("""COMPUTED_VALUE"""),"085741353335")</f>
        <v>085741353335</v>
      </c>
      <c r="F191" s="7">
        <f>IFERROR(__xludf.DUMMYFUNCTION("""COMPUTED_VALUE"""),34286.0)</f>
        <v>34286</v>
      </c>
      <c r="G191" s="5" t="str">
        <f>IFERROR(__xludf.DUMMYFUNCTION("""COMPUTED_VALUE"""),"Pendidikan Biologi")</f>
        <v>Pendidikan Biologi</v>
      </c>
      <c r="H191" s="5" t="str">
        <f>IFERROR(__xludf.DUMMYFUNCTION("""COMPUTED_VALUE"""),"UIN Walisongo Semarang")</f>
        <v>UIN Walisongo Semarang</v>
      </c>
      <c r="I191" s="5" t="str">
        <f>IFERROR(__xludf.DUMMYFUNCTION("""COMPUTED_VALUE"""),"Biologi")</f>
        <v>Biologi</v>
      </c>
      <c r="J191" s="5" t="str">
        <f>IFERROR(__xludf.DUMMYFUNCTION("""COMPUTED_VALUE"""),"Lainnya")</f>
        <v>Lainnya</v>
      </c>
      <c r="K191" s="5">
        <f>IFERROR(__xludf.DUMMYFUNCTION("""COMPUTED_VALUE"""),2024.0)</f>
        <v>2024</v>
      </c>
      <c r="L191" s="8" t="str">
        <f>IFERROR(__xludf.DUMMYFUNCTION("""COMPUTED_VALUE"""),"3.75")</f>
        <v>3.75</v>
      </c>
      <c r="M191" s="5" t="str">
        <f>IFERROR(__xludf.DUMMYFUNCTION("""COMPUTED_VALUE"""),"3")</f>
        <v>3</v>
      </c>
      <c r="N191" s="5" t="str">
        <f>IFERROR(__xludf.DUMMYFUNCTION("""COMPUTED_VALUE"""),"Kab. Jepara")</f>
        <v>Kab. Jepara</v>
      </c>
      <c r="O191" s="5" t="str">
        <f>IFERROR(__xludf.DUMMYFUNCTION("""COMPUTED_VALUE"""),"Tidak")</f>
        <v>Tidak</v>
      </c>
      <c r="P191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191" s="5"/>
      <c r="R191" s="11" t="str">
        <f>IFERROR(__xludf.DUMMYFUNCTION("""COMPUTED_VALUE"""),"https://drive.google.com/drive/folders/1LVjY_dM104LYW2SS6hI4p3y_74uBxRxg")</f>
        <v>https://drive.google.com/drive/folders/1LVjY_dM104LYW2SS6hI4p3y_74uBxRxg</v>
      </c>
      <c r="S191" s="11" t="str">
        <f>IFERROR(__xludf.DUMMYFUNCTION("""COMPUTED_VALUE"""),"https://youtu.be/hacGCThujds?si=TyXtnwvGHmLHWeEi")</f>
        <v>https://youtu.be/hacGCThujds?si=TyXtnwvGHmLHWeEi</v>
      </c>
      <c r="T191" s="5" t="str">
        <f>IFERROR(__xludf.DUMMYFUNCTION("""COMPUTED_VALUE"""),"Lainnya")</f>
        <v>Lainnya</v>
      </c>
      <c r="U191" s="5"/>
      <c r="V191" s="5"/>
      <c r="W191" s="5"/>
      <c r="X191" s="5"/>
      <c r="Y191" s="5"/>
      <c r="Z191" s="11" t="str">
        <f>IFERROR(__xludf.DUMMYFUNCTION("""COMPUTED_VALUE"""),"https://drive.google.com/open?id=1_ll002soiNKTF6O2F27UQ_I69o44QfBf")</f>
        <v>https://drive.google.com/open?id=1_ll002soiNKTF6O2F27UQ_I69o44QfBf</v>
      </c>
      <c r="AA191" s="42" t="s">
        <v>54</v>
      </c>
      <c r="AB191" s="42" t="s">
        <v>2434</v>
      </c>
    </row>
    <row r="192">
      <c r="A192" s="4">
        <f>IFERROR(__xludf.DUMMYFUNCTION("""COMPUTED_VALUE"""),46267.471102766205)</f>
        <v>46267.4711</v>
      </c>
      <c r="B192" s="5" t="str">
        <f>IFERROR(__xludf.DUMMYFUNCTION("""COMPUTED_VALUE"""),"trisuryo55@gmail.com")</f>
        <v>trisuryo55@gmail.com</v>
      </c>
      <c r="C192" s="5" t="str">
        <f>IFERROR(__xludf.DUMMYFUNCTION("""COMPUTED_VALUE"""),"TRI SURYO HADI WIBOWO, S.Pd., M.Pd., Gr.")</f>
        <v>TRI SURYO HADI WIBOWO, S.Pd., M.Pd., Gr.</v>
      </c>
      <c r="D192" s="5">
        <f>IFERROR(__xludf.DUMMYFUNCTION("""COMPUTED_VALUE"""),2.0210019081E11)</f>
        <v>202100190810</v>
      </c>
      <c r="E192" s="5" t="str">
        <f>IFERROR(__xludf.DUMMYFUNCTION("""COMPUTED_VALUE"""),"087722577763")</f>
        <v>087722577763</v>
      </c>
      <c r="F192" s="7">
        <f>IFERROR(__xludf.DUMMYFUNCTION("""COMPUTED_VALUE"""),34612.0)</f>
        <v>34612</v>
      </c>
      <c r="G192" s="5" t="str">
        <f>IFERROR(__xludf.DUMMYFUNCTION("""COMPUTED_VALUE"""),"Sarjana Pendidikan Agama Islam")</f>
        <v>Sarjana Pendidikan Agama Islam</v>
      </c>
      <c r="H192" s="5" t="str">
        <f>IFERROR(__xludf.DUMMYFUNCTION("""COMPUTED_VALUE"""),"IAIN Pekalongan")</f>
        <v>IAIN Pekalongan</v>
      </c>
      <c r="I192" s="5" t="str">
        <f>IFERROR(__xludf.DUMMYFUNCTION("""COMPUTED_VALUE"""),"Agama Islam")</f>
        <v>Agama Islam</v>
      </c>
      <c r="J192" s="5" t="str">
        <f>IFERROR(__xludf.DUMMYFUNCTION("""COMPUTED_VALUE"""),"Lainnya")</f>
        <v>Lainnya</v>
      </c>
      <c r="K192" s="5">
        <f>IFERROR(__xludf.DUMMYFUNCTION("""COMPUTED_VALUE"""),2025.0)</f>
        <v>2025</v>
      </c>
      <c r="L192" s="8" t="str">
        <f>IFERROR(__xludf.DUMMYFUNCTION("""COMPUTED_VALUE"""),"3.41")</f>
        <v>3.41</v>
      </c>
      <c r="M192" s="5" t="str">
        <f>IFERROR(__xludf.DUMMYFUNCTION("""COMPUTED_VALUE"""),"3.88")</f>
        <v>3.88</v>
      </c>
      <c r="N192" s="5" t="str">
        <f>IFERROR(__xludf.DUMMYFUNCTION("""COMPUTED_VALUE"""),"Kabupaten Pekalongan")</f>
        <v>Kabupaten Pekalongan</v>
      </c>
      <c r="O192" s="5" t="str">
        <f>IFERROR(__xludf.DUMMYFUNCTION("""COMPUTED_VALUE"""),"Tidak")</f>
        <v>Tidak</v>
      </c>
      <c r="P192" s="5" t="str">
        <f>IFERROR(__xludf.DUMMYFUNCTION("""COMPUTED_VALUE"""),"Kabupaten Jepara - Tenaga pendampingan pembelajaran mata pelajaran Pendidikan Agama Islam")</f>
        <v>Kabupaten Jepara - Tenaga pendampingan pembelajaran mata pelajaran Pendidikan Agama Islam</v>
      </c>
      <c r="Q192" s="5"/>
      <c r="R192" s="11" t="str">
        <f>IFERROR(__xludf.DUMMYFUNCTION("""COMPUTED_VALUE"""),"https://drive.google.com/drive/folders/11TfA6roqNDL6OMfdjoFtc2YIMcUaqF6D?usp=sharing")</f>
        <v>https://drive.google.com/drive/folders/11TfA6roqNDL6OMfdjoFtc2YIMcUaqF6D?usp=sharing</v>
      </c>
      <c r="S192" s="11" t="str">
        <f>IFERROR(__xludf.DUMMYFUNCTION("""COMPUTED_VALUE"""),"https://drive.google.com/drive/folders/1q5MXF6g_jehPTrF_zsdYxpbD_t6As1he?usp=sharing")</f>
        <v>https://drive.google.com/drive/folders/1q5MXF6g_jehPTrF_zsdYxpbD_t6As1he?usp=sharing</v>
      </c>
      <c r="T192" s="5" t="str">
        <f>IFERROR(__xludf.DUMMYFUNCTION("""COMPUTED_VALUE"""),"Lainnya")</f>
        <v>Lainnya</v>
      </c>
      <c r="U192" s="5"/>
      <c r="V192" s="5"/>
      <c r="W192" s="5"/>
      <c r="X192" s="5"/>
      <c r="Y192" s="5"/>
      <c r="Z192" s="11" t="str">
        <f>IFERROR(__xludf.DUMMYFUNCTION("""COMPUTED_VALUE"""),"https://drive.google.com/open?id=1EB8Kp8OO2zPVtEV1dJpG4G1jCKeuSklr")</f>
        <v>https://drive.google.com/open?id=1EB8Kp8OO2zPVtEV1dJpG4G1jCKeuSklr</v>
      </c>
      <c r="AA192" s="42" t="s">
        <v>44</v>
      </c>
      <c r="AB192" s="5"/>
    </row>
    <row r="193">
      <c r="A193" s="4">
        <f>IFERROR(__xludf.DUMMYFUNCTION("""COMPUTED_VALUE"""),46267.49981108797)</f>
        <v>46267.49981</v>
      </c>
      <c r="B193" s="5" t="str">
        <f>IFERROR(__xludf.DUMMYFUNCTION("""COMPUTED_VALUE"""),"itishomul.hanif@gmail.com")</f>
        <v>itishomul.hanif@gmail.com</v>
      </c>
      <c r="C193" s="5" t="str">
        <f>IFERROR(__xludf.DUMMYFUNCTION("""COMPUTED_VALUE"""),"I'tishomul Hanif, S.Pi., Gr.")</f>
        <v>I'tishomul Hanif, S.Pi., Gr.</v>
      </c>
      <c r="D193" s="5">
        <f>IFERROR(__xludf.DUMMYFUNCTION("""COMPUTED_VALUE"""),7.000241658E9)</f>
        <v>7000241658</v>
      </c>
      <c r="E193" s="5" t="str">
        <f>IFERROR(__xludf.DUMMYFUNCTION("""COMPUTED_VALUE"""),"081214691510")</f>
        <v>081214691510</v>
      </c>
      <c r="F193" s="7">
        <f>IFERROR(__xludf.DUMMYFUNCTION("""COMPUTED_VALUE"""),37265.0)</f>
        <v>37265</v>
      </c>
      <c r="G193" s="5" t="str">
        <f>IFERROR(__xludf.DUMMYFUNCTION("""COMPUTED_VALUE"""),"Teknologi Hasil Perikanan")</f>
        <v>Teknologi Hasil Perikanan</v>
      </c>
      <c r="H193" s="5" t="str">
        <f>IFERROR(__xludf.DUMMYFUNCTION("""COMPUTED_VALUE"""),"Universitas Sriwijaya")</f>
        <v>Universitas Sriwijaya</v>
      </c>
      <c r="I193" s="5" t="str">
        <f>IFERROR(__xludf.DUMMYFUNCTION("""COMPUTED_VALUE"""),"Lainnya")</f>
        <v>Lainnya</v>
      </c>
      <c r="J193" s="5" t="str">
        <f>IFERROR(__xludf.DUMMYFUNCTION("""COMPUTED_VALUE"""),"PPG Calon Guru Gelombang 2 Tahun 2024")</f>
        <v>PPG Calon Guru Gelombang 2 Tahun 2024</v>
      </c>
      <c r="K193" s="5">
        <f>IFERROR(__xludf.DUMMYFUNCTION("""COMPUTED_VALUE"""),2025.0)</f>
        <v>2025</v>
      </c>
      <c r="L193" s="8" t="str">
        <f>IFERROR(__xludf.DUMMYFUNCTION("""COMPUTED_VALUE"""),"3.44")</f>
        <v>3.44</v>
      </c>
      <c r="M193" s="5" t="str">
        <f>IFERROR(__xludf.DUMMYFUNCTION("""COMPUTED_VALUE"""),"4.00")</f>
        <v>4.00</v>
      </c>
      <c r="N193" s="5" t="str">
        <f>IFERROR(__xludf.DUMMYFUNCTION("""COMPUTED_VALUE"""),"Kabupaten Lombok Timur, Nusa Tenggara Barat")</f>
        <v>Kabupaten Lombok Timur, Nusa Tenggara Barat</v>
      </c>
      <c r="O193" s="5" t="str">
        <f>IFERROR(__xludf.DUMMYFUNCTION("""COMPUTED_VALUE"""),"Tidak")</f>
        <v>Tidak</v>
      </c>
      <c r="P193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193" s="5"/>
      <c r="R193" s="11" t="str">
        <f>IFERROR(__xludf.DUMMYFUNCTION("""COMPUTED_VALUE"""),"https://drive.google.com/drive/folders/1WxNebxIxkO-FMfKaVDq0uLdP2F8Kp-nT?usp=sharing")</f>
        <v>https://drive.google.com/drive/folders/1WxNebxIxkO-FMfKaVDq0uLdP2F8Kp-nT?usp=sharing</v>
      </c>
      <c r="S193" s="11" t="str">
        <f>IFERROR(__xludf.DUMMYFUNCTION("""COMPUTED_VALUE"""),"https://drive.google.com/drive/folders/1jF5iXvAak7HvSCd1b7rBtYYGGnJAKMtV?usp=sharing")</f>
        <v>https://drive.google.com/drive/folders/1jF5iXvAak7HvSCd1b7rBtYYGGnJAKMtV?usp=sharing</v>
      </c>
      <c r="T193" s="5" t="str">
        <f>IFERROR(__xludf.DUMMYFUNCTION("""COMPUTED_VALUE"""),"Lainnya")</f>
        <v>Lainnya</v>
      </c>
      <c r="U193" s="5"/>
      <c r="V193" s="5"/>
      <c r="W193" s="5"/>
      <c r="X193" s="5"/>
      <c r="Y193" s="5"/>
      <c r="Z193" s="11" t="str">
        <f>IFERROR(__xludf.DUMMYFUNCTION("""COMPUTED_VALUE"""),"https://drive.google.com/open?id=19fbpFT8OlpIPyOGAInadGmE2ynkwlMLY")</f>
        <v>https://drive.google.com/open?id=19fbpFT8OlpIPyOGAInadGmE2ynkwlMLY</v>
      </c>
      <c r="AA193" s="42" t="s">
        <v>54</v>
      </c>
      <c r="AB193" s="42" t="s">
        <v>2439</v>
      </c>
    </row>
    <row r="194">
      <c r="A194" s="4">
        <f>IFERROR(__xludf.DUMMYFUNCTION("""COMPUTED_VALUE"""),46267.5936387963)</f>
        <v>46267.59364</v>
      </c>
      <c r="B194" s="5" t="str">
        <f>IFERROR(__xludf.DUMMYFUNCTION("""COMPUTED_VALUE"""),"turaekhanamin59@gmail.com")</f>
        <v>turaekhanamin59@gmail.com</v>
      </c>
      <c r="C194" s="5" t="str">
        <f>IFERROR(__xludf.DUMMYFUNCTION("""COMPUTED_VALUE"""),"Turaekhan, S.Pd.,M.Pd.")</f>
        <v>Turaekhan, S.Pd.,M.Pd.</v>
      </c>
      <c r="D194" s="5">
        <f>IFERROR(__xludf.DUMMYFUNCTION("""COMPUTED_VALUE"""),2.02300279569E11)</f>
        <v>202300279569</v>
      </c>
      <c r="E194" s="5" t="str">
        <f>IFERROR(__xludf.DUMMYFUNCTION("""COMPUTED_VALUE"""),"085712135701")</f>
        <v>085712135701</v>
      </c>
      <c r="F194" s="7">
        <f>IFERROR(__xludf.DUMMYFUNCTION("""COMPUTED_VALUE"""),34437.0)</f>
        <v>34437</v>
      </c>
      <c r="G194" s="5" t="str">
        <f>IFERROR(__xludf.DUMMYFUNCTION("""COMPUTED_VALUE"""),"PENDIDIKAN AGAMA ISLAM")</f>
        <v>PENDIDIKAN AGAMA ISLAM</v>
      </c>
      <c r="H194" s="5" t="str">
        <f>IFERROR(__xludf.DUMMYFUNCTION("""COMPUTED_VALUE"""),"UNISNU JEPARA")</f>
        <v>UNISNU JEPARA</v>
      </c>
      <c r="I194" s="5" t="str">
        <f>IFERROR(__xludf.DUMMYFUNCTION("""COMPUTED_VALUE"""),"Agama Islam")</f>
        <v>Agama Islam</v>
      </c>
      <c r="J194" s="5" t="str">
        <f>IFERROR(__xludf.DUMMYFUNCTION("""COMPUTED_VALUE"""),"Lainnya")</f>
        <v>Lainnya</v>
      </c>
      <c r="K194" s="5">
        <f>IFERROR(__xludf.DUMMYFUNCTION("""COMPUTED_VALUE"""),2025.0)</f>
        <v>2025</v>
      </c>
      <c r="L194" s="8" t="str">
        <f>IFERROR(__xludf.DUMMYFUNCTION("""COMPUTED_VALUE"""),"3.23")</f>
        <v>3.23</v>
      </c>
      <c r="M194" s="5" t="str">
        <f>IFERROR(__xludf.DUMMYFUNCTION("""COMPUTED_VALUE"""),"3.65")</f>
        <v>3.65</v>
      </c>
      <c r="N194" s="5" t="str">
        <f>IFERROR(__xludf.DUMMYFUNCTION("""COMPUTED_VALUE"""),"Kabupaten Jepara, Jawa Tengah")</f>
        <v>Kabupaten Jepara, Jawa Tengah</v>
      </c>
      <c r="O194" s="5" t="str">
        <f>IFERROR(__xludf.DUMMYFUNCTION("""COMPUTED_VALUE"""),"Tidak")</f>
        <v>Tidak</v>
      </c>
      <c r="P194" s="5" t="str">
        <f>IFERROR(__xludf.DUMMYFUNCTION("""COMPUTED_VALUE"""),"Kabupaten Jepara - Tenaga pendampingan pembelajaran mata pelajaran Pendidikan Agama Islam")</f>
        <v>Kabupaten Jepara - Tenaga pendampingan pembelajaran mata pelajaran Pendidikan Agama Islam</v>
      </c>
      <c r="Q194" s="5"/>
      <c r="R194" s="11" t="str">
        <f>IFERROR(__xludf.DUMMYFUNCTION("""COMPUTED_VALUE"""),"https://drive.google.com/drive/folders/1YSuJjYatX6HeWWXX2IyrLBKYKqMxmqqH")</f>
        <v>https://drive.google.com/drive/folders/1YSuJjYatX6HeWWXX2IyrLBKYKqMxmqqH</v>
      </c>
      <c r="S194" s="11" t="str">
        <f>IFERROR(__xludf.DUMMYFUNCTION("""COMPUTED_VALUE"""),"https://youtu.be/s8eTiNsgjME?si=Q4fka42_T56GGDeF")</f>
        <v>https://youtu.be/s8eTiNsgjME?si=Q4fka42_T56GGDeF</v>
      </c>
      <c r="T194" s="5" t="str">
        <f>IFERROR(__xludf.DUMMYFUNCTION("""COMPUTED_VALUE"""),"Lainnya")</f>
        <v>Lainnya</v>
      </c>
      <c r="U194" s="5"/>
      <c r="V194" s="5"/>
      <c r="W194" s="5"/>
      <c r="X194" s="5"/>
      <c r="Y194" s="5"/>
      <c r="Z194" s="11" t="str">
        <f>IFERROR(__xludf.DUMMYFUNCTION("""COMPUTED_VALUE"""),"https://drive.google.com/open?id=1xmKdsFkyKUkzWAbg-R1yzR_XaY1XjXvI")</f>
        <v>https://drive.google.com/open?id=1xmKdsFkyKUkzWAbg-R1yzR_XaY1XjXvI</v>
      </c>
      <c r="AA194" s="42" t="s">
        <v>54</v>
      </c>
      <c r="AB194" s="42" t="s">
        <v>2434</v>
      </c>
    </row>
    <row r="195">
      <c r="A195" s="4">
        <f>IFERROR(__xludf.DUMMYFUNCTION("""COMPUTED_VALUE"""),46267.62016381945)</f>
        <v>46267.62016</v>
      </c>
      <c r="B195" s="5" t="str">
        <f>IFERROR(__xludf.DUMMYFUNCTION("""COMPUTED_VALUE"""),"nralaam2@gmail.com")</f>
        <v>nralaam2@gmail.com</v>
      </c>
      <c r="C195" s="5" t="str">
        <f>IFERROR(__xludf.DUMMYFUNCTION("""COMPUTED_VALUE"""),"Nur Alam, S.Pd., Gr.")</f>
        <v>Nur Alam, S.Pd., Gr.</v>
      </c>
      <c r="D195" s="5">
        <f>IFERROR(__xludf.DUMMYFUNCTION("""COMPUTED_VALUE"""),7.000011978E9)</f>
        <v>7000011978</v>
      </c>
      <c r="E195" s="5" t="str">
        <f>IFERROR(__xludf.DUMMYFUNCTION("""COMPUTED_VALUE"""),"085394547098")</f>
        <v>085394547098</v>
      </c>
      <c r="F195" s="7">
        <f>IFERROR(__xludf.DUMMYFUNCTION("""COMPUTED_VALUE"""),35947.0)</f>
        <v>35947</v>
      </c>
      <c r="G195" s="5" t="str">
        <f>IFERROR(__xludf.DUMMYFUNCTION("""COMPUTED_VALUE"""),"S1 - Pendidikan Biologi")</f>
        <v>S1 - Pendidikan Biologi</v>
      </c>
      <c r="H195" s="5" t="str">
        <f>IFERROR(__xludf.DUMMYFUNCTION("""COMPUTED_VALUE"""),"Universitas Cokroaminoto Palopo")</f>
        <v>Universitas Cokroaminoto Palopo</v>
      </c>
      <c r="I195" s="5" t="str">
        <f>IFERROR(__xludf.DUMMYFUNCTION("""COMPUTED_VALUE"""),"Biologi")</f>
        <v>Biologi</v>
      </c>
      <c r="J195" s="5" t="str">
        <f>IFERROR(__xludf.DUMMYFUNCTION("""COMPUTED_VALUE"""),"PPG Prajabatan Gelombang 2 Tahun 2022")</f>
        <v>PPG Prajabatan Gelombang 2 Tahun 2022</v>
      </c>
      <c r="K195" s="5">
        <f>IFERROR(__xludf.DUMMYFUNCTION("""COMPUTED_VALUE"""),2023.0)</f>
        <v>2023</v>
      </c>
      <c r="L195" s="8" t="str">
        <f>IFERROR(__xludf.DUMMYFUNCTION("""COMPUTED_VALUE"""),"3,86")</f>
        <v>3,86</v>
      </c>
      <c r="M195" s="5" t="str">
        <f>IFERROR(__xludf.DUMMYFUNCTION("""COMPUTED_VALUE"""),"3,89")</f>
        <v>3,89</v>
      </c>
      <c r="N195" s="5" t="str">
        <f>IFERROR(__xludf.DUMMYFUNCTION("""COMPUTED_VALUE"""),"Tana Toraja, Sulawesi Selatan")</f>
        <v>Tana Toraja, Sulawesi Selatan</v>
      </c>
      <c r="O195" s="5" t="str">
        <f>IFERROR(__xludf.DUMMYFUNCTION("""COMPUTED_VALUE"""),"Tidak")</f>
        <v>Tidak</v>
      </c>
      <c r="P195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195" s="5"/>
      <c r="R195" s="11" t="str">
        <f>IFERROR(__xludf.DUMMYFUNCTION("""COMPUTED_VALUE"""),"https://drive.google.com/drive/folders/1QNufrZxxerCm2AkkS7Wgw_FZ8T9yjmy3")</f>
        <v>https://drive.google.com/drive/folders/1QNufrZxxerCm2AkkS7Wgw_FZ8T9yjmy3</v>
      </c>
      <c r="S195" s="11" t="str">
        <f>IFERROR(__xludf.DUMMYFUNCTION("""COMPUTED_VALUE"""),"https://drive.google.com/drive/folders/12gvXc4u-CJvLa9dRi4J6Dv223OV0Uy_c")</f>
        <v>https://drive.google.com/drive/folders/12gvXc4u-CJvLa9dRi4J6Dv223OV0Uy_c</v>
      </c>
      <c r="T195" s="5" t="str">
        <f>IFERROR(__xludf.DUMMYFUNCTION("""COMPUTED_VALUE"""),"Lainnya")</f>
        <v>Lainnya</v>
      </c>
      <c r="U195" s="5"/>
      <c r="V195" s="5"/>
      <c r="W195" s="5"/>
      <c r="X195" s="5"/>
      <c r="Y195" s="5"/>
      <c r="Z195" s="11" t="str">
        <f>IFERROR(__xludf.DUMMYFUNCTION("""COMPUTED_VALUE"""),"https://drive.google.com/open?id=1i_sH4jbEtFWxETz7lmRSkOaoSntBuCCz")</f>
        <v>https://drive.google.com/open?id=1i_sH4jbEtFWxETz7lmRSkOaoSntBuCCz</v>
      </c>
      <c r="AA195" s="42" t="s">
        <v>44</v>
      </c>
      <c r="AB195" s="5"/>
    </row>
    <row r="196">
      <c r="A196" s="68">
        <f>IFERROR(__xludf.DUMMYFUNCTION("""COMPUTED_VALUE"""),46267.67419751158)</f>
        <v>46267.6742</v>
      </c>
      <c r="B196" s="69" t="str">
        <f>IFERROR(__xludf.DUMMYFUNCTION("""COMPUTED_VALUE"""),"ppg.dindawulandari00@program.belajar.id")</f>
        <v>ppg.dindawulandari00@program.belajar.id</v>
      </c>
      <c r="C196" s="5" t="str">
        <f>IFERROR(__xludf.DUMMYFUNCTION("""COMPUTED_VALUE"""),"Dinda Wulandari ")</f>
        <v>Dinda Wulandari </v>
      </c>
      <c r="D196" s="5">
        <f>IFERROR(__xludf.DUMMYFUNCTION("""COMPUTED_VALUE"""),7.000005542E9)</f>
        <v>7000005542</v>
      </c>
      <c r="E196" s="5" t="str">
        <f>IFERROR(__xludf.DUMMYFUNCTION("""COMPUTED_VALUE"""),"082289932887")</f>
        <v>082289932887</v>
      </c>
      <c r="F196" s="7">
        <f>IFERROR(__xludf.DUMMYFUNCTION("""COMPUTED_VALUE"""),36827.0)</f>
        <v>36827</v>
      </c>
      <c r="G196" s="5" t="str">
        <f>IFERROR(__xludf.DUMMYFUNCTION("""COMPUTED_VALUE"""),"Pendidikan Fisika ")</f>
        <v>Pendidikan Fisika </v>
      </c>
      <c r="H196" s="5" t="str">
        <f>IFERROR(__xludf.DUMMYFUNCTION("""COMPUTED_VALUE"""),"Universitas Bengkulu ")</f>
        <v>Universitas Bengkulu </v>
      </c>
      <c r="I196" s="5" t="str">
        <f>IFERROR(__xludf.DUMMYFUNCTION("""COMPUTED_VALUE"""),"Ilmu Pengetahuan Alam (IPA)")</f>
        <v>Ilmu Pengetahuan Alam (IPA)</v>
      </c>
      <c r="J196" s="5" t="str">
        <f>IFERROR(__xludf.DUMMYFUNCTION("""COMPUTED_VALUE"""),"PPG Prajabatan Gelombang 1 Tahun 2023")</f>
        <v>PPG Prajabatan Gelombang 1 Tahun 2023</v>
      </c>
      <c r="K196" s="5">
        <f>IFERROR(__xludf.DUMMYFUNCTION("""COMPUTED_VALUE"""),2024.0)</f>
        <v>2024</v>
      </c>
      <c r="L196" s="8" t="str">
        <f>IFERROR(__xludf.DUMMYFUNCTION("""COMPUTED_VALUE"""),"3.73")</f>
        <v>3.73</v>
      </c>
      <c r="M196" s="5" t="str">
        <f>IFERROR(__xludf.DUMMYFUNCTION("""COMPUTED_VALUE"""),"3,69")</f>
        <v>3,69</v>
      </c>
      <c r="N196" s="5" t="str">
        <f>IFERROR(__xludf.DUMMYFUNCTION("""COMPUTED_VALUE"""),"Kota Payakumbuh, Sumatera Barat")</f>
        <v>Kota Payakumbuh, Sumatera Barat</v>
      </c>
      <c r="O196" s="5" t="str">
        <f>IFERROR(__xludf.DUMMYFUNCTION("""COMPUTED_VALUE"""),"Tidak")</f>
        <v>Tidak</v>
      </c>
      <c r="P196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196" s="5"/>
      <c r="R196" s="11" t="str">
        <f>IFERROR(__xludf.DUMMYFUNCTION("""COMPUTED_VALUE"""),"https://drive.google.com/file/d/1aPeTRXqQ99p9K_WWsJwflL0YYD7NrQtE/view?usp=drivesdk")</f>
        <v>https://drive.google.com/file/d/1aPeTRXqQ99p9K_WWsJwflL0YYD7NrQtE/view?usp=drivesdk</v>
      </c>
      <c r="S196" s="11" t="str">
        <f>IFERROR(__xludf.DUMMYFUNCTION("""COMPUTED_VALUE"""),"https://drive.google.com/file/d/1Fk2iDKXorKUI_KKNxIOx6us3Z02nTHO1/view?usp=drivesdk")</f>
        <v>https://drive.google.com/file/d/1Fk2iDKXorKUI_KKNxIOx6us3Z02nTHO1/view?usp=drivesdk</v>
      </c>
      <c r="T196" s="5" t="str">
        <f>IFERROR(__xludf.DUMMYFUNCTION("""COMPUTED_VALUE"""),"Lainnya")</f>
        <v>Lainnya</v>
      </c>
      <c r="U196" s="5"/>
      <c r="V196" s="5"/>
      <c r="W196" s="5"/>
      <c r="X196" s="5"/>
      <c r="Y196" s="5"/>
      <c r="Z196" s="11" t="str">
        <f>IFERROR(__xludf.DUMMYFUNCTION("""COMPUTED_VALUE"""),"https://drive.google.com/open?id=1pM1_X0C_jQsuTqGqi2D3eSXNsP4xNaJw")</f>
        <v>https://drive.google.com/open?id=1pM1_X0C_jQsuTqGqi2D3eSXNsP4xNaJw</v>
      </c>
      <c r="AA196" s="42" t="s">
        <v>44</v>
      </c>
      <c r="AB196" s="5"/>
    </row>
    <row r="197">
      <c r="A197" s="68">
        <f>IFERROR(__xludf.DUMMYFUNCTION("""COMPUTED_VALUE"""),46267.70907324074)</f>
        <v>46267.70907</v>
      </c>
      <c r="B197" s="69" t="str">
        <f>IFERROR(__xludf.DUMMYFUNCTION("""COMPUTED_VALUE"""),"risaulisihite04@gmail.com")</f>
        <v>risaulisihite04@gmail.com</v>
      </c>
      <c r="C197" s="5" t="str">
        <f>IFERROR(__xludf.DUMMYFUNCTION("""COMPUTED_VALUE"""),"Risauli J.Sihite S.Pd")</f>
        <v>Risauli J.Sihite S.Pd</v>
      </c>
      <c r="D197" s="5">
        <f>IFERROR(__xludf.DUMMYFUNCTION("""COMPUTED_VALUE"""),2.000711604E9)</f>
        <v>2000711604</v>
      </c>
      <c r="E197" s="5" t="str">
        <f>IFERROR(__xludf.DUMMYFUNCTION("""COMPUTED_VALUE"""),"082277942032")</f>
        <v>082277942032</v>
      </c>
      <c r="F197" s="7">
        <f>IFERROR(__xludf.DUMMYFUNCTION("""COMPUTED_VALUE"""),36711.0)</f>
        <v>36711</v>
      </c>
      <c r="G197" s="5" t="str">
        <f>IFERROR(__xludf.DUMMYFUNCTION("""COMPUTED_VALUE"""),"Pendidikan Biologi")</f>
        <v>Pendidikan Biologi</v>
      </c>
      <c r="H197" s="5" t="str">
        <f>IFERROR(__xludf.DUMMYFUNCTION("""COMPUTED_VALUE"""),"Universitas Samudra")</f>
        <v>Universitas Samudra</v>
      </c>
      <c r="I197" s="5" t="str">
        <f>IFERROR(__xludf.DUMMYFUNCTION("""COMPUTED_VALUE"""),"Pendidikan Guru Sekolah Dasar (PGSD)")</f>
        <v>Pendidikan Guru Sekolah Dasar (PGSD)</v>
      </c>
      <c r="J197" s="5" t="str">
        <f>IFERROR(__xludf.DUMMYFUNCTION("""COMPUTED_VALUE"""),"PPG Prajabatan Gelombang 1 Tahun 2024")</f>
        <v>PPG Prajabatan Gelombang 1 Tahun 2024</v>
      </c>
      <c r="K197" s="5">
        <f>IFERROR(__xludf.DUMMYFUNCTION("""COMPUTED_VALUE"""),2024.0)</f>
        <v>2024</v>
      </c>
      <c r="L197" s="8" t="str">
        <f>IFERROR(__xludf.DUMMYFUNCTION("""COMPUTED_VALUE"""),"3.40")</f>
        <v>3.40</v>
      </c>
      <c r="M197" s="5" t="str">
        <f>IFERROR(__xludf.DUMMYFUNCTION("""COMPUTED_VALUE"""),"3,7")</f>
        <v>3,7</v>
      </c>
      <c r="N197" s="5" t="str">
        <f>IFERROR(__xludf.DUMMYFUNCTION("""COMPUTED_VALUE"""),"Humbang Hasundutan, Sumatera Utara")</f>
        <v>Humbang Hasundutan, Sumatera Utara</v>
      </c>
      <c r="O197" s="5" t="str">
        <f>IFERROR(__xludf.DUMMYFUNCTION("""COMPUTED_VALUE"""),"Tidak")</f>
        <v>Tidak</v>
      </c>
      <c r="P197" s="5" t="str">
        <f>IFERROR(__xludf.DUMMYFUNCTION("""COMPUTED_VALUE"""),"Kabupaten Buton Tengah - Tenaga pendampingan pembelajaran mata pelajaran FISIKA")</f>
        <v>Kabupaten Buton Tengah - Tenaga pendampingan pembelajaran mata pelajaran FISIKA</v>
      </c>
      <c r="Q197" s="5"/>
      <c r="R197" s="5" t="str">
        <f>IFERROR(__xludf.DUMMYFUNCTION("""COMPUTED_VALUE"""),"-")</f>
        <v>-</v>
      </c>
      <c r="S197" s="11" t="str">
        <f>IFERROR(__xludf.DUMMYFUNCTION("""COMPUTED_VALUE"""),"https://drive.google.com/file/d/1Ufyc9tWS1ANuf-f0gjQrhNhNSwyNN7Ih/view?usp=drivesdk")</f>
        <v>https://drive.google.com/file/d/1Ufyc9tWS1ANuf-f0gjQrhNhNSwyNN7Ih/view?usp=drivesdk</v>
      </c>
      <c r="T197" s="5" t="str">
        <f>IFERROR(__xludf.DUMMYFUNCTION("""COMPUTED_VALUE"""),"Lainnya")</f>
        <v>Lainnya</v>
      </c>
      <c r="U197" s="5"/>
      <c r="V197" s="5"/>
      <c r="W197" s="5"/>
      <c r="X197" s="5"/>
      <c r="Y197" s="5"/>
      <c r="Z197" s="11" t="str">
        <f>IFERROR(__xludf.DUMMYFUNCTION("""COMPUTED_VALUE"""),"https://drive.google.com/open?id=1iLdDNZ6ANl2FKkpWWiXnOy-Tl9n4nbB8")</f>
        <v>https://drive.google.com/open?id=1iLdDNZ6ANl2FKkpWWiXnOy-Tl9n4nbB8</v>
      </c>
      <c r="AA197" s="42" t="s">
        <v>54</v>
      </c>
      <c r="AB197" s="42" t="s">
        <v>2439</v>
      </c>
    </row>
    <row r="198">
      <c r="A198" s="68">
        <f>IFERROR(__xludf.DUMMYFUNCTION("""COMPUTED_VALUE"""),46267.725948935185)</f>
        <v>46267.72595</v>
      </c>
      <c r="B198" s="69" t="str">
        <f>IFERROR(__xludf.DUMMYFUNCTION("""COMPUTED_VALUE"""),"ermitaalawiyah@gmail.com")</f>
        <v>ermitaalawiyah@gmail.com</v>
      </c>
      <c r="C198" s="5" t="str">
        <f>IFERROR(__xludf.DUMMYFUNCTION("""COMPUTED_VALUE"""),"Ermita Khusniyatul Alawiyah, S.Si., Gr.")</f>
        <v>Ermita Khusniyatul Alawiyah, S.Si., Gr.</v>
      </c>
      <c r="D198" s="5"/>
      <c r="E198" s="5" t="str">
        <f>IFERROR(__xludf.DUMMYFUNCTION("""COMPUTED_VALUE"""),"085795340972")</f>
        <v>085795340972</v>
      </c>
      <c r="F198" s="7">
        <f>IFERROR(__xludf.DUMMYFUNCTION("""COMPUTED_VALUE"""),36620.0)</f>
        <v>36620</v>
      </c>
      <c r="G198" s="5" t="str">
        <f>IFERROR(__xludf.DUMMYFUNCTION("""COMPUTED_VALUE"""),"S-1 Biologi")</f>
        <v>S-1 Biologi</v>
      </c>
      <c r="H198" s="5" t="str">
        <f>IFERROR(__xludf.DUMMYFUNCTION("""COMPUTED_VALUE"""),"Universitas Diponegoro")</f>
        <v>Universitas Diponegoro</v>
      </c>
      <c r="I198" s="5" t="str">
        <f>IFERROR(__xludf.DUMMYFUNCTION("""COMPUTED_VALUE"""),"Ilmu Pengetahuan Alam (IPA)")</f>
        <v>Ilmu Pengetahuan Alam (IPA)</v>
      </c>
      <c r="J198" s="5" t="str">
        <f>IFERROR(__xludf.DUMMYFUNCTION("""COMPUTED_VALUE"""),"PPG Prajabatan Gelombang 1 Tahun 2023")</f>
        <v>PPG Prajabatan Gelombang 1 Tahun 2023</v>
      </c>
      <c r="K198" s="5">
        <f>IFERROR(__xludf.DUMMYFUNCTION("""COMPUTED_VALUE"""),2024.0)</f>
        <v>2024</v>
      </c>
      <c r="L198" s="8" t="str">
        <f>IFERROR(__xludf.DUMMYFUNCTION("""COMPUTED_VALUE"""),"3.59")</f>
        <v>3.59</v>
      </c>
      <c r="M198" s="5" t="str">
        <f>IFERROR(__xludf.DUMMYFUNCTION("""COMPUTED_VALUE"""),"4.00")</f>
        <v>4.00</v>
      </c>
      <c r="N198" s="5" t="str">
        <f>IFERROR(__xludf.DUMMYFUNCTION("""COMPUTED_VALUE"""),"Kabupaten Jepara, Jawa Tengah")</f>
        <v>Kabupaten Jepara, Jawa Tengah</v>
      </c>
      <c r="O198" s="5" t="str">
        <f>IFERROR(__xludf.DUMMYFUNCTION("""COMPUTED_VALUE"""),"Tidak")</f>
        <v>Tidak</v>
      </c>
      <c r="P198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198" s="5"/>
      <c r="R198" s="11" t="str">
        <f>IFERROR(__xludf.DUMMYFUNCTION("""COMPUTED_VALUE"""),"https://drive.google.com/drive/folders/1U8I5vPnWwIsN2f8oExY0XJlhTyhNt1PA")</f>
        <v>https://drive.google.com/drive/folders/1U8I5vPnWwIsN2f8oExY0XJlhTyhNt1PA</v>
      </c>
      <c r="S198" s="11" t="str">
        <f>IFERROR(__xludf.DUMMYFUNCTION("""COMPUTED_VALUE"""),"https://drive.google.com/drive/u/1/folders/12y91230r5HxHxaki4ppVhWjU1psogudU")</f>
        <v>https://drive.google.com/drive/u/1/folders/12y91230r5HxHxaki4ppVhWjU1psogudU</v>
      </c>
      <c r="T198" s="5" t="str">
        <f>IFERROR(__xludf.DUMMYFUNCTION("""COMPUTED_VALUE"""),"Lainnya")</f>
        <v>Lainnya</v>
      </c>
      <c r="U198" s="5"/>
      <c r="V198" s="5"/>
      <c r="W198" s="5"/>
      <c r="X198" s="5"/>
      <c r="Y198" s="5"/>
      <c r="Z198" s="11" t="str">
        <f>IFERROR(__xludf.DUMMYFUNCTION("""COMPUTED_VALUE"""),"https://drive.google.com/open?id=16EKHoQ5475nyv19gcDcfnP-16ybQtLT0")</f>
        <v>https://drive.google.com/open?id=16EKHoQ5475nyv19gcDcfnP-16ybQtLT0</v>
      </c>
      <c r="AA198" s="42" t="s">
        <v>44</v>
      </c>
      <c r="AB198" s="5"/>
    </row>
    <row r="199">
      <c r="A199" s="68">
        <f>IFERROR(__xludf.DUMMYFUNCTION("""COMPUTED_VALUE"""),46267.744362881946)</f>
        <v>46267.74436</v>
      </c>
      <c r="B199" s="69" t="str">
        <f>IFERROR(__xludf.DUMMYFUNCTION("""COMPUTED_VALUE"""),"fitriawahyuwulansari330@gmail.com")</f>
        <v>fitriawahyuwulansari330@gmail.com</v>
      </c>
      <c r="C199" s="5" t="str">
        <f>IFERROR(__xludf.DUMMYFUNCTION("""COMPUTED_VALUE"""),"Fitria Wahyu Wulansari, S.Pd., Gr.")</f>
        <v>Fitria Wahyu Wulansari, S.Pd., Gr.</v>
      </c>
      <c r="D199" s="5">
        <f>IFERROR(__xludf.DUMMYFUNCTION("""COMPUTED_VALUE"""),7.000320509E9)</f>
        <v>7000320509</v>
      </c>
      <c r="E199" s="5" t="str">
        <f>IFERROR(__xludf.DUMMYFUNCTION("""COMPUTED_VALUE"""),"085641626270")</f>
        <v>085641626270</v>
      </c>
      <c r="F199" s="7">
        <f>IFERROR(__xludf.DUMMYFUNCTION("""COMPUTED_VALUE"""),36177.0)</f>
        <v>36177</v>
      </c>
      <c r="G199" s="5" t="str">
        <f>IFERROR(__xludf.DUMMYFUNCTION("""COMPUTED_VALUE"""),"Pendidikan IPA")</f>
        <v>Pendidikan IPA</v>
      </c>
      <c r="H199" s="5" t="str">
        <f>IFERROR(__xludf.DUMMYFUNCTION("""COMPUTED_VALUE"""),"Universitas Negeri Semarang")</f>
        <v>Universitas Negeri Semarang</v>
      </c>
      <c r="I199" s="5" t="str">
        <f>IFERROR(__xludf.DUMMYFUNCTION("""COMPUTED_VALUE"""),"Ilmu Pengetahuan Alam (IPA)")</f>
        <v>Ilmu Pengetahuan Alam (IPA)</v>
      </c>
      <c r="J199" s="5" t="str">
        <f>IFERROR(__xludf.DUMMYFUNCTION("""COMPUTED_VALUE"""),"PPG Calon Guru Gelombang 2 Tahun 2024")</f>
        <v>PPG Calon Guru Gelombang 2 Tahun 2024</v>
      </c>
      <c r="K199" s="5">
        <f>IFERROR(__xludf.DUMMYFUNCTION("""COMPUTED_VALUE"""),2025.0)</f>
        <v>2025</v>
      </c>
      <c r="L199" s="8" t="str">
        <f>IFERROR(__xludf.DUMMYFUNCTION("""COMPUTED_VALUE"""),"3.38")</f>
        <v>3.38</v>
      </c>
      <c r="M199" s="5" t="str">
        <f>IFERROR(__xludf.DUMMYFUNCTION("""COMPUTED_VALUE"""),"4.00")</f>
        <v>4.00</v>
      </c>
      <c r="N199" s="5" t="str">
        <f>IFERROR(__xludf.DUMMYFUNCTION("""COMPUTED_VALUE"""),"Kab. Grobogan, Jawa Tengah")</f>
        <v>Kab. Grobogan, Jawa Tengah</v>
      </c>
      <c r="O199" s="5" t="str">
        <f>IFERROR(__xludf.DUMMYFUNCTION("""COMPUTED_VALUE"""),"Tidak")</f>
        <v>Tidak</v>
      </c>
      <c r="P199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199" s="5"/>
      <c r="R199" s="11" t="str">
        <f>IFERROR(__xludf.DUMMYFUNCTION("""COMPUTED_VALUE"""),"https://drive.google.com/drive/folders/1VJy4PG02osf5uSvbOyUlKDU0QFevurqG?usp=sharing")</f>
        <v>https://drive.google.com/drive/folders/1VJy4PG02osf5uSvbOyUlKDU0QFevurqG?usp=sharing</v>
      </c>
      <c r="S199" s="11" t="str">
        <f>IFERROR(__xludf.DUMMYFUNCTION("""COMPUTED_VALUE"""),"https://drive.google.com/drive/folders/1gvYo2u1WJg-VnSw1byRSjpOT3TklJbdK?usp=sharing")</f>
        <v>https://drive.google.com/drive/folders/1gvYo2u1WJg-VnSw1byRSjpOT3TklJbdK?usp=sharing</v>
      </c>
      <c r="T199" s="5" t="str">
        <f>IFERROR(__xludf.DUMMYFUNCTION("""COMPUTED_VALUE"""),"Lainnya")</f>
        <v>Lainnya</v>
      </c>
      <c r="U199" s="5"/>
      <c r="V199" s="5"/>
      <c r="W199" s="5"/>
      <c r="X199" s="5"/>
      <c r="Y199" s="5"/>
      <c r="Z199" s="11" t="str">
        <f>IFERROR(__xludf.DUMMYFUNCTION("""COMPUTED_VALUE"""),"https://drive.google.com/open?id=1Cyurd1ZvCSFr1U4lskqFG3frCKt99MqG")</f>
        <v>https://drive.google.com/open?id=1Cyurd1ZvCSFr1U4lskqFG3frCKt99MqG</v>
      </c>
      <c r="AA199" s="42" t="s">
        <v>44</v>
      </c>
      <c r="AB199" s="5"/>
    </row>
    <row r="200">
      <c r="A200" s="68">
        <f>IFERROR(__xludf.DUMMYFUNCTION("""COMPUTED_VALUE"""),46267.761576689816)</f>
        <v>46267.76158</v>
      </c>
      <c r="B200" s="69" t="str">
        <f>IFERROR(__xludf.DUMMYFUNCTION("""COMPUTED_VALUE"""),"ppg.alakhnah81@program.belajar.id")</f>
        <v>ppg.alakhnah81@program.belajar.id</v>
      </c>
      <c r="C200" s="5" t="str">
        <f>IFERROR(__xludf.DUMMYFUNCTION("""COMPUTED_VALUE"""),"Al Manunal Akhnah M.Pd")</f>
        <v>Al Manunal Akhnah M.Pd</v>
      </c>
      <c r="D200" s="5"/>
      <c r="E200" s="5" t="str">
        <f>IFERROR(__xludf.DUMMYFUNCTION("""COMPUTED_VALUE"""),"081326371307")</f>
        <v>081326371307</v>
      </c>
      <c r="F200" s="7">
        <f>IFERROR(__xludf.DUMMYFUNCTION("""COMPUTED_VALUE"""),36110.0)</f>
        <v>36110</v>
      </c>
      <c r="G200" s="5" t="str">
        <f>IFERROR(__xludf.DUMMYFUNCTION("""COMPUTED_VALUE"""),"Pendidikan Biologi")</f>
        <v>Pendidikan Biologi</v>
      </c>
      <c r="H200" s="5" t="str">
        <f>IFERROR(__xludf.DUMMYFUNCTION("""COMPUTED_VALUE"""),"Universitas PGRI Semarang")</f>
        <v>Universitas PGRI Semarang</v>
      </c>
      <c r="I200" s="5" t="str">
        <f>IFERROR(__xludf.DUMMYFUNCTION("""COMPUTED_VALUE"""),"Biologi")</f>
        <v>Biologi</v>
      </c>
      <c r="J200" s="5" t="str">
        <f>IFERROR(__xludf.DUMMYFUNCTION("""COMPUTED_VALUE"""),"PPG Prajabatan Gelombang 1 Tahun 2023")</f>
        <v>PPG Prajabatan Gelombang 1 Tahun 2023</v>
      </c>
      <c r="K200" s="5">
        <f>IFERROR(__xludf.DUMMYFUNCTION("""COMPUTED_VALUE"""),2024.0)</f>
        <v>2024</v>
      </c>
      <c r="L200" s="8" t="str">
        <f>IFERROR(__xludf.DUMMYFUNCTION("""COMPUTED_VALUE"""),"3.52")</f>
        <v>3.52</v>
      </c>
      <c r="M200" s="5" t="str">
        <f>IFERROR(__xludf.DUMMYFUNCTION("""COMPUTED_VALUE"""),"_")</f>
        <v>_</v>
      </c>
      <c r="N200" s="5" t="str">
        <f>IFERROR(__xludf.DUMMYFUNCTION("""COMPUTED_VALUE"""),"Mayong, Jepara, Jawa Tengah")</f>
        <v>Mayong, Jepara, Jawa Tengah</v>
      </c>
      <c r="O200" s="5" t="str">
        <f>IFERROR(__xludf.DUMMYFUNCTION("""COMPUTED_VALUE"""),"Tidak")</f>
        <v>Tidak</v>
      </c>
      <c r="P200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200" s="5"/>
      <c r="R200" s="11" t="str">
        <f>IFERROR(__xludf.DUMMYFUNCTION("""COMPUTED_VALUE"""),"https://drive.google.com/file/d/1XEWV9G_a3_JgM6mZMc5JldsOl8U470Wu/view?usp=sharing")</f>
        <v>https://drive.google.com/file/d/1XEWV9G_a3_JgM6mZMc5JldsOl8U470Wu/view?usp=sharing</v>
      </c>
      <c r="S200" s="11" t="str">
        <f>IFERROR(__xludf.DUMMYFUNCTION("""COMPUTED_VALUE"""),"https://drive.google.com/file/d/1BBFQYrvyABa77U-eHoNHLElDztglLySm/view?usp=sharing")</f>
        <v>https://drive.google.com/file/d/1BBFQYrvyABa77U-eHoNHLElDztglLySm/view?usp=sharing</v>
      </c>
      <c r="T200" s="5" t="str">
        <f>IFERROR(__xludf.DUMMYFUNCTION("""COMPUTED_VALUE"""),"Lainnya")</f>
        <v>Lainnya</v>
      </c>
      <c r="U200" s="5"/>
      <c r="V200" s="5"/>
      <c r="W200" s="5"/>
      <c r="X200" s="5"/>
      <c r="Y200" s="5"/>
      <c r="Z200" s="11" t="str">
        <f>IFERROR(__xludf.DUMMYFUNCTION("""COMPUTED_VALUE"""),"https://drive.google.com/open?id=1TgwuwuWlYxW5jVg63xTjNp4EjRcVIYLZ")</f>
        <v>https://drive.google.com/open?id=1TgwuwuWlYxW5jVg63xTjNp4EjRcVIYLZ</v>
      </c>
      <c r="AA200" s="42" t="s">
        <v>44</v>
      </c>
      <c r="AB200" s="5"/>
    </row>
    <row r="201">
      <c r="A201" s="68">
        <f>IFERROR(__xludf.DUMMYFUNCTION("""COMPUTED_VALUE"""),46267.780696574075)</f>
        <v>46267.7807</v>
      </c>
      <c r="B201" s="69" t="str">
        <f>IFERROR(__xludf.DUMMYFUNCTION("""COMPUTED_VALUE"""),"sitilistiyowati007@gmail.com")</f>
        <v>sitilistiyowati007@gmail.com</v>
      </c>
      <c r="C201" s="5" t="str">
        <f>IFERROR(__xludf.DUMMYFUNCTION("""COMPUTED_VALUE"""),"SITI LISTIYOWATI")</f>
        <v>SITI LISTIYOWATI</v>
      </c>
      <c r="D201" s="5">
        <f>IFERROR(__xludf.DUMMYFUNCTION("""COMPUTED_VALUE"""),7.000000802E9)</f>
        <v>7000000802</v>
      </c>
      <c r="E201" s="5" t="str">
        <f>IFERROR(__xludf.DUMMYFUNCTION("""COMPUTED_VALUE"""),"085692248442")</f>
        <v>085692248442</v>
      </c>
      <c r="F201" s="7">
        <f>IFERROR(__xludf.DUMMYFUNCTION("""COMPUTED_VALUE"""),35626.0)</f>
        <v>35626</v>
      </c>
      <c r="G201" s="5" t="str">
        <f>IFERROR(__xludf.DUMMYFUNCTION("""COMPUTED_VALUE"""),"PENDIDIKAN IPA")</f>
        <v>PENDIDIKAN IPA</v>
      </c>
      <c r="H201" s="5" t="str">
        <f>IFERROR(__xludf.DUMMYFUNCTION("""COMPUTED_VALUE"""),"UNIVERSITAS NEGERI SEMARANG")</f>
        <v>UNIVERSITAS NEGERI SEMARANG</v>
      </c>
      <c r="I201" s="5" t="str">
        <f>IFERROR(__xludf.DUMMYFUNCTION("""COMPUTED_VALUE"""),"Ilmu Pengetahuan Alam (IPA)")</f>
        <v>Ilmu Pengetahuan Alam (IPA)</v>
      </c>
      <c r="J201" s="5" t="str">
        <f>IFERROR(__xludf.DUMMYFUNCTION("""COMPUTED_VALUE"""),"PPG Prajabatan Gelombang 1 Tahun 2022")</f>
        <v>PPG Prajabatan Gelombang 1 Tahun 2022</v>
      </c>
      <c r="K201" s="5">
        <f>IFERROR(__xludf.DUMMYFUNCTION("""COMPUTED_VALUE"""),2023.0)</f>
        <v>2023</v>
      </c>
      <c r="L201" s="8" t="str">
        <f>IFERROR(__xludf.DUMMYFUNCTION("""COMPUTED_VALUE"""),"3,13")</f>
        <v>3,13</v>
      </c>
      <c r="M201" s="5" t="str">
        <f>IFERROR(__xludf.DUMMYFUNCTION("""COMPUTED_VALUE"""),"3,5")</f>
        <v>3,5</v>
      </c>
      <c r="N201" s="5" t="str">
        <f>IFERROR(__xludf.DUMMYFUNCTION("""COMPUTED_VALUE"""),"DESA DORANG KABUPATEN JEPARA JAWA TENGAH")</f>
        <v>DESA DORANG KABUPATEN JEPARA JAWA TENGAH</v>
      </c>
      <c r="O201" s="5" t="str">
        <f>IFERROR(__xludf.DUMMYFUNCTION("""COMPUTED_VALUE"""),"Tidak")</f>
        <v>Tidak</v>
      </c>
      <c r="P201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201" s="5"/>
      <c r="R201" s="11" t="str">
        <f>IFERROR(__xludf.DUMMYFUNCTION("""COMPUTED_VALUE"""),"https://drive.google.com/drive/folders/1BbNrhkBUeXGFB07Zu5rb0FC2-93aesfT?usp=sharing")</f>
        <v>https://drive.google.com/drive/folders/1BbNrhkBUeXGFB07Zu5rb0FC2-93aesfT?usp=sharing</v>
      </c>
      <c r="S201" s="11" t="str">
        <f>IFERROR(__xludf.DUMMYFUNCTION("""COMPUTED_VALUE"""),"https://drive.google.com/drive/folders/1BbNrhkBUeXGFB07Zu5rb0FC2-93aesfT?usp=sharing")</f>
        <v>https://drive.google.com/drive/folders/1BbNrhkBUeXGFB07Zu5rb0FC2-93aesfT?usp=sharing</v>
      </c>
      <c r="T201" s="5" t="str">
        <f>IFERROR(__xludf.DUMMYFUNCTION("""COMPUTED_VALUE"""),"Lainnya")</f>
        <v>Lainnya</v>
      </c>
      <c r="U201" s="5"/>
      <c r="V201" s="5"/>
      <c r="W201" s="5"/>
      <c r="X201" s="5"/>
      <c r="Y201" s="5"/>
      <c r="Z201" s="11" t="str">
        <f>IFERROR(__xludf.DUMMYFUNCTION("""COMPUTED_VALUE"""),"https://drive.google.com/open?id=1Xd9_Yr4qRCbs8Z0iCMh80sXdD-fdy-uo")</f>
        <v>https://drive.google.com/open?id=1Xd9_Yr4qRCbs8Z0iCMh80sXdD-fdy-uo</v>
      </c>
      <c r="AA201" s="42" t="s">
        <v>54</v>
      </c>
      <c r="AB201" s="42" t="s">
        <v>2621</v>
      </c>
    </row>
    <row r="202">
      <c r="A202" s="68">
        <f>IFERROR(__xludf.DUMMYFUNCTION("""COMPUTED_VALUE"""),46267.787915810186)</f>
        <v>46267.78792</v>
      </c>
      <c r="B202" s="69" t="str">
        <f>IFERROR(__xludf.DUMMYFUNCTION("""COMPUTED_VALUE"""),"suryadwiprabowo@gmail.com")</f>
        <v>suryadwiprabowo@gmail.com</v>
      </c>
      <c r="C202" s="5" t="str">
        <f>IFERROR(__xludf.DUMMYFUNCTION("""COMPUTED_VALUE"""),"Surya Dwi Prabowo, S.Pd., Gr.")</f>
        <v>Surya Dwi Prabowo, S.Pd., Gr.</v>
      </c>
      <c r="D202" s="5">
        <f>IFERROR(__xludf.DUMMYFUNCTION("""COMPUTED_VALUE"""),7.000198025E9)</f>
        <v>7000198025</v>
      </c>
      <c r="E202" s="5" t="str">
        <f>IFERROR(__xludf.DUMMYFUNCTION("""COMPUTED_VALUE"""),"082225385056")</f>
        <v>082225385056</v>
      </c>
      <c r="F202" s="7">
        <f>IFERROR(__xludf.DUMMYFUNCTION("""COMPUTED_VALUE"""),35070.0)</f>
        <v>35070</v>
      </c>
      <c r="G202" s="5" t="str">
        <f>IFERROR(__xludf.DUMMYFUNCTION("""COMPUTED_VALUE"""),"S-1")</f>
        <v>S-1</v>
      </c>
      <c r="H202" s="5" t="str">
        <f>IFERROR(__xludf.DUMMYFUNCTION("""COMPUTED_VALUE"""),"Universitas Sultan Agung Semarang")</f>
        <v>Universitas Sultan Agung Semarang</v>
      </c>
      <c r="I202" s="5" t="str">
        <f>IFERROR(__xludf.DUMMYFUNCTION("""COMPUTED_VALUE"""),"Pendidikan Guru Sekolah Dasar (PGSD)")</f>
        <v>Pendidikan Guru Sekolah Dasar (PGSD)</v>
      </c>
      <c r="J202" s="5" t="str">
        <f>IFERROR(__xludf.DUMMYFUNCTION("""COMPUTED_VALUE"""),"PPG Prajabatan Gelombang 2 Tahun 2023")</f>
        <v>PPG Prajabatan Gelombang 2 Tahun 2023</v>
      </c>
      <c r="K202" s="5">
        <f>IFERROR(__xludf.DUMMYFUNCTION("""COMPUTED_VALUE"""),2024.0)</f>
        <v>2024</v>
      </c>
      <c r="L202" s="8" t="str">
        <f>IFERROR(__xludf.DUMMYFUNCTION("""COMPUTED_VALUE"""),"3.34")</f>
        <v>3.34</v>
      </c>
      <c r="M202" s="5" t="str">
        <f>IFERROR(__xludf.DUMMYFUNCTION("""COMPUTED_VALUE"""),"4.00")</f>
        <v>4.00</v>
      </c>
      <c r="N202" s="5" t="str">
        <f>IFERROR(__xludf.DUMMYFUNCTION("""COMPUTED_VALUE"""),"Kota Kudus, Jawa Tengah")</f>
        <v>Kota Kudus, Jawa Tengah</v>
      </c>
      <c r="O202" s="5" t="str">
        <f>IFERROR(__xludf.DUMMYFUNCTION("""COMPUTED_VALUE"""),"Tidak")</f>
        <v>Tidak</v>
      </c>
      <c r="P202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202" s="5"/>
      <c r="R202" s="5" t="str">
        <f>IFERROR(__xludf.DUMMYFUNCTION("""COMPUTED_VALUE"""),"Tidak ada")</f>
        <v>Tidak ada</v>
      </c>
      <c r="S202" s="11" t="str">
        <f>IFERROR(__xludf.DUMMYFUNCTION("""COMPUTED_VALUE"""),"https://drive.google.com/file/d/1IwfRx5q1pQ71fp6NaZXiPECFmywaw67T/view?usp=drivesdk")</f>
        <v>https://drive.google.com/file/d/1IwfRx5q1pQ71fp6NaZXiPECFmywaw67T/view?usp=drivesdk</v>
      </c>
      <c r="T202" s="5" t="str">
        <f>IFERROR(__xludf.DUMMYFUNCTION("""COMPUTED_VALUE"""),"Lainnya")</f>
        <v>Lainnya</v>
      </c>
      <c r="U202" s="5"/>
      <c r="V202" s="5"/>
      <c r="W202" s="5"/>
      <c r="X202" s="5"/>
      <c r="Y202" s="5"/>
      <c r="Z202" s="11" t="str">
        <f>IFERROR(__xludf.DUMMYFUNCTION("""COMPUTED_VALUE"""),"https://drive.google.com/open?id=1VSSFaaetKiXfd6oW5roZUcV2Alz1TWT6")</f>
        <v>https://drive.google.com/open?id=1VSSFaaetKiXfd6oW5roZUcV2Alz1TWT6</v>
      </c>
      <c r="AA202" s="42" t="s">
        <v>54</v>
      </c>
      <c r="AB202" s="42" t="s">
        <v>2439</v>
      </c>
    </row>
    <row r="203">
      <c r="A203" s="68">
        <f>IFERROR(__xludf.DUMMYFUNCTION("""COMPUTED_VALUE"""),46267.82460094907)</f>
        <v>46267.8246</v>
      </c>
      <c r="B203" s="69" t="str">
        <f>IFERROR(__xludf.DUMMYFUNCTION("""COMPUTED_VALUE"""),"amalia.isfina17@gmail.com")</f>
        <v>amalia.isfina17@gmail.com</v>
      </c>
      <c r="C203" s="5" t="str">
        <f>IFERROR(__xludf.DUMMYFUNCTION("""COMPUTED_VALUE"""),"Isfina Amalia, S.Pd. Gr.")</f>
        <v>Isfina Amalia, S.Pd. Gr.</v>
      </c>
      <c r="D203" s="5">
        <f>IFERROR(__xludf.DUMMYFUNCTION("""COMPUTED_VALUE"""),7.000045054E9)</f>
        <v>7000045054</v>
      </c>
      <c r="E203" s="5" t="str">
        <f>IFERROR(__xludf.DUMMYFUNCTION("""COMPUTED_VALUE"""),"097878134167")</f>
        <v>097878134167</v>
      </c>
      <c r="F203" s="7">
        <f>IFERROR(__xludf.DUMMYFUNCTION("""COMPUTED_VALUE"""),35871.0)</f>
        <v>35871</v>
      </c>
      <c r="G203" s="5" t="str">
        <f>IFERROR(__xludf.DUMMYFUNCTION("""COMPUTED_VALUE"""),"S1- Pendidikan Ekonomi")</f>
        <v>S1- Pendidikan Ekonomi</v>
      </c>
      <c r="H203" s="5" t="str">
        <f>IFERROR(__xludf.DUMMYFUNCTION("""COMPUTED_VALUE"""),"Universitas Negeri Semarang")</f>
        <v>Universitas Negeri Semarang</v>
      </c>
      <c r="I203" s="5" t="str">
        <f>IFERROR(__xludf.DUMMYFUNCTION("""COMPUTED_VALUE"""),"Ekonomi")</f>
        <v>Ekonomi</v>
      </c>
      <c r="J203" s="5" t="str">
        <f>IFERROR(__xludf.DUMMYFUNCTION("""COMPUTED_VALUE"""),"PPG Prajabatan Gelombang 1 Tahun 2022")</f>
        <v>PPG Prajabatan Gelombang 1 Tahun 2022</v>
      </c>
      <c r="K203" s="5">
        <f>IFERROR(__xludf.DUMMYFUNCTION("""COMPUTED_VALUE"""),2023.0)</f>
        <v>2023</v>
      </c>
      <c r="L203" s="8" t="str">
        <f>IFERROR(__xludf.DUMMYFUNCTION("""COMPUTED_VALUE"""),"3.72")</f>
        <v>3.72</v>
      </c>
      <c r="M203" s="5" t="str">
        <f>IFERROR(__xludf.DUMMYFUNCTION("""COMPUTED_VALUE"""),"Tidak ada transkirp nilai")</f>
        <v>Tidak ada transkirp nilai</v>
      </c>
      <c r="N203" s="5" t="str">
        <f>IFERROR(__xludf.DUMMYFUNCTION("""COMPUTED_VALUE"""),"Kota Jepara, Jawa Tengah")</f>
        <v>Kota Jepara, Jawa Tengah</v>
      </c>
      <c r="O203" s="5" t="str">
        <f>IFERROR(__xludf.DUMMYFUNCTION("""COMPUTED_VALUE"""),"Tidak")</f>
        <v>Tidak</v>
      </c>
      <c r="P203" s="5" t="str">
        <f>IFERROR(__xludf.DUMMYFUNCTION("""COMPUTED_VALUE"""),"Kabupaten Jepara - Tenaga pendampingan pembelajaran mata pelajaran Pendidikan Agama Islam")</f>
        <v>Kabupaten Jepara - Tenaga pendampingan pembelajaran mata pelajaran Pendidikan Agama Islam</v>
      </c>
      <c r="Q203" s="5"/>
      <c r="R203" s="11" t="str">
        <f>IFERROR(__xludf.DUMMYFUNCTION("""COMPUTED_VALUE"""),"https://drive.google.com/drive/folders/1ZuK6Alx0u8gVjOrN2gq-JmTFqgKbIK3s?usp=sharing")</f>
        <v>https://drive.google.com/drive/folders/1ZuK6Alx0u8gVjOrN2gq-JmTFqgKbIK3s?usp=sharing</v>
      </c>
      <c r="S203" s="11" t="str">
        <f>IFERROR(__xludf.DUMMYFUNCTION("""COMPUTED_VALUE"""),"https://drive.google.com/file/d/1ety0eqKXa3XiT4hbU_OfMRCPP9DjozpX/view?usp=sharing")</f>
        <v>https://drive.google.com/file/d/1ety0eqKXa3XiT4hbU_OfMRCPP9DjozpX/view?usp=sharing</v>
      </c>
      <c r="T203" s="5" t="str">
        <f>IFERROR(__xludf.DUMMYFUNCTION("""COMPUTED_VALUE"""),"Lainnya")</f>
        <v>Lainnya</v>
      </c>
      <c r="U203" s="5"/>
      <c r="V203" s="5"/>
      <c r="W203" s="5"/>
      <c r="X203" s="5"/>
      <c r="Y203" s="5"/>
      <c r="Z203" s="11" t="str">
        <f>IFERROR(__xludf.DUMMYFUNCTION("""COMPUTED_VALUE"""),"https://drive.google.com/open?id=1ohGzY9pciuHjhKeMf0vQ2feF5sdfgp6x")</f>
        <v>https://drive.google.com/open?id=1ohGzY9pciuHjhKeMf0vQ2feF5sdfgp6x</v>
      </c>
      <c r="AA203" s="42" t="s">
        <v>54</v>
      </c>
      <c r="AB203" s="42" t="s">
        <v>2439</v>
      </c>
    </row>
    <row r="204">
      <c r="A204" s="68">
        <f>IFERROR(__xludf.DUMMYFUNCTION("""COMPUTED_VALUE"""),46267.83695811343)</f>
        <v>46267.83696</v>
      </c>
      <c r="B204" s="69" t="str">
        <f>IFERROR(__xludf.DUMMYFUNCTION("""COMPUTED_VALUE"""),"wahyuniabdillah91@gmail.com")</f>
        <v>wahyuniabdillah91@gmail.com</v>
      </c>
      <c r="C204" s="5" t="str">
        <f>IFERROR(__xludf.DUMMYFUNCTION("""COMPUTED_VALUE"""),"Wahyuni Abdillah, S.Pd. Gr.")</f>
        <v>Wahyuni Abdillah, S.Pd. Gr.</v>
      </c>
      <c r="D204" s="5">
        <f>IFERROR(__xludf.DUMMYFUNCTION("""COMPUTED_VALUE"""),7.000247971E9)</f>
        <v>7000247971</v>
      </c>
      <c r="E204" s="5" t="str">
        <f>IFERROR(__xludf.DUMMYFUNCTION("""COMPUTED_VALUE"""),"0882019168035")</f>
        <v>0882019168035</v>
      </c>
      <c r="F204" s="7">
        <f>IFERROR(__xludf.DUMMYFUNCTION("""COMPUTED_VALUE"""),37430.0)</f>
        <v>37430</v>
      </c>
      <c r="G204" s="5" t="str">
        <f>IFERROR(__xludf.DUMMYFUNCTION("""COMPUTED_VALUE"""),"PENDIDIKAN MATEMATIKA")</f>
        <v>PENDIDIKAN MATEMATIKA</v>
      </c>
      <c r="H204" s="5" t="str">
        <f>IFERROR(__xludf.DUMMYFUNCTION("""COMPUTED_VALUE"""),"UNIVERSITAS MUHAMMADIYAH MAKASSAR")</f>
        <v>UNIVERSITAS MUHAMMADIYAH MAKASSAR</v>
      </c>
      <c r="I204" s="5" t="str">
        <f>IFERROR(__xludf.DUMMYFUNCTION("""COMPUTED_VALUE"""),"Matematika")</f>
        <v>Matematika</v>
      </c>
      <c r="J204" s="5" t="str">
        <f>IFERROR(__xludf.DUMMYFUNCTION("""COMPUTED_VALUE"""),"PPG Calon Guru Gelombang 2 Tahun 2024")</f>
        <v>PPG Calon Guru Gelombang 2 Tahun 2024</v>
      </c>
      <c r="K204" s="5">
        <f>IFERROR(__xludf.DUMMYFUNCTION("""COMPUTED_VALUE"""),2025.0)</f>
        <v>2025</v>
      </c>
      <c r="L204" s="8" t="str">
        <f>IFERROR(__xludf.DUMMYFUNCTION("""COMPUTED_VALUE"""),"3.76")</f>
        <v>3.76</v>
      </c>
      <c r="M204" s="5" t="str">
        <f>IFERROR(__xludf.DUMMYFUNCTION("""COMPUTED_VALUE"""),"4.00")</f>
        <v>4.00</v>
      </c>
      <c r="N204" s="5" t="str">
        <f>IFERROR(__xludf.DUMMYFUNCTION("""COMPUTED_VALUE"""),"Kota Makassar, Sulawesi Selatan")</f>
        <v>Kota Makassar, Sulawesi Selatan</v>
      </c>
      <c r="O204" s="5" t="str">
        <f>IFERROR(__xludf.DUMMYFUNCTION("""COMPUTED_VALUE"""),"Tidak")</f>
        <v>Tidak</v>
      </c>
      <c r="P204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204" s="5"/>
      <c r="R204" s="5" t="str">
        <f>IFERROR(__xludf.DUMMYFUNCTION("""COMPUTED_VALUE"""),"Tidak ada")</f>
        <v>Tidak ada</v>
      </c>
      <c r="S204" s="11" t="str">
        <f>IFERROR(__xludf.DUMMYFUNCTION("""COMPUTED_VALUE"""),"https://drive.google.com/file/d/1H1b60SDS_e2nuExReA8tKk_zKU2XFb0P/view?usp=sharing")</f>
        <v>https://drive.google.com/file/d/1H1b60SDS_e2nuExReA8tKk_zKU2XFb0P/view?usp=sharing</v>
      </c>
      <c r="T204" s="5" t="str">
        <f>IFERROR(__xludf.DUMMYFUNCTION("""COMPUTED_VALUE"""),"Lainnya")</f>
        <v>Lainnya</v>
      </c>
      <c r="U204" s="5"/>
      <c r="V204" s="5"/>
      <c r="W204" s="5"/>
      <c r="X204" s="5"/>
      <c r="Y204" s="5"/>
      <c r="Z204" s="11" t="str">
        <f>IFERROR(__xludf.DUMMYFUNCTION("""COMPUTED_VALUE"""),"https://drive.google.com/open?id=1J8OAdMjhPRtHAMg7vDIHtyEv0aiqdH_h")</f>
        <v>https://drive.google.com/open?id=1J8OAdMjhPRtHAMg7vDIHtyEv0aiqdH_h</v>
      </c>
      <c r="AA204" s="42" t="s">
        <v>54</v>
      </c>
      <c r="AB204" s="42" t="s">
        <v>2439</v>
      </c>
    </row>
    <row r="205">
      <c r="A205" s="68">
        <f>IFERROR(__xludf.DUMMYFUNCTION("""COMPUTED_VALUE"""),46267.83836767362)</f>
        <v>46267.83837</v>
      </c>
      <c r="B205" s="69" t="str">
        <f>IFERROR(__xludf.DUMMYFUNCTION("""COMPUTED_VALUE"""),"ppg.aiadawiyah01@program.belajar.id")</f>
        <v>ppg.aiadawiyah01@program.belajar.id</v>
      </c>
      <c r="C205" s="5" t="str">
        <f>IFERROR(__xludf.DUMMYFUNCTION("""COMPUTED_VALUE"""),"Ai Siti Rabiah Adawiyah, S.Pd.")</f>
        <v>Ai Siti Rabiah Adawiyah, S.Pd.</v>
      </c>
      <c r="D205" s="5">
        <f>IFERROR(__xludf.DUMMYFUNCTION("""COMPUTED_VALUE"""),7.000153971E9)</f>
        <v>7000153971</v>
      </c>
      <c r="E205" s="5" t="str">
        <f>IFERROR(__xludf.DUMMYFUNCTION("""COMPUTED_VALUE"""),"089501944427")</f>
        <v>089501944427</v>
      </c>
      <c r="F205" s="7">
        <f>IFERROR(__xludf.DUMMYFUNCTION("""COMPUTED_VALUE"""),36845.0)</f>
        <v>36845</v>
      </c>
      <c r="G205" s="5" t="str">
        <f>IFERROR(__xludf.DUMMYFUNCTION("""COMPUTED_VALUE"""),"Pendidikan Biologi")</f>
        <v>Pendidikan Biologi</v>
      </c>
      <c r="H205" s="5" t="str">
        <f>IFERROR(__xludf.DUMMYFUNCTION("""COMPUTED_VALUE"""),"Universitas Islam Negeri Sunan Gunung Djati Bandung")</f>
        <v>Universitas Islam Negeri Sunan Gunung Djati Bandung</v>
      </c>
      <c r="I205" s="5" t="str">
        <f>IFERROR(__xludf.DUMMYFUNCTION("""COMPUTED_VALUE"""),"Ilmu Pengetahuan Alam (IPA)")</f>
        <v>Ilmu Pengetahuan Alam (IPA)</v>
      </c>
      <c r="J205" s="5" t="str">
        <f>IFERROR(__xludf.DUMMYFUNCTION("""COMPUTED_VALUE"""),"PPG Prajabatan Gelombang 1 Tahun 2023")</f>
        <v>PPG Prajabatan Gelombang 1 Tahun 2023</v>
      </c>
      <c r="K205" s="5">
        <f>IFERROR(__xludf.DUMMYFUNCTION("""COMPUTED_VALUE"""),2024.0)</f>
        <v>2024</v>
      </c>
      <c r="L205" s="8" t="str">
        <f>IFERROR(__xludf.DUMMYFUNCTION("""COMPUTED_VALUE"""),"3.75")</f>
        <v>3.75</v>
      </c>
      <c r="M205" s="5" t="str">
        <f>IFERROR(__xludf.DUMMYFUNCTION("""COMPUTED_VALUE"""),"3.75")</f>
        <v>3.75</v>
      </c>
      <c r="N205" s="5" t="str">
        <f>IFERROR(__xludf.DUMMYFUNCTION("""COMPUTED_VALUE"""),"Kabupaten Subang, Jawa Barat")</f>
        <v>Kabupaten Subang, Jawa Barat</v>
      </c>
      <c r="O205" s="5" t="str">
        <f>IFERROR(__xludf.DUMMYFUNCTION("""COMPUTED_VALUE"""),"Tidak")</f>
        <v>Tidak</v>
      </c>
      <c r="P205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205" s="5"/>
      <c r="R205" s="11" t="str">
        <f>IFERROR(__xludf.DUMMYFUNCTION("""COMPUTED_VALUE"""),"https://drive.google.com/drive/folders/12LUaQK14lrvAZLtekJDARU0MW4QyLkG5")</f>
        <v>https://drive.google.com/drive/folders/12LUaQK14lrvAZLtekJDARU0MW4QyLkG5</v>
      </c>
      <c r="S205" s="11" t="str">
        <f>IFERROR(__xludf.DUMMYFUNCTION("""COMPUTED_VALUE"""),"https://drive.google.com/drive/folders/18xJQ-3eECT_D55nBI5qwt1501GH2FG3T")</f>
        <v>https://drive.google.com/drive/folders/18xJQ-3eECT_D55nBI5qwt1501GH2FG3T</v>
      </c>
      <c r="T205" s="5" t="str">
        <f>IFERROR(__xludf.DUMMYFUNCTION("""COMPUTED_VALUE"""),"Lainnya")</f>
        <v>Lainnya</v>
      </c>
      <c r="U205" s="5"/>
      <c r="V205" s="5"/>
      <c r="W205" s="5"/>
      <c r="X205" s="5"/>
      <c r="Y205" s="5"/>
      <c r="Z205" s="11" t="str">
        <f>IFERROR(__xludf.DUMMYFUNCTION("""COMPUTED_VALUE"""),"https://drive.google.com/open?id=1iZZIF5e2BkfyUFnJGT3B92ar2kDNglwL")</f>
        <v>https://drive.google.com/open?id=1iZZIF5e2BkfyUFnJGT3B92ar2kDNglwL</v>
      </c>
      <c r="AA205" s="42" t="s">
        <v>44</v>
      </c>
      <c r="AB205" s="5"/>
    </row>
    <row r="206">
      <c r="A206" s="68">
        <f>IFERROR(__xludf.DUMMYFUNCTION("""COMPUTED_VALUE"""),46267.87647505787)</f>
        <v>46267.87648</v>
      </c>
      <c r="B206" s="69" t="str">
        <f>IFERROR(__xludf.DUMMYFUNCTION("""COMPUTED_VALUE"""),"marvelaintan@gmail.com")</f>
        <v>marvelaintan@gmail.com</v>
      </c>
      <c r="C206" s="5" t="str">
        <f>IFERROR(__xludf.DUMMYFUNCTION("""COMPUTED_VALUE"""),"Intan Marvela, S.Pd., Gr.")</f>
        <v>Intan Marvela, S.Pd., Gr.</v>
      </c>
      <c r="D206" s="5">
        <f>IFERROR(__xludf.DUMMYFUNCTION("""COMPUTED_VALUE"""),7.000249518E9)</f>
        <v>7000249518</v>
      </c>
      <c r="E206" s="5" t="str">
        <f>IFERROR(__xludf.DUMMYFUNCTION("""COMPUTED_VALUE"""),"081910516934")</f>
        <v>081910516934</v>
      </c>
      <c r="F206" s="7">
        <f>IFERROR(__xludf.DUMMYFUNCTION("""COMPUTED_VALUE"""),35879.0)</f>
        <v>35879</v>
      </c>
      <c r="G206" s="5" t="str">
        <f>IFERROR(__xludf.DUMMYFUNCTION("""COMPUTED_VALUE"""),"Pendidikan IPA")</f>
        <v>Pendidikan IPA</v>
      </c>
      <c r="H206" s="5" t="str">
        <f>IFERROR(__xludf.DUMMYFUNCTION("""COMPUTED_VALUE"""),"Universitas Sebelas Maret")</f>
        <v>Universitas Sebelas Maret</v>
      </c>
      <c r="I206" s="5" t="str">
        <f>IFERROR(__xludf.DUMMYFUNCTION("""COMPUTED_VALUE"""),"Ilmu Pengetahuan Alam (IPA)")</f>
        <v>Ilmu Pengetahuan Alam (IPA)</v>
      </c>
      <c r="J206" s="5" t="str">
        <f>IFERROR(__xludf.DUMMYFUNCTION("""COMPUTED_VALUE"""),"PPG Calon Guru Gelombang 2 Tahun 2024")</f>
        <v>PPG Calon Guru Gelombang 2 Tahun 2024</v>
      </c>
      <c r="K206" s="5">
        <f>IFERROR(__xludf.DUMMYFUNCTION("""COMPUTED_VALUE"""),2025.0)</f>
        <v>2025</v>
      </c>
      <c r="L206" s="8" t="str">
        <f>IFERROR(__xludf.DUMMYFUNCTION("""COMPUTED_VALUE"""),"3.57")</f>
        <v>3.57</v>
      </c>
      <c r="M206" s="5" t="str">
        <f>IFERROR(__xludf.DUMMYFUNCTION("""COMPUTED_VALUE"""),"4.00")</f>
        <v>4.00</v>
      </c>
      <c r="N206" s="5" t="str">
        <f>IFERROR(__xludf.DUMMYFUNCTION("""COMPUTED_VALUE"""),"Kabupaten Karanganyar, Jawa Tengah")</f>
        <v>Kabupaten Karanganyar, Jawa Tengah</v>
      </c>
      <c r="O206" s="5" t="str">
        <f>IFERROR(__xludf.DUMMYFUNCTION("""COMPUTED_VALUE"""),"Tidak")</f>
        <v>Tidak</v>
      </c>
      <c r="P206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206" s="5"/>
      <c r="R206" s="11" t="str">
        <f>IFERROR(__xludf.DUMMYFUNCTION("""COMPUTED_VALUE"""),"https://drive.google.com/drive/folders/1qeMHbczXXxItu4qFzgGkONP6OQwnrXHl?usp=sharing")</f>
        <v>https://drive.google.com/drive/folders/1qeMHbczXXxItu4qFzgGkONP6OQwnrXHl?usp=sharing</v>
      </c>
      <c r="S206" s="11" t="str">
        <f>IFERROR(__xludf.DUMMYFUNCTION("""COMPUTED_VALUE"""),"https://drive.google.com/drive/folders/1OklC5H6FRFDLospoDAPORQMtrGaZiUSx")</f>
        <v>https://drive.google.com/drive/folders/1OklC5H6FRFDLospoDAPORQMtrGaZiUSx</v>
      </c>
      <c r="T206" s="5" t="str">
        <f>IFERROR(__xludf.DUMMYFUNCTION("""COMPUTED_VALUE"""),"Alumni S1 FKIP UNS yang telah lulus PPG Calon Guru/Prajabatan bukan di FKIP UNS")</f>
        <v>Alumni S1 FKIP UNS yang telah lulus PPG Calon Guru/Prajabatan bukan di FKIP UNS</v>
      </c>
      <c r="U206" s="5"/>
      <c r="V206" s="5" t="str">
        <f>IFERROR(__xludf.DUMMYFUNCTION("""COMPUTED_VALUE"""),"K4516029")</f>
        <v>K4516029</v>
      </c>
      <c r="W206" s="5" t="str">
        <f>IFERROR(__xludf.DUMMYFUNCTION("""COMPUTED_VALUE"""),"Pendidikan IPA")</f>
        <v>Pendidikan IPA</v>
      </c>
      <c r="X206" s="5" t="str">
        <f>IFERROR(__xludf.DUMMYFUNCTION("""COMPUTED_VALUE"""),"Universitas Tidar")</f>
        <v>Universitas Tidar</v>
      </c>
      <c r="Y206" s="5" t="str">
        <f>IFERROR(__xludf.DUMMYFUNCTION("""COMPUTED_VALUE"""),"2470307567")</f>
        <v>2470307567</v>
      </c>
      <c r="Z206" s="11" t="str">
        <f>IFERROR(__xludf.DUMMYFUNCTION("""COMPUTED_VALUE"""),"https://drive.google.com/open?id=1lrU4ShOquWmqIzS5iBgCbvHXEUf9E1df")</f>
        <v>https://drive.google.com/open?id=1lrU4ShOquWmqIzS5iBgCbvHXEUf9E1df</v>
      </c>
      <c r="AA206" s="42" t="s">
        <v>44</v>
      </c>
      <c r="AB206" s="5"/>
    </row>
    <row r="207">
      <c r="A207" s="68">
        <f>IFERROR(__xludf.DUMMYFUNCTION("""COMPUTED_VALUE"""),46267.89515351852)</f>
        <v>46267.89515</v>
      </c>
      <c r="B207" s="69" t="str">
        <f>IFERROR(__xludf.DUMMYFUNCTION("""COMPUTED_VALUE"""),"maulidiauswatun15@gmail.com")</f>
        <v>maulidiauswatun15@gmail.com</v>
      </c>
      <c r="C207" s="5" t="str">
        <f>IFERROR(__xludf.DUMMYFUNCTION("""COMPUTED_VALUE"""),"Maulidia, Uswatun Khasanah, S.Pd")</f>
        <v>Maulidia, Uswatun Khasanah, S.Pd</v>
      </c>
      <c r="D207" s="5">
        <f>IFERROR(__xludf.DUMMYFUNCTION("""COMPUTED_VALUE"""),7.000319996E9)</f>
        <v>7000319996</v>
      </c>
      <c r="E207" s="5" t="str">
        <f>IFERROR(__xludf.DUMMYFUNCTION("""COMPUTED_VALUE"""),"08993552452")</f>
        <v>08993552452</v>
      </c>
      <c r="F207" s="7">
        <f>IFERROR(__xludf.DUMMYFUNCTION("""COMPUTED_VALUE"""),36692.0)</f>
        <v>36692</v>
      </c>
      <c r="G207" s="5" t="str">
        <f>IFERROR(__xludf.DUMMYFUNCTION("""COMPUTED_VALUE"""),"Pendidikan Kimia")</f>
        <v>Pendidikan Kimia</v>
      </c>
      <c r="H207" s="5" t="str">
        <f>IFERROR(__xludf.DUMMYFUNCTION("""COMPUTED_VALUE"""),"Universitas Negeri Surabaya")</f>
        <v>Universitas Negeri Surabaya</v>
      </c>
      <c r="I207" s="5" t="str">
        <f>IFERROR(__xludf.DUMMYFUNCTION("""COMPUTED_VALUE"""),"Kimia")</f>
        <v>Kimia</v>
      </c>
      <c r="J207" s="5" t="str">
        <f>IFERROR(__xludf.DUMMYFUNCTION("""COMPUTED_VALUE"""),"PPG Calon Guru Gelombang 2 Tahun 2024")</f>
        <v>PPG Calon Guru Gelombang 2 Tahun 2024</v>
      </c>
      <c r="K207" s="5">
        <f>IFERROR(__xludf.DUMMYFUNCTION("""COMPUTED_VALUE"""),2025.0)</f>
        <v>2025</v>
      </c>
      <c r="L207" s="8" t="str">
        <f>IFERROR(__xludf.DUMMYFUNCTION("""COMPUTED_VALUE"""),"3.90")</f>
        <v>3.90</v>
      </c>
      <c r="M207" s="5" t="str">
        <f>IFERROR(__xludf.DUMMYFUNCTION("""COMPUTED_VALUE"""),"4.00")</f>
        <v>4.00</v>
      </c>
      <c r="N207" s="5" t="str">
        <f>IFERROR(__xludf.DUMMYFUNCTION("""COMPUTED_VALUE"""),"Sidoarjo, Jawa Timur")</f>
        <v>Sidoarjo, Jawa Timur</v>
      </c>
      <c r="O207" s="5" t="str">
        <f>IFERROR(__xludf.DUMMYFUNCTION("""COMPUTED_VALUE"""),"Tidak")</f>
        <v>Tidak</v>
      </c>
      <c r="P207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207" s="5"/>
      <c r="R207" s="5" t="str">
        <f>IFERROR(__xludf.DUMMYFUNCTION("""COMPUTED_VALUE"""),"-")</f>
        <v>-</v>
      </c>
      <c r="S207" s="11" t="str">
        <f>IFERROR(__xludf.DUMMYFUNCTION("""COMPUTED_VALUE"""),"https://drive.google.com/file/d/17FdJmY2Q_rOwdCw03xhjj_qUQHZs8Ubh/view?usp=drivesdk")</f>
        <v>https://drive.google.com/file/d/17FdJmY2Q_rOwdCw03xhjj_qUQHZs8Ubh/view?usp=drivesdk</v>
      </c>
      <c r="T207" s="5" t="str">
        <f>IFERROR(__xludf.DUMMYFUNCTION("""COMPUTED_VALUE"""),"Lainnya")</f>
        <v>Lainnya</v>
      </c>
      <c r="U207" s="5"/>
      <c r="V207" s="5"/>
      <c r="W207" s="5"/>
      <c r="X207" s="5"/>
      <c r="Y207" s="5"/>
      <c r="Z207" s="11" t="str">
        <f>IFERROR(__xludf.DUMMYFUNCTION("""COMPUTED_VALUE"""),"https://drive.google.com/open?id=1G82mubitOC75LkF0OYYL2raNHg4eLDtC")</f>
        <v>https://drive.google.com/open?id=1G82mubitOC75LkF0OYYL2raNHg4eLDtC</v>
      </c>
      <c r="AA207" s="42" t="s">
        <v>44</v>
      </c>
      <c r="AB207" s="5"/>
    </row>
    <row r="208">
      <c r="A208" s="68">
        <f>IFERROR(__xludf.DUMMYFUNCTION("""COMPUTED_VALUE"""),46267.92361115741)</f>
        <v>46267.92361</v>
      </c>
      <c r="B208" s="69" t="str">
        <f>IFERROR(__xludf.DUMMYFUNCTION("""COMPUTED_VALUE"""),"salmawati3april@gmail.com")</f>
        <v>salmawati3april@gmail.com</v>
      </c>
      <c r="C208" s="5" t="str">
        <f>IFERROR(__xludf.DUMMYFUNCTION("""COMPUTED_VALUE"""),"Gina Puspita, S.Pd.,Gr")</f>
        <v>Gina Puspita, S.Pd.,Gr</v>
      </c>
      <c r="D208" s="5">
        <f>IFERROR(__xludf.DUMMYFUNCTION("""COMPUTED_VALUE"""),7.000226649E9)</f>
        <v>7000226649</v>
      </c>
      <c r="E208" s="5" t="str">
        <f>IFERROR(__xludf.DUMMYFUNCTION("""COMPUTED_VALUE"""),"082145403397")</f>
        <v>082145403397</v>
      </c>
      <c r="F208" s="7">
        <f>IFERROR(__xludf.DUMMYFUNCTION("""COMPUTED_VALUE"""),36312.0)</f>
        <v>36312</v>
      </c>
      <c r="G208" s="5" t="str">
        <f>IFERROR(__xludf.DUMMYFUNCTION("""COMPUTED_VALUE"""),"PENDIDIKAN GURU MI")</f>
        <v>PENDIDIKAN GURU MI</v>
      </c>
      <c r="H208" s="5" t="str">
        <f>IFERROR(__xludf.DUMMYFUNCTION("""COMPUTED_VALUE"""),"UIN SUNAN GUNUNG DJATI BANDUNG")</f>
        <v>UIN SUNAN GUNUNG DJATI BANDUNG</v>
      </c>
      <c r="I208" s="5" t="str">
        <f>IFERROR(__xludf.DUMMYFUNCTION("""COMPUTED_VALUE"""),"Pendidikan Guru Sekolah Dasar (PGSD)")</f>
        <v>Pendidikan Guru Sekolah Dasar (PGSD)</v>
      </c>
      <c r="J208" s="5" t="str">
        <f>IFERROR(__xludf.DUMMYFUNCTION("""COMPUTED_VALUE"""),"PPG Prajabatan Gelombang 1 Tahun 2024")</f>
        <v>PPG Prajabatan Gelombang 1 Tahun 2024</v>
      </c>
      <c r="K208" s="5">
        <f>IFERROR(__xludf.DUMMYFUNCTION("""COMPUTED_VALUE"""),2024.0)</f>
        <v>2024</v>
      </c>
      <c r="L208" s="8" t="str">
        <f>IFERROR(__xludf.DUMMYFUNCTION("""COMPUTED_VALUE"""),"3.31")</f>
        <v>3.31</v>
      </c>
      <c r="M208" s="5" t="str">
        <f>IFERROR(__xludf.DUMMYFUNCTION("""COMPUTED_VALUE"""),"4.00")</f>
        <v>4.00</v>
      </c>
      <c r="N208" s="5" t="str">
        <f>IFERROR(__xludf.DUMMYFUNCTION("""COMPUTED_VALUE"""),"KABUPATEN BIMA, NUSA TENGGARA BARAT")</f>
        <v>KABUPATEN BIMA, NUSA TENGGARA BARAT</v>
      </c>
      <c r="O208" s="5" t="str">
        <f>IFERROR(__xludf.DUMMYFUNCTION("""COMPUTED_VALUE"""),"Tidak")</f>
        <v>Tidak</v>
      </c>
      <c r="P208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208" s="5"/>
      <c r="R208" s="5" t="str">
        <f>IFERROR(__xludf.DUMMYFUNCTION("""COMPUTED_VALUE"""),"Mengikuti Pelatihan Seminar dan Lokakarya (Semiloka) Pendidikan Nasional Provinsi NTB dengan tema 'Strategi Mewujudkan Pendidikan Berkelas Dunia di Provinsi Nusa Tenggara Barat'")</f>
        <v>Mengikuti Pelatihan Seminar dan Lokakarya (Semiloka) Pendidikan Nasional Provinsi NTB dengan tema 'Strategi Mewujudkan Pendidikan Berkelas Dunia di Provinsi Nusa Tenggara Barat'</v>
      </c>
      <c r="S208" s="11" t="str">
        <f>IFERROR(__xludf.DUMMYFUNCTION("""COMPUTED_VALUE"""),"https://drive.google.com/file/d/1TaOLElal1yMWcoRJCkSbcKTQjb-0XBpq/view?usp=drivesdk")</f>
        <v>https://drive.google.com/file/d/1TaOLElal1yMWcoRJCkSbcKTQjb-0XBpq/view?usp=drivesdk</v>
      </c>
      <c r="T208" s="5" t="str">
        <f>IFERROR(__xludf.DUMMYFUNCTION("""COMPUTED_VALUE"""),"Lainnya")</f>
        <v>Lainnya</v>
      </c>
      <c r="U208" s="5"/>
      <c r="V208" s="5"/>
      <c r="W208" s="5"/>
      <c r="X208" s="5"/>
      <c r="Y208" s="5"/>
      <c r="Z208" s="11" t="str">
        <f>IFERROR(__xludf.DUMMYFUNCTION("""COMPUTED_VALUE"""),"https://drive.google.com/open?id=1fae4WmLqP1XdYuAlsYtFW5_mWBLKSA44")</f>
        <v>https://drive.google.com/open?id=1fae4WmLqP1XdYuAlsYtFW5_mWBLKSA44</v>
      </c>
      <c r="AA208" s="42" t="s">
        <v>54</v>
      </c>
      <c r="AB208" s="5"/>
    </row>
    <row r="209">
      <c r="A209" s="68">
        <f>IFERROR(__xludf.DUMMYFUNCTION("""COMPUTED_VALUE"""),46267.92849733797)</f>
        <v>46267.9285</v>
      </c>
      <c r="B209" s="69" t="str">
        <f>IFERROR(__xludf.DUMMYFUNCTION("""COMPUTED_VALUE"""),"maliyaimama@gmail.com")</f>
        <v>maliyaimama@gmail.com</v>
      </c>
      <c r="C209" s="5" t="str">
        <f>IFERROR(__xludf.DUMMYFUNCTION("""COMPUTED_VALUE"""),"Maliya Nur Imamah, S.Pd.")</f>
        <v>Maliya Nur Imamah, S.Pd.</v>
      </c>
      <c r="D209" s="5">
        <f>IFERROR(__xludf.DUMMYFUNCTION("""COMPUTED_VALUE"""),7.000256959E9)</f>
        <v>7000256959</v>
      </c>
      <c r="E209" s="5" t="str">
        <f>IFERROR(__xludf.DUMMYFUNCTION("""COMPUTED_VALUE"""),"085540312941")</f>
        <v>085540312941</v>
      </c>
      <c r="F209" s="7">
        <f>IFERROR(__xludf.DUMMYFUNCTION("""COMPUTED_VALUE"""),36761.0)</f>
        <v>36761</v>
      </c>
      <c r="G209" s="5" t="str">
        <f>IFERROR(__xludf.DUMMYFUNCTION("""COMPUTED_VALUE"""),"Pendidikan Ilmu Pengetahuan Alam ")</f>
        <v>Pendidikan Ilmu Pengetahuan Alam </v>
      </c>
      <c r="H209" s="5" t="str">
        <f>IFERROR(__xludf.DUMMYFUNCTION("""COMPUTED_VALUE"""),"Universitas Trunojoyo Madura ")</f>
        <v>Universitas Trunojoyo Madura </v>
      </c>
      <c r="I209" s="5" t="str">
        <f>IFERROR(__xludf.DUMMYFUNCTION("""COMPUTED_VALUE"""),"Ilmu Pengetahuan Alam (IPA)")</f>
        <v>Ilmu Pengetahuan Alam (IPA)</v>
      </c>
      <c r="J209" s="5" t="str">
        <f>IFERROR(__xludf.DUMMYFUNCTION("""COMPUTED_VALUE"""),"PPG Calon Guru Gelombang 2 Tahun 2024")</f>
        <v>PPG Calon Guru Gelombang 2 Tahun 2024</v>
      </c>
      <c r="K209" s="5">
        <f>IFERROR(__xludf.DUMMYFUNCTION("""COMPUTED_VALUE"""),2025.0)</f>
        <v>2025</v>
      </c>
      <c r="L209" s="8" t="str">
        <f>IFERROR(__xludf.DUMMYFUNCTION("""COMPUTED_VALUE"""),"3.91")</f>
        <v>3.91</v>
      </c>
      <c r="M209" s="5" t="str">
        <f>IFERROR(__xludf.DUMMYFUNCTION("""COMPUTED_VALUE"""),"4")</f>
        <v>4</v>
      </c>
      <c r="N209" s="5" t="str">
        <f>IFERROR(__xludf.DUMMYFUNCTION("""COMPUTED_VALUE"""),"Jepara, Jawa Tengah ")</f>
        <v>Jepara, Jawa Tengah </v>
      </c>
      <c r="O209" s="5" t="str">
        <f>IFERROR(__xludf.DUMMYFUNCTION("""COMPUTED_VALUE"""),"Tidak")</f>
        <v>Tidak</v>
      </c>
      <c r="P209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209" s="5"/>
      <c r="R209" s="11" t="str">
        <f>IFERROR(__xludf.DUMMYFUNCTION("""COMPUTED_VALUE"""),"https://drive.google.com/drive/folders/1ToPxf64AlmpbPv5EB4LXPa-Ox2OwTg_V?usp=sharing")</f>
        <v>https://drive.google.com/drive/folders/1ToPxf64AlmpbPv5EB4LXPa-Ox2OwTg_V?usp=sharing</v>
      </c>
      <c r="S209" s="11" t="str">
        <f>IFERROR(__xludf.DUMMYFUNCTION("""COMPUTED_VALUE"""),"https://drive.google.com/drive/folders/1YILji-NEk9EOr82JBqJsQHRVAbvbUghJ")</f>
        <v>https://drive.google.com/drive/folders/1YILji-NEk9EOr82JBqJsQHRVAbvbUghJ</v>
      </c>
      <c r="T209" s="5" t="str">
        <f>IFERROR(__xludf.DUMMYFUNCTION("""COMPUTED_VALUE"""),"Lainnya")</f>
        <v>Lainnya</v>
      </c>
      <c r="U209" s="5"/>
      <c r="V209" s="5"/>
      <c r="W209" s="5"/>
      <c r="X209" s="5"/>
      <c r="Y209" s="5"/>
      <c r="Z209" s="11" t="str">
        <f>IFERROR(__xludf.DUMMYFUNCTION("""COMPUTED_VALUE"""),"https://drive.google.com/open?id=1-w7scFcE8qym4j-hQPmOCVhxry3kEsLd")</f>
        <v>https://drive.google.com/open?id=1-w7scFcE8qym4j-hQPmOCVhxry3kEsLd</v>
      </c>
      <c r="AA209" s="42" t="s">
        <v>44</v>
      </c>
      <c r="AB209" s="5"/>
    </row>
    <row r="210">
      <c r="A210" s="68">
        <f>IFERROR(__xludf.DUMMYFUNCTION("""COMPUTED_VALUE"""),46267.93360986111)</f>
        <v>46267.93361</v>
      </c>
      <c r="B210" s="69" t="str">
        <f>IFERROR(__xludf.DUMMYFUNCTION("""COMPUTED_VALUE"""),"saviraputriwulandari@gmail.com")</f>
        <v>saviraputriwulandari@gmail.com</v>
      </c>
      <c r="C210" s="5" t="str">
        <f>IFERROR(__xludf.DUMMYFUNCTION("""COMPUTED_VALUE"""),"Savira Putri Wulandari S.P. Gr")</f>
        <v>Savira Putri Wulandari S.P. Gr</v>
      </c>
      <c r="D210" s="5">
        <f>IFERROR(__xludf.DUMMYFUNCTION("""COMPUTED_VALUE"""),2.4660694E7)</f>
        <v>24660694</v>
      </c>
      <c r="E210" s="5" t="str">
        <f>IFERROR(__xludf.DUMMYFUNCTION("""COMPUTED_VALUE"""),"089627161085")</f>
        <v>089627161085</v>
      </c>
      <c r="F210" s="7">
        <f>IFERROR(__xludf.DUMMYFUNCTION("""COMPUTED_VALUE"""),37386.0)</f>
        <v>37386</v>
      </c>
      <c r="G210" s="5" t="str">
        <f>IFERROR(__xludf.DUMMYFUNCTION("""COMPUTED_VALUE"""),"Agribisnis")</f>
        <v>Agribisnis</v>
      </c>
      <c r="H210" s="5" t="str">
        <f>IFERROR(__xludf.DUMMYFUNCTION("""COMPUTED_VALUE"""),"Universitas Jember")</f>
        <v>Universitas Jember</v>
      </c>
      <c r="I210" s="5" t="str">
        <f>IFERROR(__xludf.DUMMYFUNCTION("""COMPUTED_VALUE"""),"Lainnya")</f>
        <v>Lainnya</v>
      </c>
      <c r="J210" s="5" t="str">
        <f>IFERROR(__xludf.DUMMYFUNCTION("""COMPUTED_VALUE"""),"PPG Calon Guru Gelombang 2 Tahun 2024")</f>
        <v>PPG Calon Guru Gelombang 2 Tahun 2024</v>
      </c>
      <c r="K210" s="5">
        <f>IFERROR(__xludf.DUMMYFUNCTION("""COMPUTED_VALUE"""),2025.0)</f>
        <v>2025</v>
      </c>
      <c r="L210" s="8" t="str">
        <f>IFERROR(__xludf.DUMMYFUNCTION("""COMPUTED_VALUE"""),"4.00")</f>
        <v>4.00</v>
      </c>
      <c r="M210" s="5" t="str">
        <f>IFERROR(__xludf.DUMMYFUNCTION("""COMPUTED_VALUE"""),"4.00")</f>
        <v>4.00</v>
      </c>
      <c r="N210" s="5" t="str">
        <f>IFERROR(__xludf.DUMMYFUNCTION("""COMPUTED_VALUE"""),"Jember, Jawa Timur")</f>
        <v>Jember, Jawa Timur</v>
      </c>
      <c r="O210" s="5" t="str">
        <f>IFERROR(__xludf.DUMMYFUNCTION("""COMPUTED_VALUE"""),"Tidak")</f>
        <v>Tidak</v>
      </c>
      <c r="P210" s="5" t="str">
        <f>IFERROR(__xludf.DUMMYFUNCTION("""COMPUTED_VALUE"""),"Kabupaten Buton Tengah - Tenaga pendampingan pembelajaran mata pelajaran Ekonomi")</f>
        <v>Kabupaten Buton Tengah - Tenaga pendampingan pembelajaran mata pelajaran Ekonomi</v>
      </c>
      <c r="Q210" s="5"/>
      <c r="R210" s="11" t="str">
        <f>IFERROR(__xludf.DUMMYFUNCTION("""COMPUTED_VALUE"""),"https://drive.google.com/drive/folders/12khkzgkqTtm8ioLxgimKuN7ckMlN-Ggm")</f>
        <v>https://drive.google.com/drive/folders/12khkzgkqTtm8ioLxgimKuN7ckMlN-Ggm</v>
      </c>
      <c r="S210" s="11" t="str">
        <f>IFERROR(__xludf.DUMMYFUNCTION("""COMPUTED_VALUE"""),"https://drive.google.com/file/d/1RQT-PNJMzKqPTQ6YxYdTfSZAVuSsTTcE/view")</f>
        <v>https://drive.google.com/file/d/1RQT-PNJMzKqPTQ6YxYdTfSZAVuSsTTcE/view</v>
      </c>
      <c r="T210" s="5" t="str">
        <f>IFERROR(__xludf.DUMMYFUNCTION("""COMPUTED_VALUE"""),"Lainnya")</f>
        <v>Lainnya</v>
      </c>
      <c r="U210" s="5"/>
      <c r="V210" s="5"/>
      <c r="W210" s="5"/>
      <c r="X210" s="5"/>
      <c r="Y210" s="5"/>
      <c r="Z210" s="11" t="str">
        <f>IFERROR(__xludf.DUMMYFUNCTION("""COMPUTED_VALUE"""),"https://drive.google.com/open?id=1btBLZWSKfK9MPITXSmTW6gOHMCx4aD-r")</f>
        <v>https://drive.google.com/open?id=1btBLZWSKfK9MPITXSmTW6gOHMCx4aD-r</v>
      </c>
      <c r="AA210" s="42" t="s">
        <v>54</v>
      </c>
      <c r="AB210" s="42" t="s">
        <v>2439</v>
      </c>
    </row>
    <row r="211">
      <c r="A211" s="68">
        <f>IFERROR(__xludf.DUMMYFUNCTION("""COMPUTED_VALUE"""),46267.93813226852)</f>
        <v>46267.93813</v>
      </c>
      <c r="B211" s="69" t="str">
        <f>IFERROR(__xludf.DUMMYFUNCTION("""COMPUTED_VALUE"""),"gipuspita6@gmail.com")</f>
        <v>gipuspita6@gmail.com</v>
      </c>
      <c r="C211" s="5" t="str">
        <f>IFERROR(__xludf.DUMMYFUNCTION("""COMPUTED_VALUE"""),"Gina Puspita, S.Pd.,Gr")</f>
        <v>Gina Puspita, S.Pd.,Gr</v>
      </c>
      <c r="D211" s="5">
        <f>IFERROR(__xludf.DUMMYFUNCTION("""COMPUTED_VALUE"""),7.000226649E9)</f>
        <v>7000226649</v>
      </c>
      <c r="E211" s="5" t="str">
        <f>IFERROR(__xludf.DUMMYFUNCTION("""COMPUTED_VALUE"""),"082145403397")</f>
        <v>082145403397</v>
      </c>
      <c r="F211" s="7">
        <f>IFERROR(__xludf.DUMMYFUNCTION("""COMPUTED_VALUE"""),36312.0)</f>
        <v>36312</v>
      </c>
      <c r="G211" s="5" t="str">
        <f>IFERROR(__xludf.DUMMYFUNCTION("""COMPUTED_VALUE"""),"PENDIDIKAN GURU MI")</f>
        <v>PENDIDIKAN GURU MI</v>
      </c>
      <c r="H211" s="5" t="str">
        <f>IFERROR(__xludf.DUMMYFUNCTION("""COMPUTED_VALUE"""),"UIN SUNAN GUNUNG DJATI BANDUNG")</f>
        <v>UIN SUNAN GUNUNG DJATI BANDUNG</v>
      </c>
      <c r="I211" s="5" t="str">
        <f>IFERROR(__xludf.DUMMYFUNCTION("""COMPUTED_VALUE"""),"Pendidikan Guru Sekolah Dasar (PGSD)")</f>
        <v>Pendidikan Guru Sekolah Dasar (PGSD)</v>
      </c>
      <c r="J211" s="5" t="str">
        <f>IFERROR(__xludf.DUMMYFUNCTION("""COMPUTED_VALUE"""),"PPG Prajabatan Gelombang 1 Tahun 2024")</f>
        <v>PPG Prajabatan Gelombang 1 Tahun 2024</v>
      </c>
      <c r="K211" s="5">
        <f>IFERROR(__xludf.DUMMYFUNCTION("""COMPUTED_VALUE"""),2024.0)</f>
        <v>2024</v>
      </c>
      <c r="L211" s="8" t="str">
        <f>IFERROR(__xludf.DUMMYFUNCTION("""COMPUTED_VALUE"""),"3.31")</f>
        <v>3.31</v>
      </c>
      <c r="M211" s="5" t="str">
        <f>IFERROR(__xludf.DUMMYFUNCTION("""COMPUTED_VALUE"""),"4.00")</f>
        <v>4.00</v>
      </c>
      <c r="N211" s="5" t="str">
        <f>IFERROR(__xludf.DUMMYFUNCTION("""COMPUTED_VALUE"""),"Kabupaten Bima, Nusa Tenggara Barat")</f>
        <v>Kabupaten Bima, Nusa Tenggara Barat</v>
      </c>
      <c r="O211" s="5" t="str">
        <f>IFERROR(__xludf.DUMMYFUNCTION("""COMPUTED_VALUE"""),"Tidak")</f>
        <v>Tidak</v>
      </c>
      <c r="P211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211" s="5"/>
      <c r="R211" s="11" t="str">
        <f>IFERROR(__xludf.DUMMYFUNCTION("""COMPUTED_VALUE"""),"https://drive.google.com/file/d/1Rh1b__zKa2ZQ_SzOjR0o3j4HYCMsynEu/view?usp=drivesdk")</f>
        <v>https://drive.google.com/file/d/1Rh1b__zKa2ZQ_SzOjR0o3j4HYCMsynEu/view?usp=drivesdk</v>
      </c>
      <c r="S211" s="11" t="str">
        <f>IFERROR(__xludf.DUMMYFUNCTION("""COMPUTED_VALUE"""),"https://drive.google.com/file/d/1TaOLElal1yMWcoRJCkSbcKTQjb-0XBpq/view?usp=drivesdk")</f>
        <v>https://drive.google.com/file/d/1TaOLElal1yMWcoRJCkSbcKTQjb-0XBpq/view?usp=drivesdk</v>
      </c>
      <c r="T211" s="5" t="str">
        <f>IFERROR(__xludf.DUMMYFUNCTION("""COMPUTED_VALUE"""),"Lainnya")</f>
        <v>Lainnya</v>
      </c>
      <c r="U211" s="5"/>
      <c r="V211" s="5"/>
      <c r="W211" s="5"/>
      <c r="X211" s="5"/>
      <c r="Y211" s="5"/>
      <c r="Z211" s="11" t="str">
        <f>IFERROR(__xludf.DUMMYFUNCTION("""COMPUTED_VALUE"""),"https://drive.google.com/open?id=1Orzqacb8lKen18Nrq3LaKEvCREiBJ0rc")</f>
        <v>https://drive.google.com/open?id=1Orzqacb8lKen18Nrq3LaKEvCREiBJ0rc</v>
      </c>
      <c r="AA211" s="42" t="s">
        <v>54</v>
      </c>
      <c r="AB211" s="42" t="s">
        <v>2439</v>
      </c>
    </row>
    <row r="212">
      <c r="A212" s="68">
        <f>IFERROR(__xludf.DUMMYFUNCTION("""COMPUTED_VALUE"""),46267.95338237269)</f>
        <v>46267.95338</v>
      </c>
      <c r="B212" s="69" t="str">
        <f>IFERROR(__xludf.DUMMYFUNCTION("""COMPUTED_VALUE"""),"anishusna.ah@gmail.com")</f>
        <v>anishusna.ah@gmail.com</v>
      </c>
      <c r="C212" s="5" t="str">
        <f>IFERROR(__xludf.DUMMYFUNCTION("""COMPUTED_VALUE"""),"Anis Risalatul Husna, S.Pd., Gr.")</f>
        <v>Anis Risalatul Husna, S.Pd., Gr.</v>
      </c>
      <c r="D212" s="5">
        <f>IFERROR(__xludf.DUMMYFUNCTION("""COMPUTED_VALUE"""),7.000126588E9)</f>
        <v>7000126588</v>
      </c>
      <c r="E212" s="5" t="str">
        <f>IFERROR(__xludf.DUMMYFUNCTION("""COMPUTED_VALUE"""),"082229822404")</f>
        <v>082229822404</v>
      </c>
      <c r="F212" s="7">
        <f>IFERROR(__xludf.DUMMYFUNCTION("""COMPUTED_VALUE"""),36790.0)</f>
        <v>36790</v>
      </c>
      <c r="G212" s="5" t="str">
        <f>IFERROR(__xludf.DUMMYFUNCTION("""COMPUTED_VALUE"""),"Pendidikan Biologi")</f>
        <v>Pendidikan Biologi</v>
      </c>
      <c r="H212" s="5" t="str">
        <f>IFERROR(__xludf.DUMMYFUNCTION("""COMPUTED_VALUE"""),"Universitas Muhammadiyah Surakarta")</f>
        <v>Universitas Muhammadiyah Surakarta</v>
      </c>
      <c r="I212" s="5" t="str">
        <f>IFERROR(__xludf.DUMMYFUNCTION("""COMPUTED_VALUE"""),"Ilmu Pengetahuan Alam (IPA)")</f>
        <v>Ilmu Pengetahuan Alam (IPA)</v>
      </c>
      <c r="J212" s="5" t="str">
        <f>IFERROR(__xludf.DUMMYFUNCTION("""COMPUTED_VALUE"""),"PPG Prajabatan Gelombang 1 Tahun 2023")</f>
        <v>PPG Prajabatan Gelombang 1 Tahun 2023</v>
      </c>
      <c r="K212" s="5">
        <f>IFERROR(__xludf.DUMMYFUNCTION("""COMPUTED_VALUE"""),2024.0)</f>
        <v>2024</v>
      </c>
      <c r="L212" s="8" t="str">
        <f>IFERROR(__xludf.DUMMYFUNCTION("""COMPUTED_VALUE"""),"3.51")</f>
        <v>3.51</v>
      </c>
      <c r="M212" s="5" t="str">
        <f>IFERROR(__xludf.DUMMYFUNCTION("""COMPUTED_VALUE"""),"3,96")</f>
        <v>3,96</v>
      </c>
      <c r="N212" s="5" t="str">
        <f>IFERROR(__xludf.DUMMYFUNCTION("""COMPUTED_VALUE"""),"Kabupaten Ngawi, Jawa Timur")</f>
        <v>Kabupaten Ngawi, Jawa Timur</v>
      </c>
      <c r="O212" s="5" t="str">
        <f>IFERROR(__xludf.DUMMYFUNCTION("""COMPUTED_VALUE"""),"Tidak")</f>
        <v>Tidak</v>
      </c>
      <c r="P212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212" s="5"/>
      <c r="R212" s="11" t="str">
        <f>IFERROR(__xludf.DUMMYFUNCTION("""COMPUTED_VALUE"""),"https://drive.google.com/drive/folders/1mDUGkIBhY1Wv5ag4XB8fO_0Bm-afpdlu")</f>
        <v>https://drive.google.com/drive/folders/1mDUGkIBhY1Wv5ag4XB8fO_0Bm-afpdlu</v>
      </c>
      <c r="S212" s="11" t="str">
        <f>IFERROR(__xludf.DUMMYFUNCTION("""COMPUTED_VALUE"""),"https://drive.google.com/file/d/1r9JITidVHNof3WzYhgjA9Q3Vf5GMZNES/view?usp=sharing")</f>
        <v>https://drive.google.com/file/d/1r9JITidVHNof3WzYhgjA9Q3Vf5GMZNES/view?usp=sharing</v>
      </c>
      <c r="T212" s="5" t="str">
        <f>IFERROR(__xludf.DUMMYFUNCTION("""COMPUTED_VALUE"""),"Alumni PPG Calon Guru / Prajabatan FKIP UNS")</f>
        <v>Alumni PPG Calon Guru / Prajabatan FKIP UNS</v>
      </c>
      <c r="U212" s="5" t="str">
        <f>IFERROR(__xludf.DUMMYFUNCTION("""COMPUTED_VALUE"""),"X902308100")</f>
        <v>X902308100</v>
      </c>
      <c r="V212" s="5" t="str">
        <f>IFERROR(__xludf.DUMMYFUNCTION("""COMPUTED_VALUE"""),"-")</f>
        <v>-</v>
      </c>
      <c r="W212" s="5" t="str">
        <f>IFERROR(__xludf.DUMMYFUNCTION("""COMPUTED_VALUE"""),"-")</f>
        <v>-</v>
      </c>
      <c r="X212" s="5" t="str">
        <f>IFERROR(__xludf.DUMMYFUNCTION("""COMPUTED_VALUE"""),"-")</f>
        <v>-</v>
      </c>
      <c r="Y212" s="5" t="str">
        <f>IFERROR(__xludf.DUMMYFUNCTION("""COMPUTED_VALUE"""),"-")</f>
        <v>-</v>
      </c>
      <c r="Z212" s="11" t="str">
        <f>IFERROR(__xludf.DUMMYFUNCTION("""COMPUTED_VALUE"""),"https://drive.google.com/open?id=1JavX3mO9GfTMU-C6KqrRXGfiwjoDNqKz")</f>
        <v>https://drive.google.com/open?id=1JavX3mO9GfTMU-C6KqrRXGfiwjoDNqKz</v>
      </c>
      <c r="AA212" s="42" t="s">
        <v>44</v>
      </c>
      <c r="AB212" s="5"/>
    </row>
    <row r="213">
      <c r="A213" s="68">
        <f>IFERROR(__xludf.DUMMYFUNCTION("""COMPUTED_VALUE"""),46267.95386785879)</f>
        <v>46267.95387</v>
      </c>
      <c r="B213" s="69" t="str">
        <f>IFERROR(__xludf.DUMMYFUNCTION("""COMPUTED_VALUE"""),"septiannisme179@gmail.com")</f>
        <v>septiannisme179@gmail.com</v>
      </c>
      <c r="C213" s="5" t="str">
        <f>IFERROR(__xludf.DUMMYFUNCTION("""COMPUTED_VALUE"""),"SEPTIAN DWI ANTO, M.Pd")</f>
        <v>SEPTIAN DWI ANTO, M.Pd</v>
      </c>
      <c r="D213" s="5"/>
      <c r="E213" s="5" t="str">
        <f>IFERROR(__xludf.DUMMYFUNCTION("""COMPUTED_VALUE"""),"087883801612")</f>
        <v>087883801612</v>
      </c>
      <c r="F213" s="7">
        <f>IFERROR(__xludf.DUMMYFUNCTION("""COMPUTED_VALUE"""),34229.0)</f>
        <v>34229</v>
      </c>
      <c r="G213" s="5" t="str">
        <f>IFERROR(__xludf.DUMMYFUNCTION("""COMPUTED_VALUE"""),"S1 - Pendidikan Guru Sekolah Dasar")</f>
        <v>S1 - Pendidikan Guru Sekolah Dasar</v>
      </c>
      <c r="H213" s="5" t="str">
        <f>IFERROR(__xludf.DUMMYFUNCTION("""COMPUTED_VALUE"""),"Universitas Islam 45 Bekasi")</f>
        <v>Universitas Islam 45 Bekasi</v>
      </c>
      <c r="I213" s="5" t="str">
        <f>IFERROR(__xludf.DUMMYFUNCTION("""COMPUTED_VALUE"""),"Pendidikan Guru Sekolah Dasar (PGSD)")</f>
        <v>Pendidikan Guru Sekolah Dasar (PGSD)</v>
      </c>
      <c r="J213" s="5" t="str">
        <f>IFERROR(__xludf.DUMMYFUNCTION("""COMPUTED_VALUE"""),"Lainnya")</f>
        <v>Lainnya</v>
      </c>
      <c r="K213" s="5"/>
      <c r="L213" s="8" t="str">
        <f>IFERROR(__xludf.DUMMYFUNCTION("""COMPUTED_VALUE"""),"3.71")</f>
        <v>3.71</v>
      </c>
      <c r="M213" s="5" t="str">
        <f>IFERROR(__xludf.DUMMYFUNCTION("""COMPUTED_VALUE"""),"4.00")</f>
        <v>4.00</v>
      </c>
      <c r="N213" s="5" t="str">
        <f>IFERROR(__xludf.DUMMYFUNCTION("""COMPUTED_VALUE"""),"Kota Bekasi, Jawa Barat")</f>
        <v>Kota Bekasi, Jawa Barat</v>
      </c>
      <c r="O213" s="5" t="str">
        <f>IFERROR(__xludf.DUMMYFUNCTION("""COMPUTED_VALUE"""),"Tidak")</f>
        <v>Tidak</v>
      </c>
      <c r="P213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213" s="5"/>
      <c r="R213" s="11" t="str">
        <f>IFERROR(__xludf.DUMMYFUNCTION("""COMPUTED_VALUE"""),"https://drive.google.com/file/d/1QpeKV6N66-DavRPQAc3vY6xsCgrW2E4B/view?usp=sharing")</f>
        <v>https://drive.google.com/file/d/1QpeKV6N66-DavRPQAc3vY6xsCgrW2E4B/view?usp=sharing</v>
      </c>
      <c r="S213" s="11" t="str">
        <f>IFERROR(__xludf.DUMMYFUNCTION("""COMPUTED_VALUE"""),"https://www.youtube.com/watch?v=_aocPMqz-bA&amp;t=352s")</f>
        <v>https://www.youtube.com/watch?v=_aocPMqz-bA&amp;t=352s</v>
      </c>
      <c r="T213" s="5" t="str">
        <f>IFERROR(__xludf.DUMMYFUNCTION("""COMPUTED_VALUE"""),"Lainnya")</f>
        <v>Lainnya</v>
      </c>
      <c r="U213" s="5"/>
      <c r="V213" s="5"/>
      <c r="W213" s="5"/>
      <c r="X213" s="5"/>
      <c r="Y213" s="5"/>
      <c r="Z213" s="11" t="str">
        <f>IFERROR(__xludf.DUMMYFUNCTION("""COMPUTED_VALUE"""),"https://drive.google.com/open?id=1-qpeRkS0Q-TPeZcROOw6NtIbIoUD1a0B")</f>
        <v>https://drive.google.com/open?id=1-qpeRkS0Q-TPeZcROOw6NtIbIoUD1a0B</v>
      </c>
      <c r="AA213" s="42" t="s">
        <v>54</v>
      </c>
      <c r="AB213" s="42" t="s">
        <v>2434</v>
      </c>
    </row>
    <row r="214">
      <c r="A214" s="68">
        <f>IFERROR(__xludf.DUMMYFUNCTION("""COMPUTED_VALUE"""),46267.957535879636)</f>
        <v>46267.95754</v>
      </c>
      <c r="B214" s="69" t="str">
        <f>IFERROR(__xludf.DUMMYFUNCTION("""COMPUTED_VALUE"""),"citraasmaradewi@gmail.com")</f>
        <v>citraasmaradewi@gmail.com</v>
      </c>
      <c r="C214" s="5" t="str">
        <f>IFERROR(__xludf.DUMMYFUNCTION("""COMPUTED_VALUE"""),"Citra Asmara Dewi, S.Pd., Gr., M.Pd.")</f>
        <v>Citra Asmara Dewi, S.Pd., Gr., M.Pd.</v>
      </c>
      <c r="D214" s="5">
        <f>IFERROR(__xludf.DUMMYFUNCTION("""COMPUTED_VALUE"""),7.000108998E9)</f>
        <v>7000108998</v>
      </c>
      <c r="E214" s="5" t="str">
        <f>IFERROR(__xludf.DUMMYFUNCTION("""COMPUTED_VALUE"""),"087734403308")</f>
        <v>087734403308</v>
      </c>
      <c r="F214" s="7">
        <f>IFERROR(__xludf.DUMMYFUNCTION("""COMPUTED_VALUE"""),36737.0)</f>
        <v>36737</v>
      </c>
      <c r="G214" s="5" t="str">
        <f>IFERROR(__xludf.DUMMYFUNCTION("""COMPUTED_VALUE"""),"Pendidikan Fisika")</f>
        <v>Pendidikan Fisika</v>
      </c>
      <c r="H214" s="5" t="str">
        <f>IFERROR(__xludf.DUMMYFUNCTION("""COMPUTED_VALUE"""),"Universitas Sriwijaya ")</f>
        <v>Universitas Sriwijaya </v>
      </c>
      <c r="I214" s="5" t="str">
        <f>IFERROR(__xludf.DUMMYFUNCTION("""COMPUTED_VALUE"""),"Pendidikan Guru Sekolah Dasar (PGSD)")</f>
        <v>Pendidikan Guru Sekolah Dasar (PGSD)</v>
      </c>
      <c r="J214" s="5" t="str">
        <f>IFERROR(__xludf.DUMMYFUNCTION("""COMPUTED_VALUE"""),"PPG Prajabatan Gelombang 1 Tahun 2024")</f>
        <v>PPG Prajabatan Gelombang 1 Tahun 2024</v>
      </c>
      <c r="K214" s="5">
        <f>IFERROR(__xludf.DUMMYFUNCTION("""COMPUTED_VALUE"""),2024.0)</f>
        <v>2024</v>
      </c>
      <c r="L214" s="8" t="str">
        <f>IFERROR(__xludf.DUMMYFUNCTION("""COMPUTED_VALUE"""),"3.51")</f>
        <v>3.51</v>
      </c>
      <c r="M214" s="5" t="str">
        <f>IFERROR(__xludf.DUMMYFUNCTION("""COMPUTED_VALUE"""),"4.00")</f>
        <v>4.00</v>
      </c>
      <c r="N214" s="5" t="str">
        <f>IFERROR(__xludf.DUMMYFUNCTION("""COMPUTED_VALUE"""),"Kabupaten Ogan Komering Ilir, Sumatera Selatan ")</f>
        <v>Kabupaten Ogan Komering Ilir, Sumatera Selatan </v>
      </c>
      <c r="O214" s="5" t="str">
        <f>IFERROR(__xludf.DUMMYFUNCTION("""COMPUTED_VALUE"""),"Tidak")</f>
        <v>Tidak</v>
      </c>
      <c r="P214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214" s="5"/>
      <c r="R214" s="11" t="str">
        <f>IFERROR(__xludf.DUMMYFUNCTION("""COMPUTED_VALUE"""),"https://drive.google.com/drive/folders/1N2jay7_7fD6CXuUJXVyquYkJ893pc3oG?usp=sharing")</f>
        <v>https://drive.google.com/drive/folders/1N2jay7_7fD6CXuUJXVyquYkJ893pc3oG?usp=sharing</v>
      </c>
      <c r="S214" s="11" t="str">
        <f>IFERROR(__xludf.DUMMYFUNCTION("""COMPUTED_VALUE"""),"https://youtu.be/YU--_bdMJB8?si=2NrVWMbImfOQM6Fu")</f>
        <v>https://youtu.be/YU--_bdMJB8?si=2NrVWMbImfOQM6Fu</v>
      </c>
      <c r="T214" s="5" t="str">
        <f>IFERROR(__xludf.DUMMYFUNCTION("""COMPUTED_VALUE"""),"Lainnya")</f>
        <v>Lainnya</v>
      </c>
      <c r="U214" s="5"/>
      <c r="V214" s="5"/>
      <c r="W214" s="5"/>
      <c r="X214" s="5"/>
      <c r="Y214" s="5"/>
      <c r="Z214" s="11" t="str">
        <f>IFERROR(__xludf.DUMMYFUNCTION("""COMPUTED_VALUE"""),"https://drive.google.com/open?id=1df6urVhm4uFc1l_rndZHRqK7hzVxKsai")</f>
        <v>https://drive.google.com/open?id=1df6urVhm4uFc1l_rndZHRqK7hzVxKsai</v>
      </c>
      <c r="AA214" s="42" t="s">
        <v>44</v>
      </c>
      <c r="AB214" s="5"/>
    </row>
    <row r="215">
      <c r="A215" s="68">
        <f>IFERROR(__xludf.DUMMYFUNCTION("""COMPUTED_VALUE"""),46267.98112186343)</f>
        <v>46267.98112</v>
      </c>
      <c r="B215" s="69" t="str">
        <f>IFERROR(__xludf.DUMMYFUNCTION("""COMPUTED_VALUE"""),"nenengegif@gmail.com")</f>
        <v>nenengegif@gmail.com</v>
      </c>
      <c r="C215" s="5" t="str">
        <f>IFERROR(__xludf.DUMMYFUNCTION("""COMPUTED_VALUE"""),"Neneng Egi Febriyani, S.Pd., Gr. ")</f>
        <v>Neneng Egi Febriyani, S.Pd., Gr. </v>
      </c>
      <c r="D215" s="5">
        <f>IFERROR(__xludf.DUMMYFUNCTION("""COMPUTED_VALUE"""),7.000337292E9)</f>
        <v>7000337292</v>
      </c>
      <c r="E215" s="5" t="str">
        <f>IFERROR(__xludf.DUMMYFUNCTION("""COMPUTED_VALUE"""),"087830891937")</f>
        <v>087830891937</v>
      </c>
      <c r="F215" s="7">
        <f>IFERROR(__xludf.DUMMYFUNCTION("""COMPUTED_VALUE"""),36443.0)</f>
        <v>36443</v>
      </c>
      <c r="G215" s="5" t="str">
        <f>IFERROR(__xludf.DUMMYFUNCTION("""COMPUTED_VALUE"""),"Pendidikan Teknik Elektro")</f>
        <v>Pendidikan Teknik Elektro</v>
      </c>
      <c r="H215" s="5" t="str">
        <f>IFERROR(__xludf.DUMMYFUNCTION("""COMPUTED_VALUE"""),"Universitas Negeri Semarang")</f>
        <v>Universitas Negeri Semarang</v>
      </c>
      <c r="I215" s="5" t="str">
        <f>IFERROR(__xludf.DUMMYFUNCTION("""COMPUTED_VALUE"""),"Lainnya")</f>
        <v>Lainnya</v>
      </c>
      <c r="J215" s="5" t="str">
        <f>IFERROR(__xludf.DUMMYFUNCTION("""COMPUTED_VALUE"""),"PPG Calon Guru Gelombang 2 Tahun 2024")</f>
        <v>PPG Calon Guru Gelombang 2 Tahun 2024</v>
      </c>
      <c r="K215" s="5">
        <f>IFERROR(__xludf.DUMMYFUNCTION("""COMPUTED_VALUE"""),2025.0)</f>
        <v>2025</v>
      </c>
      <c r="L215" s="8" t="str">
        <f>IFERROR(__xludf.DUMMYFUNCTION("""COMPUTED_VALUE"""),"3.55")</f>
        <v>3.55</v>
      </c>
      <c r="M215" s="5" t="str">
        <f>IFERROR(__xludf.DUMMYFUNCTION("""COMPUTED_VALUE"""),"3,78")</f>
        <v>3,78</v>
      </c>
      <c r="N215" s="5" t="str">
        <f>IFERROR(__xludf.DUMMYFUNCTION("""COMPUTED_VALUE"""),"Kota Tegal, Jawa Tengah")</f>
        <v>Kota Tegal, Jawa Tengah</v>
      </c>
      <c r="O215" s="5" t="str">
        <f>IFERROR(__xludf.DUMMYFUNCTION("""COMPUTED_VALUE"""),"Tidak")</f>
        <v>Tidak</v>
      </c>
      <c r="P215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215" s="5"/>
      <c r="R215" s="5" t="str">
        <f>IFERROR(__xludf.DUMMYFUNCTION("""COMPUTED_VALUE"""),"-")</f>
        <v>-</v>
      </c>
      <c r="S215" s="11" t="str">
        <f>IFERROR(__xludf.DUMMYFUNCTION("""COMPUTED_VALUE"""),"https://drive.google.com/file/d/1YRPk_1GTpiCqHQHPgNtic-hvtdop6C8g/view?usp=drivesdk")</f>
        <v>https://drive.google.com/file/d/1YRPk_1GTpiCqHQHPgNtic-hvtdop6C8g/view?usp=drivesdk</v>
      </c>
      <c r="T215" s="5" t="str">
        <f>IFERROR(__xludf.DUMMYFUNCTION("""COMPUTED_VALUE"""),"Lainnya")</f>
        <v>Lainnya</v>
      </c>
      <c r="U215" s="5"/>
      <c r="V215" s="5"/>
      <c r="W215" s="5"/>
      <c r="X215" s="5"/>
      <c r="Y215" s="5"/>
      <c r="Z215" s="11" t="str">
        <f>IFERROR(__xludf.DUMMYFUNCTION("""COMPUTED_VALUE"""),"https://drive.google.com/open?id=15nBEECaPsPF7RGV7lfrtYc6ezQYG9vZ1")</f>
        <v>https://drive.google.com/open?id=15nBEECaPsPF7RGV7lfrtYc6ezQYG9vZ1</v>
      </c>
      <c r="AA215" s="42" t="s">
        <v>54</v>
      </c>
      <c r="AB215" s="42" t="s">
        <v>2439</v>
      </c>
    </row>
    <row r="216">
      <c r="A216" s="68">
        <f>IFERROR(__xludf.DUMMYFUNCTION("""COMPUTED_VALUE"""),46267.99138248843)</f>
        <v>46267.99138</v>
      </c>
      <c r="B216" s="69" t="str">
        <f>IFERROR(__xludf.DUMMYFUNCTION("""COMPUTED_VALUE"""),"dindapratiwi14.dp@gmail.com")</f>
        <v>dindapratiwi14.dp@gmail.com</v>
      </c>
      <c r="C216" s="5" t="str">
        <f>IFERROR(__xludf.DUMMYFUNCTION("""COMPUTED_VALUE"""),"Dinda Pratiwi, S.Pd., Gr")</f>
        <v>Dinda Pratiwi, S.Pd., Gr</v>
      </c>
      <c r="D216" s="5">
        <f>IFERROR(__xludf.DUMMYFUNCTION("""COMPUTED_VALUE"""),7.000167886E9)</f>
        <v>7000167886</v>
      </c>
      <c r="E216" s="5" t="str">
        <f>IFERROR(__xludf.DUMMYFUNCTION("""COMPUTED_VALUE"""),"082167852214")</f>
        <v>082167852214</v>
      </c>
      <c r="F216" s="7">
        <f>IFERROR(__xludf.DUMMYFUNCTION("""COMPUTED_VALUE"""),36905.0)</f>
        <v>36905</v>
      </c>
      <c r="G216" s="5" t="str">
        <f>IFERROR(__xludf.DUMMYFUNCTION("""COMPUTED_VALUE"""),"Pendidikan Fisika")</f>
        <v>Pendidikan Fisika</v>
      </c>
      <c r="H216" s="5" t="str">
        <f>IFERROR(__xludf.DUMMYFUNCTION("""COMPUTED_VALUE"""),"Universitas Negeri Medan")</f>
        <v>Universitas Negeri Medan</v>
      </c>
      <c r="I216" s="5" t="str">
        <f>IFERROR(__xludf.DUMMYFUNCTION("""COMPUTED_VALUE"""),"Ilmu Pengetahuan Alam (IPA)")</f>
        <v>Ilmu Pengetahuan Alam (IPA)</v>
      </c>
      <c r="J216" s="5" t="str">
        <f>IFERROR(__xludf.DUMMYFUNCTION("""COMPUTED_VALUE"""),"PPG Prajabatan Gelombang 1 Tahun 2023")</f>
        <v>PPG Prajabatan Gelombang 1 Tahun 2023</v>
      </c>
      <c r="K216" s="5">
        <f>IFERROR(__xludf.DUMMYFUNCTION("""COMPUTED_VALUE"""),2024.0)</f>
        <v>2024</v>
      </c>
      <c r="L216" s="8" t="str">
        <f>IFERROR(__xludf.DUMMYFUNCTION("""COMPUTED_VALUE"""),"3,62")</f>
        <v>3,62</v>
      </c>
      <c r="M216" s="5" t="str">
        <f>IFERROR(__xludf.DUMMYFUNCTION("""COMPUTED_VALUE"""),"-")</f>
        <v>-</v>
      </c>
      <c r="N216" s="5" t="str">
        <f>IFERROR(__xludf.DUMMYFUNCTION("""COMPUTED_VALUE"""),"Kota Padangsidimpuan, Sumatera Utara")</f>
        <v>Kota Padangsidimpuan, Sumatera Utara</v>
      </c>
      <c r="O216" s="5" t="str">
        <f>IFERROR(__xludf.DUMMYFUNCTION("""COMPUTED_VALUE"""),"Tidak")</f>
        <v>Tidak</v>
      </c>
      <c r="P216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216" s="5"/>
      <c r="R216" s="11" t="str">
        <f>IFERROR(__xludf.DUMMYFUNCTION("""COMPUTED_VALUE"""),"https://drive.google.com/file/d/1h8qOTCelbwxtVvhCSeGdIZbKFlPC9Dh5/view?usp=drive_link")</f>
        <v>https://drive.google.com/file/d/1h8qOTCelbwxtVvhCSeGdIZbKFlPC9Dh5/view?usp=drive_link</v>
      </c>
      <c r="S216" s="11" t="str">
        <f>IFERROR(__xludf.DUMMYFUNCTION("""COMPUTED_VALUE"""),"https://youtu.be/E2hjZFZTX5U")</f>
        <v>https://youtu.be/E2hjZFZTX5U</v>
      </c>
      <c r="T216" s="5" t="str">
        <f>IFERROR(__xludf.DUMMYFUNCTION("""COMPUTED_VALUE"""),"Lainnya")</f>
        <v>Lainnya</v>
      </c>
      <c r="U216" s="5"/>
      <c r="V216" s="5"/>
      <c r="W216" s="5"/>
      <c r="X216" s="5"/>
      <c r="Y216" s="5"/>
      <c r="Z216" s="11" t="str">
        <f>IFERROR(__xludf.DUMMYFUNCTION("""COMPUTED_VALUE"""),"https://drive.google.com/open?id=1y1yaJwBBFrz2NGUrkwC_hsCp89B64vEP")</f>
        <v>https://drive.google.com/open?id=1y1yaJwBBFrz2NGUrkwC_hsCp89B64vEP</v>
      </c>
      <c r="AA216" s="42" t="s">
        <v>44</v>
      </c>
      <c r="AB216" s="5"/>
    </row>
    <row r="217">
      <c r="A217" s="68">
        <f>IFERROR(__xludf.DUMMYFUNCTION("""COMPUTED_VALUE"""),46267.995625613425)</f>
        <v>46267.99563</v>
      </c>
      <c r="B217" s="69" t="str">
        <f>IFERROR(__xludf.DUMMYFUNCTION("""COMPUTED_VALUE"""),"syifasdnsidoagung@gmail.com")</f>
        <v>syifasdnsidoagung@gmail.com</v>
      </c>
      <c r="C217" s="5" t="str">
        <f>IFERROR(__xludf.DUMMYFUNCTION("""COMPUTED_VALUE"""),"SYIFA' LANA, S.Pd.,Gr.")</f>
        <v>SYIFA' LANA, S.Pd.,Gr.</v>
      </c>
      <c r="D217" s="5">
        <f>IFERROR(__xludf.DUMMYFUNCTION("""COMPUTED_VALUE"""),7.000193179E9)</f>
        <v>7000193179</v>
      </c>
      <c r="E217" s="5" t="str">
        <f>IFERROR(__xludf.DUMMYFUNCTION("""COMPUTED_VALUE"""),"085216481820")</f>
        <v>085216481820</v>
      </c>
      <c r="F217" s="7">
        <f>IFERROR(__xludf.DUMMYFUNCTION("""COMPUTED_VALUE"""),35801.0)</f>
        <v>35801</v>
      </c>
      <c r="G217" s="5" t="str">
        <f>IFERROR(__xludf.DUMMYFUNCTION("""COMPUTED_VALUE"""),"S1 PGSD ")</f>
        <v>S1 PGSD </v>
      </c>
      <c r="H217" s="5" t="str">
        <f>IFERROR(__xludf.DUMMYFUNCTION("""COMPUTED_VALUE"""),"UNS")</f>
        <v>UNS</v>
      </c>
      <c r="I217" s="5" t="str">
        <f>IFERROR(__xludf.DUMMYFUNCTION("""COMPUTED_VALUE"""),"Pendidikan Guru Sekolah Dasar (PGSD)")</f>
        <v>Pendidikan Guru Sekolah Dasar (PGSD)</v>
      </c>
      <c r="J217" s="5" t="str">
        <f>IFERROR(__xludf.DUMMYFUNCTION("""COMPUTED_VALUE"""),"PPG Prajabatan Gelombang 2 Tahun 2023")</f>
        <v>PPG Prajabatan Gelombang 2 Tahun 2023</v>
      </c>
      <c r="K217" s="5">
        <f>IFERROR(__xludf.DUMMYFUNCTION("""COMPUTED_VALUE"""),2024.0)</f>
        <v>2024</v>
      </c>
      <c r="L217" s="8" t="str">
        <f>IFERROR(__xludf.DUMMYFUNCTION("""COMPUTED_VALUE"""),"3.65")</f>
        <v>3.65</v>
      </c>
      <c r="M217" s="5" t="str">
        <f>IFERROR(__xludf.DUMMYFUNCTION("""COMPUTED_VALUE"""),"4.00")</f>
        <v>4.00</v>
      </c>
      <c r="N217" s="5" t="str">
        <f>IFERROR(__xludf.DUMMYFUNCTION("""COMPUTED_VALUE"""),"Kebumen, Jawa Tengah")</f>
        <v>Kebumen, Jawa Tengah</v>
      </c>
      <c r="O217" s="5" t="str">
        <f>IFERROR(__xludf.DUMMYFUNCTION("""COMPUTED_VALUE"""),"Tidak")</f>
        <v>Tidak</v>
      </c>
      <c r="P217" s="5" t="str">
        <f>IFERROR(__xludf.DUMMYFUNCTION("""COMPUTED_VALUE"""),"Kabupaten Jepara - Tenaga pendampingan pembelajaran mata pelajaran Pendidikan Ilmu Pengetahuan Alam (IPA)")</f>
        <v>Kabupaten Jepara - Tenaga pendampingan pembelajaran mata pelajaran Pendidikan Ilmu Pengetahuan Alam (IPA)</v>
      </c>
      <c r="Q217" s="5"/>
      <c r="R217" s="11" t="str">
        <f>IFERROR(__xludf.DUMMYFUNCTION("""COMPUTED_VALUE"""),"https://drive.google.com/drive/folders/1IKDXa-KVd8FNR0pkQjvYi7FSMJeSDV_I")</f>
        <v>https://drive.google.com/drive/folders/1IKDXa-KVd8FNR0pkQjvYi7FSMJeSDV_I</v>
      </c>
      <c r="S217" s="11" t="str">
        <f>IFERROR(__xludf.DUMMYFUNCTION("""COMPUTED_VALUE"""),"https://drive.google.com/file/d/14KQVmfuC8MSj2Rmmu4-PodxAX09NV-2t/view?usp=sharing")</f>
        <v>https://drive.google.com/file/d/14KQVmfuC8MSj2Rmmu4-PodxAX09NV-2t/view?usp=sharing</v>
      </c>
      <c r="T217" s="5" t="str">
        <f>IFERROR(__xludf.DUMMYFUNCTION("""COMPUTED_VALUE"""),"Alumni PPG Calon Guru / Prajabatan FKIP UNS")</f>
        <v>Alumni PPG Calon Guru / Prajabatan FKIP UNS</v>
      </c>
      <c r="U217" s="5" t="str">
        <f>IFERROR(__xludf.DUMMYFUNCTION("""COMPUTED_VALUE"""),"X9023083789")</f>
        <v>X9023083789</v>
      </c>
      <c r="V217" s="5" t="str">
        <f>IFERROR(__xludf.DUMMYFUNCTION("""COMPUTED_VALUE"""),"K7116200")</f>
        <v>K7116200</v>
      </c>
      <c r="W217" s="5" t="str">
        <f>IFERROR(__xludf.DUMMYFUNCTION("""COMPUTED_VALUE"""),"S1 PGSD FKIP UNS")</f>
        <v>S1 PGSD FKIP UNS</v>
      </c>
      <c r="X217" s="5" t="str">
        <f>IFERROR(__xludf.DUMMYFUNCTION("""COMPUTED_VALUE"""),"UNS")</f>
        <v>UNS</v>
      </c>
      <c r="Y217" s="5" t="str">
        <f>IFERROR(__xludf.DUMMYFUNCTION("""COMPUTED_VALUE"""),"-")</f>
        <v>-</v>
      </c>
      <c r="Z217" s="11" t="str">
        <f>IFERROR(__xludf.DUMMYFUNCTION("""COMPUTED_VALUE"""),"https://drive.google.com/open?id=1dpbml_nZxhR3E34nBD3P7nFXK_L6iFI_")</f>
        <v>https://drive.google.com/open?id=1dpbml_nZxhR3E34nBD3P7nFXK_L6iFI_</v>
      </c>
      <c r="AA217" s="42" t="s">
        <v>54</v>
      </c>
      <c r="AB217" s="42" t="s">
        <v>2439</v>
      </c>
    </row>
    <row r="218">
      <c r="A218" s="84"/>
      <c r="B218" s="9"/>
      <c r="C218" s="9"/>
      <c r="D218" s="9"/>
      <c r="E218" s="9"/>
      <c r="F218" s="85"/>
      <c r="G218" s="9"/>
      <c r="H218" s="9"/>
      <c r="I218" s="9"/>
      <c r="J218" s="9"/>
      <c r="K218" s="9"/>
      <c r="L218" s="86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84"/>
      <c r="B219" s="9"/>
      <c r="C219" s="9"/>
      <c r="D219" s="9"/>
      <c r="E219" s="9"/>
      <c r="F219" s="85"/>
      <c r="G219" s="9"/>
      <c r="H219" s="9"/>
      <c r="I219" s="9"/>
      <c r="J219" s="9"/>
      <c r="K219" s="9"/>
      <c r="L219" s="86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84"/>
      <c r="B220" s="9"/>
      <c r="C220" s="9"/>
      <c r="D220" s="9"/>
      <c r="E220" s="9"/>
      <c r="F220" s="85"/>
      <c r="G220" s="9"/>
      <c r="H220" s="9"/>
      <c r="I220" s="9"/>
      <c r="J220" s="9"/>
      <c r="K220" s="9"/>
      <c r="L220" s="86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84"/>
      <c r="B221" s="9"/>
      <c r="C221" s="9"/>
      <c r="D221" s="9"/>
      <c r="E221" s="9"/>
      <c r="F221" s="85"/>
      <c r="G221" s="9"/>
      <c r="H221" s="9"/>
      <c r="I221" s="9"/>
      <c r="J221" s="9"/>
      <c r="K221" s="9"/>
      <c r="L221" s="86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84"/>
      <c r="B222" s="9"/>
      <c r="C222" s="9"/>
      <c r="D222" s="9"/>
      <c r="E222" s="9"/>
      <c r="F222" s="85"/>
      <c r="G222" s="9"/>
      <c r="H222" s="9"/>
      <c r="I222" s="9"/>
      <c r="J222" s="9"/>
      <c r="K222" s="9"/>
      <c r="L222" s="86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84"/>
      <c r="B223" s="9"/>
      <c r="C223" s="9"/>
      <c r="D223" s="9"/>
      <c r="E223" s="9"/>
      <c r="F223" s="85"/>
      <c r="G223" s="9"/>
      <c r="H223" s="9"/>
      <c r="I223" s="9"/>
      <c r="J223" s="9"/>
      <c r="K223" s="9"/>
      <c r="L223" s="86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84"/>
      <c r="B224" s="9"/>
      <c r="C224" s="9"/>
      <c r="D224" s="9"/>
      <c r="E224" s="9"/>
      <c r="F224" s="85"/>
      <c r="G224" s="9"/>
      <c r="H224" s="9"/>
      <c r="I224" s="9"/>
      <c r="J224" s="9"/>
      <c r="K224" s="9"/>
      <c r="L224" s="86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84"/>
      <c r="B225" s="9"/>
      <c r="C225" s="9"/>
      <c r="D225" s="9"/>
      <c r="E225" s="9"/>
      <c r="F225" s="85"/>
      <c r="G225" s="9"/>
      <c r="H225" s="9"/>
      <c r="I225" s="9"/>
      <c r="J225" s="9"/>
      <c r="K225" s="9"/>
      <c r="L225" s="86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84"/>
      <c r="B226" s="9"/>
      <c r="C226" s="9"/>
      <c r="D226" s="9"/>
      <c r="E226" s="9"/>
      <c r="F226" s="85"/>
      <c r="G226" s="9"/>
      <c r="H226" s="9"/>
      <c r="I226" s="9"/>
      <c r="J226" s="9"/>
      <c r="K226" s="9"/>
      <c r="L226" s="86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84"/>
      <c r="B227" s="9"/>
      <c r="C227" s="9"/>
      <c r="D227" s="9"/>
      <c r="E227" s="9"/>
      <c r="F227" s="85"/>
      <c r="G227" s="9"/>
      <c r="H227" s="9"/>
      <c r="I227" s="9"/>
      <c r="J227" s="9"/>
      <c r="K227" s="9"/>
      <c r="L227" s="86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84"/>
      <c r="B228" s="9"/>
      <c r="C228" s="9"/>
      <c r="D228" s="9"/>
      <c r="E228" s="9"/>
      <c r="F228" s="85"/>
      <c r="G228" s="9"/>
      <c r="H228" s="9"/>
      <c r="I228" s="9"/>
      <c r="J228" s="9"/>
      <c r="K228" s="9"/>
      <c r="L228" s="86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84"/>
      <c r="B229" s="9"/>
      <c r="C229" s="9"/>
      <c r="D229" s="9"/>
      <c r="E229" s="9"/>
      <c r="F229" s="85"/>
      <c r="G229" s="9"/>
      <c r="H229" s="9"/>
      <c r="I229" s="9"/>
      <c r="J229" s="9"/>
      <c r="K229" s="9"/>
      <c r="L229" s="86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84"/>
      <c r="B230" s="9"/>
      <c r="C230" s="9"/>
      <c r="D230" s="9"/>
      <c r="E230" s="9"/>
      <c r="F230" s="85"/>
      <c r="G230" s="9"/>
      <c r="H230" s="9"/>
      <c r="I230" s="9"/>
      <c r="J230" s="9"/>
      <c r="K230" s="9"/>
      <c r="L230" s="86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84"/>
      <c r="B231" s="9"/>
      <c r="C231" s="9"/>
      <c r="D231" s="9"/>
      <c r="E231" s="9"/>
      <c r="F231" s="85"/>
      <c r="G231" s="9"/>
      <c r="H231" s="9"/>
      <c r="I231" s="9"/>
      <c r="J231" s="9"/>
      <c r="K231" s="9"/>
      <c r="L231" s="86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84"/>
      <c r="B232" s="9"/>
      <c r="C232" s="9"/>
      <c r="D232" s="9"/>
      <c r="E232" s="9"/>
      <c r="F232" s="85"/>
      <c r="G232" s="9"/>
      <c r="H232" s="9"/>
      <c r="I232" s="9"/>
      <c r="J232" s="9"/>
      <c r="K232" s="9"/>
      <c r="L232" s="86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84"/>
      <c r="B233" s="9"/>
      <c r="C233" s="9"/>
      <c r="D233" s="9"/>
      <c r="E233" s="9"/>
      <c r="F233" s="85"/>
      <c r="G233" s="9"/>
      <c r="H233" s="9"/>
      <c r="I233" s="9"/>
      <c r="J233" s="9"/>
      <c r="K233" s="9"/>
      <c r="L233" s="86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84"/>
      <c r="B234" s="9"/>
      <c r="C234" s="9"/>
      <c r="D234" s="9"/>
      <c r="E234" s="9"/>
      <c r="F234" s="85"/>
      <c r="G234" s="9"/>
      <c r="H234" s="9"/>
      <c r="I234" s="9"/>
      <c r="J234" s="9"/>
      <c r="K234" s="9"/>
      <c r="L234" s="86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84"/>
      <c r="B235" s="9"/>
      <c r="C235" s="9"/>
      <c r="D235" s="9"/>
      <c r="E235" s="9"/>
      <c r="F235" s="85"/>
      <c r="G235" s="9"/>
      <c r="H235" s="9"/>
      <c r="I235" s="9"/>
      <c r="J235" s="9"/>
      <c r="K235" s="9"/>
      <c r="L235" s="86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84"/>
      <c r="B236" s="9"/>
      <c r="C236" s="9"/>
      <c r="D236" s="9"/>
      <c r="E236" s="9"/>
      <c r="F236" s="85"/>
      <c r="G236" s="9"/>
      <c r="H236" s="9"/>
      <c r="I236" s="9"/>
      <c r="J236" s="9"/>
      <c r="K236" s="9"/>
      <c r="L236" s="86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84"/>
      <c r="B237" s="9"/>
      <c r="C237" s="9"/>
      <c r="D237" s="9"/>
      <c r="E237" s="9"/>
      <c r="F237" s="85"/>
      <c r="G237" s="9"/>
      <c r="H237" s="9"/>
      <c r="I237" s="9"/>
      <c r="J237" s="9"/>
      <c r="K237" s="9"/>
      <c r="L237" s="86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84"/>
      <c r="B238" s="9"/>
      <c r="C238" s="9"/>
      <c r="D238" s="9"/>
      <c r="E238" s="9"/>
      <c r="F238" s="85"/>
      <c r="G238" s="9"/>
      <c r="H238" s="9"/>
      <c r="I238" s="9"/>
      <c r="J238" s="9"/>
      <c r="K238" s="9"/>
      <c r="L238" s="86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84"/>
      <c r="B239" s="9"/>
      <c r="C239" s="9"/>
      <c r="D239" s="9"/>
      <c r="E239" s="9"/>
      <c r="F239" s="85"/>
      <c r="G239" s="9"/>
      <c r="H239" s="9"/>
      <c r="I239" s="9"/>
      <c r="J239" s="9"/>
      <c r="K239" s="9"/>
      <c r="L239" s="86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84"/>
      <c r="B240" s="9"/>
      <c r="C240" s="9"/>
      <c r="D240" s="9"/>
      <c r="E240" s="9"/>
      <c r="F240" s="85"/>
      <c r="G240" s="9"/>
      <c r="H240" s="9"/>
      <c r="I240" s="9"/>
      <c r="J240" s="9"/>
      <c r="K240" s="9"/>
      <c r="L240" s="86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84"/>
      <c r="B241" s="9"/>
      <c r="C241" s="9"/>
      <c r="D241" s="9"/>
      <c r="E241" s="9"/>
      <c r="F241" s="85"/>
      <c r="G241" s="9"/>
      <c r="H241" s="9"/>
      <c r="I241" s="9"/>
      <c r="J241" s="9"/>
      <c r="K241" s="9"/>
      <c r="L241" s="86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84"/>
      <c r="B242" s="9"/>
      <c r="C242" s="9"/>
      <c r="D242" s="9"/>
      <c r="E242" s="9"/>
      <c r="F242" s="85"/>
      <c r="G242" s="9"/>
      <c r="H242" s="9"/>
      <c r="I242" s="9"/>
      <c r="J242" s="9"/>
      <c r="K242" s="9"/>
      <c r="L242" s="86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84"/>
      <c r="B243" s="9"/>
      <c r="C243" s="9"/>
      <c r="D243" s="9"/>
      <c r="E243" s="9"/>
      <c r="F243" s="85"/>
      <c r="G243" s="9"/>
      <c r="H243" s="9"/>
      <c r="I243" s="9"/>
      <c r="J243" s="9"/>
      <c r="K243" s="9"/>
      <c r="L243" s="86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84"/>
      <c r="B244" s="9"/>
      <c r="C244" s="9"/>
      <c r="D244" s="9"/>
      <c r="E244" s="9"/>
      <c r="F244" s="85"/>
      <c r="G244" s="9"/>
      <c r="H244" s="9"/>
      <c r="I244" s="9"/>
      <c r="J244" s="9"/>
      <c r="K244" s="9"/>
      <c r="L244" s="86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84"/>
      <c r="B245" s="9"/>
      <c r="C245" s="9"/>
      <c r="D245" s="9"/>
      <c r="E245" s="9"/>
      <c r="F245" s="85"/>
      <c r="G245" s="9"/>
      <c r="H245" s="9"/>
      <c r="I245" s="9"/>
      <c r="J245" s="9"/>
      <c r="K245" s="9"/>
      <c r="L245" s="86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84"/>
      <c r="B246" s="9"/>
      <c r="C246" s="9"/>
      <c r="D246" s="9"/>
      <c r="E246" s="9"/>
      <c r="F246" s="85"/>
      <c r="G246" s="9"/>
      <c r="H246" s="9"/>
      <c r="I246" s="9"/>
      <c r="J246" s="9"/>
      <c r="K246" s="9"/>
      <c r="L246" s="86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84"/>
      <c r="B247" s="9"/>
      <c r="C247" s="9"/>
      <c r="D247" s="9"/>
      <c r="E247" s="9"/>
      <c r="F247" s="85"/>
      <c r="G247" s="9"/>
      <c r="H247" s="9"/>
      <c r="I247" s="9"/>
      <c r="J247" s="9"/>
      <c r="K247" s="9"/>
      <c r="L247" s="86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84"/>
      <c r="B248" s="9"/>
      <c r="C248" s="9"/>
      <c r="D248" s="9"/>
      <c r="E248" s="9"/>
      <c r="F248" s="85"/>
      <c r="G248" s="9"/>
      <c r="H248" s="9"/>
      <c r="I248" s="9"/>
      <c r="J248" s="9"/>
      <c r="K248" s="9"/>
      <c r="L248" s="86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84"/>
      <c r="B249" s="9"/>
      <c r="C249" s="9"/>
      <c r="D249" s="9"/>
      <c r="E249" s="9"/>
      <c r="F249" s="85"/>
      <c r="G249" s="9"/>
      <c r="H249" s="9"/>
      <c r="I249" s="9"/>
      <c r="J249" s="9"/>
      <c r="K249" s="9"/>
      <c r="L249" s="86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84"/>
      <c r="B250" s="9"/>
      <c r="C250" s="9"/>
      <c r="D250" s="9"/>
      <c r="E250" s="9"/>
      <c r="F250" s="85"/>
      <c r="G250" s="9"/>
      <c r="H250" s="9"/>
      <c r="I250" s="9"/>
      <c r="J250" s="9"/>
      <c r="K250" s="9"/>
      <c r="L250" s="86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84"/>
      <c r="B251" s="9"/>
      <c r="C251" s="9"/>
      <c r="D251" s="9"/>
      <c r="E251" s="9"/>
      <c r="F251" s="85"/>
      <c r="G251" s="9"/>
      <c r="H251" s="9"/>
      <c r="I251" s="9"/>
      <c r="J251" s="9"/>
      <c r="K251" s="9"/>
      <c r="L251" s="86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84"/>
      <c r="B252" s="9"/>
      <c r="C252" s="9"/>
      <c r="D252" s="9"/>
      <c r="E252" s="9"/>
      <c r="F252" s="85"/>
      <c r="G252" s="9"/>
      <c r="H252" s="9"/>
      <c r="I252" s="9"/>
      <c r="J252" s="9"/>
      <c r="K252" s="9"/>
      <c r="L252" s="86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84"/>
      <c r="B253" s="9"/>
      <c r="C253" s="9"/>
      <c r="D253" s="9"/>
      <c r="E253" s="9"/>
      <c r="F253" s="85"/>
      <c r="G253" s="9"/>
      <c r="H253" s="9"/>
      <c r="I253" s="9"/>
      <c r="J253" s="9"/>
      <c r="K253" s="9"/>
      <c r="L253" s="86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84"/>
      <c r="B254" s="9"/>
      <c r="C254" s="9"/>
      <c r="D254" s="9"/>
      <c r="E254" s="9"/>
      <c r="F254" s="85"/>
      <c r="G254" s="9"/>
      <c r="H254" s="9"/>
      <c r="I254" s="9"/>
      <c r="J254" s="9"/>
      <c r="K254" s="9"/>
      <c r="L254" s="86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84"/>
      <c r="B255" s="9"/>
      <c r="C255" s="9"/>
      <c r="D255" s="9"/>
      <c r="E255" s="9"/>
      <c r="F255" s="85"/>
      <c r="G255" s="9"/>
      <c r="H255" s="9"/>
      <c r="I255" s="9"/>
      <c r="J255" s="9"/>
      <c r="K255" s="9"/>
      <c r="L255" s="86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84"/>
      <c r="B256" s="9"/>
      <c r="C256" s="9"/>
      <c r="D256" s="9"/>
      <c r="E256" s="9"/>
      <c r="F256" s="85"/>
      <c r="G256" s="9"/>
      <c r="H256" s="9"/>
      <c r="I256" s="9"/>
      <c r="J256" s="9"/>
      <c r="K256" s="9"/>
      <c r="L256" s="86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84"/>
      <c r="B257" s="9"/>
      <c r="C257" s="9"/>
      <c r="D257" s="9"/>
      <c r="E257" s="9"/>
      <c r="F257" s="85"/>
      <c r="G257" s="9"/>
      <c r="H257" s="9"/>
      <c r="I257" s="9"/>
      <c r="J257" s="9"/>
      <c r="K257" s="9"/>
      <c r="L257" s="86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84"/>
      <c r="B258" s="9"/>
      <c r="C258" s="9"/>
      <c r="D258" s="9"/>
      <c r="E258" s="9"/>
      <c r="F258" s="85"/>
      <c r="G258" s="9"/>
      <c r="H258" s="9"/>
      <c r="I258" s="9"/>
      <c r="J258" s="9"/>
      <c r="K258" s="9"/>
      <c r="L258" s="86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84"/>
      <c r="B259" s="9"/>
      <c r="C259" s="9"/>
      <c r="D259" s="9"/>
      <c r="E259" s="9"/>
      <c r="F259" s="85"/>
      <c r="G259" s="9"/>
      <c r="H259" s="9"/>
      <c r="I259" s="9"/>
      <c r="J259" s="9"/>
      <c r="K259" s="9"/>
      <c r="L259" s="86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84"/>
      <c r="B260" s="9"/>
      <c r="C260" s="9"/>
      <c r="D260" s="9"/>
      <c r="E260" s="9"/>
      <c r="F260" s="85"/>
      <c r="G260" s="9"/>
      <c r="H260" s="9"/>
      <c r="I260" s="9"/>
      <c r="J260" s="9"/>
      <c r="K260" s="9"/>
      <c r="L260" s="86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84"/>
      <c r="B261" s="9"/>
      <c r="C261" s="9"/>
      <c r="D261" s="9"/>
      <c r="E261" s="9"/>
      <c r="F261" s="85"/>
      <c r="G261" s="9"/>
      <c r="H261" s="9"/>
      <c r="I261" s="9"/>
      <c r="J261" s="9"/>
      <c r="K261" s="9"/>
      <c r="L261" s="86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84"/>
      <c r="B262" s="9"/>
      <c r="C262" s="9"/>
      <c r="D262" s="9"/>
      <c r="E262" s="9"/>
      <c r="F262" s="85"/>
      <c r="G262" s="9"/>
      <c r="H262" s="9"/>
      <c r="I262" s="9"/>
      <c r="J262" s="9"/>
      <c r="K262" s="9"/>
      <c r="L262" s="86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84"/>
      <c r="B263" s="9"/>
      <c r="C263" s="9"/>
      <c r="D263" s="9"/>
      <c r="E263" s="9"/>
      <c r="F263" s="85"/>
      <c r="G263" s="9"/>
      <c r="H263" s="9"/>
      <c r="I263" s="9"/>
      <c r="J263" s="9"/>
      <c r="K263" s="9"/>
      <c r="L263" s="86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84"/>
      <c r="B264" s="9"/>
      <c r="C264" s="9"/>
      <c r="D264" s="9"/>
      <c r="E264" s="9"/>
      <c r="F264" s="85"/>
      <c r="G264" s="9"/>
      <c r="H264" s="9"/>
      <c r="I264" s="9"/>
      <c r="J264" s="9"/>
      <c r="K264" s="9"/>
      <c r="L264" s="86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84"/>
      <c r="B265" s="9"/>
      <c r="C265" s="9"/>
      <c r="D265" s="9"/>
      <c r="E265" s="9"/>
      <c r="F265" s="85"/>
      <c r="G265" s="9"/>
      <c r="H265" s="9"/>
      <c r="I265" s="9"/>
      <c r="J265" s="9"/>
      <c r="K265" s="9"/>
      <c r="L265" s="86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84"/>
      <c r="B266" s="9"/>
      <c r="C266" s="9"/>
      <c r="D266" s="9"/>
      <c r="E266" s="9"/>
      <c r="F266" s="85"/>
      <c r="G266" s="9"/>
      <c r="H266" s="9"/>
      <c r="I266" s="9"/>
      <c r="J266" s="9"/>
      <c r="K266" s="9"/>
      <c r="L266" s="86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84"/>
      <c r="B267" s="9"/>
      <c r="C267" s="9"/>
      <c r="D267" s="9"/>
      <c r="E267" s="9"/>
      <c r="F267" s="85"/>
      <c r="G267" s="9"/>
      <c r="H267" s="9"/>
      <c r="I267" s="9"/>
      <c r="J267" s="9"/>
      <c r="K267" s="9"/>
      <c r="L267" s="86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84"/>
      <c r="B268" s="9"/>
      <c r="C268" s="9"/>
      <c r="D268" s="9"/>
      <c r="E268" s="9"/>
      <c r="F268" s="85"/>
      <c r="G268" s="9"/>
      <c r="H268" s="9"/>
      <c r="I268" s="9"/>
      <c r="J268" s="9"/>
      <c r="K268" s="9"/>
      <c r="L268" s="86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84"/>
      <c r="B269" s="9"/>
      <c r="C269" s="9"/>
      <c r="D269" s="9"/>
      <c r="E269" s="9"/>
      <c r="F269" s="85"/>
      <c r="G269" s="9"/>
      <c r="H269" s="9"/>
      <c r="I269" s="9"/>
      <c r="J269" s="9"/>
      <c r="K269" s="9"/>
      <c r="L269" s="86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84"/>
      <c r="B270" s="9"/>
      <c r="C270" s="9"/>
      <c r="D270" s="9"/>
      <c r="E270" s="9"/>
      <c r="F270" s="85"/>
      <c r="G270" s="9"/>
      <c r="H270" s="9"/>
      <c r="I270" s="9"/>
      <c r="J270" s="9"/>
      <c r="K270" s="9"/>
      <c r="L270" s="86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84"/>
      <c r="B271" s="9"/>
      <c r="C271" s="9"/>
      <c r="D271" s="9"/>
      <c r="E271" s="9"/>
      <c r="F271" s="85"/>
      <c r="G271" s="9"/>
      <c r="H271" s="9"/>
      <c r="I271" s="9"/>
      <c r="J271" s="9"/>
      <c r="K271" s="9"/>
      <c r="L271" s="86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84"/>
      <c r="B272" s="9"/>
      <c r="C272" s="9"/>
      <c r="D272" s="9"/>
      <c r="E272" s="9"/>
      <c r="F272" s="85"/>
      <c r="G272" s="9"/>
      <c r="H272" s="9"/>
      <c r="I272" s="9"/>
      <c r="J272" s="9"/>
      <c r="K272" s="9"/>
      <c r="L272" s="86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84"/>
      <c r="B273" s="9"/>
      <c r="C273" s="9"/>
      <c r="D273" s="9"/>
      <c r="E273" s="9"/>
      <c r="F273" s="85"/>
      <c r="G273" s="9"/>
      <c r="H273" s="9"/>
      <c r="I273" s="9"/>
      <c r="J273" s="9"/>
      <c r="K273" s="9"/>
      <c r="L273" s="86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84"/>
      <c r="B274" s="9"/>
      <c r="C274" s="9"/>
      <c r="D274" s="9"/>
      <c r="E274" s="9"/>
      <c r="F274" s="85"/>
      <c r="G274" s="9"/>
      <c r="H274" s="9"/>
      <c r="I274" s="9"/>
      <c r="J274" s="9"/>
      <c r="K274" s="9"/>
      <c r="L274" s="86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84"/>
      <c r="B275" s="9"/>
      <c r="C275" s="9"/>
      <c r="D275" s="9"/>
      <c r="E275" s="9"/>
      <c r="F275" s="85"/>
      <c r="G275" s="9"/>
      <c r="H275" s="9"/>
      <c r="I275" s="9"/>
      <c r="J275" s="9"/>
      <c r="K275" s="9"/>
      <c r="L275" s="86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84"/>
      <c r="B276" s="9"/>
      <c r="C276" s="9"/>
      <c r="D276" s="9"/>
      <c r="E276" s="9"/>
      <c r="F276" s="85"/>
      <c r="G276" s="9"/>
      <c r="H276" s="9"/>
      <c r="I276" s="9"/>
      <c r="J276" s="9"/>
      <c r="K276" s="9"/>
      <c r="L276" s="86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84"/>
      <c r="B277" s="9"/>
      <c r="C277" s="9"/>
      <c r="D277" s="9"/>
      <c r="E277" s="9"/>
      <c r="F277" s="85"/>
      <c r="G277" s="9"/>
      <c r="H277" s="9"/>
      <c r="I277" s="9"/>
      <c r="J277" s="9"/>
      <c r="K277" s="9"/>
      <c r="L277" s="86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84"/>
      <c r="B278" s="9"/>
      <c r="C278" s="9"/>
      <c r="D278" s="9"/>
      <c r="E278" s="9"/>
      <c r="F278" s="85"/>
      <c r="G278" s="9"/>
      <c r="H278" s="9"/>
      <c r="I278" s="9"/>
      <c r="J278" s="9"/>
      <c r="K278" s="9"/>
      <c r="L278" s="86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84"/>
      <c r="B279" s="9"/>
      <c r="C279" s="9"/>
      <c r="D279" s="9"/>
      <c r="E279" s="9"/>
      <c r="F279" s="85"/>
      <c r="G279" s="9"/>
      <c r="H279" s="9"/>
      <c r="I279" s="9"/>
      <c r="J279" s="9"/>
      <c r="K279" s="9"/>
      <c r="L279" s="86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84"/>
      <c r="B280" s="9"/>
      <c r="C280" s="9"/>
      <c r="D280" s="9"/>
      <c r="E280" s="9"/>
      <c r="F280" s="85"/>
      <c r="G280" s="9"/>
      <c r="H280" s="9"/>
      <c r="I280" s="9"/>
      <c r="J280" s="9"/>
      <c r="K280" s="9"/>
      <c r="L280" s="86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84"/>
      <c r="B281" s="9"/>
      <c r="C281" s="9"/>
      <c r="D281" s="9"/>
      <c r="E281" s="9"/>
      <c r="F281" s="85"/>
      <c r="G281" s="9"/>
      <c r="H281" s="9"/>
      <c r="I281" s="9"/>
      <c r="J281" s="9"/>
      <c r="K281" s="9"/>
      <c r="L281" s="86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84"/>
      <c r="B282" s="9"/>
      <c r="C282" s="9"/>
      <c r="D282" s="9"/>
      <c r="E282" s="9"/>
      <c r="F282" s="85"/>
      <c r="G282" s="9"/>
      <c r="H282" s="9"/>
      <c r="I282" s="9"/>
      <c r="J282" s="9"/>
      <c r="K282" s="9"/>
      <c r="L282" s="86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84"/>
      <c r="B283" s="9"/>
      <c r="C283" s="9"/>
      <c r="D283" s="9"/>
      <c r="E283" s="9"/>
      <c r="F283" s="85"/>
      <c r="G283" s="9"/>
      <c r="H283" s="9"/>
      <c r="I283" s="9"/>
      <c r="J283" s="9"/>
      <c r="K283" s="9"/>
      <c r="L283" s="86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84"/>
      <c r="B284" s="9"/>
      <c r="C284" s="9"/>
      <c r="D284" s="9"/>
      <c r="E284" s="9"/>
      <c r="F284" s="85"/>
      <c r="G284" s="9"/>
      <c r="H284" s="9"/>
      <c r="I284" s="9"/>
      <c r="J284" s="9"/>
      <c r="K284" s="9"/>
      <c r="L284" s="86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84"/>
      <c r="B285" s="9"/>
      <c r="C285" s="9"/>
      <c r="D285" s="9"/>
      <c r="E285" s="9"/>
      <c r="F285" s="85"/>
      <c r="G285" s="9"/>
      <c r="H285" s="9"/>
      <c r="I285" s="9"/>
      <c r="J285" s="9"/>
      <c r="K285" s="9"/>
      <c r="L285" s="86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84"/>
      <c r="B286" s="9"/>
      <c r="C286" s="9"/>
      <c r="D286" s="9"/>
      <c r="E286" s="9"/>
      <c r="F286" s="85"/>
      <c r="G286" s="9"/>
      <c r="H286" s="9"/>
      <c r="I286" s="9"/>
      <c r="J286" s="9"/>
      <c r="K286" s="9"/>
      <c r="L286" s="86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84"/>
      <c r="B287" s="9"/>
      <c r="C287" s="9"/>
      <c r="D287" s="9"/>
      <c r="E287" s="9"/>
      <c r="F287" s="85"/>
      <c r="G287" s="9"/>
      <c r="H287" s="9"/>
      <c r="I287" s="9"/>
      <c r="J287" s="9"/>
      <c r="K287" s="9"/>
      <c r="L287" s="86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84"/>
      <c r="B288" s="9"/>
      <c r="C288" s="9"/>
      <c r="D288" s="9"/>
      <c r="E288" s="9"/>
      <c r="F288" s="85"/>
      <c r="G288" s="9"/>
      <c r="H288" s="9"/>
      <c r="I288" s="9"/>
      <c r="J288" s="9"/>
      <c r="K288" s="9"/>
      <c r="L288" s="86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84"/>
      <c r="B289" s="9"/>
      <c r="C289" s="9"/>
      <c r="D289" s="9"/>
      <c r="E289" s="9"/>
      <c r="F289" s="85"/>
      <c r="G289" s="9"/>
      <c r="H289" s="9"/>
      <c r="I289" s="9"/>
      <c r="J289" s="9"/>
      <c r="K289" s="9"/>
      <c r="L289" s="86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84"/>
      <c r="B290" s="9"/>
      <c r="C290" s="9"/>
      <c r="D290" s="9"/>
      <c r="E290" s="9"/>
      <c r="F290" s="85"/>
      <c r="G290" s="9"/>
      <c r="H290" s="9"/>
      <c r="I290" s="9"/>
      <c r="J290" s="9"/>
      <c r="K290" s="9"/>
      <c r="L290" s="86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84"/>
      <c r="B291" s="9"/>
      <c r="C291" s="9"/>
      <c r="D291" s="9"/>
      <c r="E291" s="9"/>
      <c r="F291" s="85"/>
      <c r="G291" s="9"/>
      <c r="H291" s="9"/>
      <c r="I291" s="9"/>
      <c r="J291" s="9"/>
      <c r="K291" s="9"/>
      <c r="L291" s="86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84"/>
      <c r="B292" s="9"/>
      <c r="C292" s="9"/>
      <c r="D292" s="9"/>
      <c r="E292" s="9"/>
      <c r="F292" s="85"/>
      <c r="G292" s="9"/>
      <c r="H292" s="9"/>
      <c r="I292" s="9"/>
      <c r="J292" s="9"/>
      <c r="K292" s="9"/>
      <c r="L292" s="86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84"/>
      <c r="B293" s="9"/>
      <c r="C293" s="9"/>
      <c r="D293" s="9"/>
      <c r="E293" s="9"/>
      <c r="F293" s="85"/>
      <c r="G293" s="9"/>
      <c r="H293" s="9"/>
      <c r="I293" s="9"/>
      <c r="J293" s="9"/>
      <c r="K293" s="9"/>
      <c r="L293" s="86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84"/>
      <c r="B294" s="9"/>
      <c r="C294" s="9"/>
      <c r="D294" s="9"/>
      <c r="E294" s="9"/>
      <c r="F294" s="85"/>
      <c r="G294" s="9"/>
      <c r="H294" s="9"/>
      <c r="I294" s="9"/>
      <c r="J294" s="9"/>
      <c r="K294" s="9"/>
      <c r="L294" s="86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84"/>
      <c r="B295" s="9"/>
      <c r="C295" s="9"/>
      <c r="D295" s="9"/>
      <c r="E295" s="9"/>
      <c r="F295" s="85"/>
      <c r="G295" s="9"/>
      <c r="H295" s="9"/>
      <c r="I295" s="9"/>
      <c r="J295" s="9"/>
      <c r="K295" s="9"/>
      <c r="L295" s="86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84"/>
      <c r="B296" s="9"/>
      <c r="C296" s="9"/>
      <c r="D296" s="9"/>
      <c r="E296" s="9"/>
      <c r="F296" s="85"/>
      <c r="G296" s="9"/>
      <c r="H296" s="9"/>
      <c r="I296" s="9"/>
      <c r="J296" s="9"/>
      <c r="K296" s="9"/>
      <c r="L296" s="86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84"/>
      <c r="B297" s="9"/>
      <c r="C297" s="9"/>
      <c r="D297" s="9"/>
      <c r="E297" s="9"/>
      <c r="F297" s="85"/>
      <c r="G297" s="9"/>
      <c r="H297" s="9"/>
      <c r="I297" s="9"/>
      <c r="J297" s="9"/>
      <c r="K297" s="9"/>
      <c r="L297" s="86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84"/>
      <c r="B298" s="9"/>
      <c r="C298" s="9"/>
      <c r="D298" s="9"/>
      <c r="E298" s="9"/>
      <c r="F298" s="85"/>
      <c r="G298" s="9"/>
      <c r="H298" s="9"/>
      <c r="I298" s="9"/>
      <c r="J298" s="9"/>
      <c r="K298" s="9"/>
      <c r="L298" s="86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84"/>
      <c r="B299" s="9"/>
      <c r="C299" s="9"/>
      <c r="D299" s="9"/>
      <c r="E299" s="9"/>
      <c r="F299" s="85"/>
      <c r="G299" s="9"/>
      <c r="H299" s="9"/>
      <c r="I299" s="9"/>
      <c r="J299" s="9"/>
      <c r="K299" s="9"/>
      <c r="L299" s="86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84"/>
      <c r="B300" s="9"/>
      <c r="C300" s="9"/>
      <c r="D300" s="9"/>
      <c r="E300" s="9"/>
      <c r="F300" s="85"/>
      <c r="G300" s="9"/>
      <c r="H300" s="9"/>
      <c r="I300" s="9"/>
      <c r="J300" s="9"/>
      <c r="K300" s="9"/>
      <c r="L300" s="86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84"/>
      <c r="B301" s="9"/>
      <c r="C301" s="9"/>
      <c r="D301" s="9"/>
      <c r="E301" s="9"/>
      <c r="F301" s="85"/>
      <c r="G301" s="9"/>
      <c r="H301" s="9"/>
      <c r="I301" s="9"/>
      <c r="J301" s="9"/>
      <c r="K301" s="9"/>
      <c r="L301" s="86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84"/>
      <c r="B302" s="9"/>
      <c r="C302" s="9"/>
      <c r="D302" s="9"/>
      <c r="E302" s="9"/>
      <c r="F302" s="85"/>
      <c r="G302" s="9"/>
      <c r="H302" s="9"/>
      <c r="I302" s="9"/>
      <c r="J302" s="9"/>
      <c r="K302" s="9"/>
      <c r="L302" s="86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84"/>
      <c r="B303" s="9"/>
      <c r="C303" s="9"/>
      <c r="D303" s="9"/>
      <c r="E303" s="9"/>
      <c r="F303" s="85"/>
      <c r="G303" s="9"/>
      <c r="H303" s="9"/>
      <c r="I303" s="9"/>
      <c r="J303" s="9"/>
      <c r="K303" s="9"/>
      <c r="L303" s="86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84"/>
      <c r="B304" s="9"/>
      <c r="C304" s="9"/>
      <c r="D304" s="9"/>
      <c r="E304" s="9"/>
      <c r="F304" s="85"/>
      <c r="G304" s="9"/>
      <c r="H304" s="9"/>
      <c r="I304" s="9"/>
      <c r="J304" s="9"/>
      <c r="K304" s="9"/>
      <c r="L304" s="86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84"/>
      <c r="B305" s="9"/>
      <c r="C305" s="9"/>
      <c r="D305" s="9"/>
      <c r="E305" s="9"/>
      <c r="F305" s="85"/>
      <c r="G305" s="9"/>
      <c r="H305" s="9"/>
      <c r="I305" s="9"/>
      <c r="J305" s="9"/>
      <c r="K305" s="9"/>
      <c r="L305" s="86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84"/>
      <c r="B306" s="9"/>
      <c r="C306" s="9"/>
      <c r="D306" s="9"/>
      <c r="E306" s="9"/>
      <c r="F306" s="85"/>
      <c r="G306" s="9"/>
      <c r="H306" s="9"/>
      <c r="I306" s="9"/>
      <c r="J306" s="9"/>
      <c r="K306" s="9"/>
      <c r="L306" s="86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84"/>
      <c r="B307" s="9"/>
      <c r="C307" s="9"/>
      <c r="D307" s="9"/>
      <c r="E307" s="9"/>
      <c r="F307" s="85"/>
      <c r="G307" s="9"/>
      <c r="H307" s="9"/>
      <c r="I307" s="9"/>
      <c r="J307" s="9"/>
      <c r="K307" s="9"/>
      <c r="L307" s="86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84"/>
      <c r="B308" s="9"/>
      <c r="C308" s="9"/>
      <c r="D308" s="9"/>
      <c r="E308" s="9"/>
      <c r="F308" s="85"/>
      <c r="G308" s="9"/>
      <c r="H308" s="9"/>
      <c r="I308" s="9"/>
      <c r="J308" s="9"/>
      <c r="K308" s="9"/>
      <c r="L308" s="86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84"/>
      <c r="B309" s="9"/>
      <c r="C309" s="9"/>
      <c r="D309" s="9"/>
      <c r="E309" s="9"/>
      <c r="F309" s="85"/>
      <c r="G309" s="9"/>
      <c r="H309" s="9"/>
      <c r="I309" s="9"/>
      <c r="J309" s="9"/>
      <c r="K309" s="9"/>
      <c r="L309" s="86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84"/>
      <c r="B310" s="9"/>
      <c r="C310" s="9"/>
      <c r="D310" s="9"/>
      <c r="E310" s="9"/>
      <c r="F310" s="85"/>
      <c r="G310" s="9"/>
      <c r="H310" s="9"/>
      <c r="I310" s="9"/>
      <c r="J310" s="9"/>
      <c r="K310" s="9"/>
      <c r="L310" s="86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84"/>
      <c r="B311" s="9"/>
      <c r="C311" s="9"/>
      <c r="D311" s="9"/>
      <c r="E311" s="9"/>
      <c r="F311" s="85"/>
      <c r="G311" s="9"/>
      <c r="H311" s="9"/>
      <c r="I311" s="9"/>
      <c r="J311" s="9"/>
      <c r="K311" s="9"/>
      <c r="L311" s="86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84"/>
      <c r="B312" s="9"/>
      <c r="C312" s="9"/>
      <c r="D312" s="9"/>
      <c r="E312" s="9"/>
      <c r="F312" s="85"/>
      <c r="G312" s="9"/>
      <c r="H312" s="9"/>
      <c r="I312" s="9"/>
      <c r="J312" s="9"/>
      <c r="K312" s="9"/>
      <c r="L312" s="86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84"/>
      <c r="B313" s="9"/>
      <c r="C313" s="9"/>
      <c r="D313" s="9"/>
      <c r="E313" s="9"/>
      <c r="F313" s="85"/>
      <c r="G313" s="9"/>
      <c r="H313" s="9"/>
      <c r="I313" s="9"/>
      <c r="J313" s="9"/>
      <c r="K313" s="9"/>
      <c r="L313" s="86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84"/>
      <c r="B314" s="9"/>
      <c r="C314" s="9"/>
      <c r="D314" s="9"/>
      <c r="E314" s="9"/>
      <c r="F314" s="85"/>
      <c r="G314" s="9"/>
      <c r="H314" s="9"/>
      <c r="I314" s="9"/>
      <c r="J314" s="9"/>
      <c r="K314" s="9"/>
      <c r="L314" s="86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84"/>
      <c r="B315" s="9"/>
      <c r="C315" s="9"/>
      <c r="D315" s="9"/>
      <c r="E315" s="9"/>
      <c r="F315" s="85"/>
      <c r="G315" s="9"/>
      <c r="H315" s="9"/>
      <c r="I315" s="9"/>
      <c r="J315" s="9"/>
      <c r="K315" s="9"/>
      <c r="L315" s="86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84"/>
      <c r="B316" s="9"/>
      <c r="C316" s="9"/>
      <c r="D316" s="9"/>
      <c r="E316" s="9"/>
      <c r="F316" s="85"/>
      <c r="G316" s="9"/>
      <c r="H316" s="9"/>
      <c r="I316" s="9"/>
      <c r="J316" s="9"/>
      <c r="K316" s="9"/>
      <c r="L316" s="86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84"/>
      <c r="B317" s="9"/>
      <c r="C317" s="9"/>
      <c r="D317" s="9"/>
      <c r="E317" s="9"/>
      <c r="F317" s="85"/>
      <c r="G317" s="9"/>
      <c r="H317" s="9"/>
      <c r="I317" s="9"/>
      <c r="J317" s="9"/>
      <c r="K317" s="9"/>
      <c r="L317" s="86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F318" s="86"/>
      <c r="L318" s="86"/>
    </row>
    <row r="319">
      <c r="F319" s="86"/>
      <c r="L319" s="86"/>
    </row>
    <row r="320">
      <c r="F320" s="86"/>
      <c r="L320" s="86"/>
    </row>
    <row r="321">
      <c r="F321" s="86"/>
      <c r="L321" s="86"/>
    </row>
    <row r="322">
      <c r="F322" s="86"/>
      <c r="L322" s="86"/>
    </row>
    <row r="323">
      <c r="F323" s="86"/>
      <c r="L323" s="86"/>
    </row>
    <row r="324">
      <c r="F324" s="86"/>
      <c r="L324" s="86"/>
    </row>
    <row r="325">
      <c r="F325" s="86"/>
      <c r="L325" s="86"/>
    </row>
    <row r="326">
      <c r="F326" s="86"/>
      <c r="L326" s="86"/>
    </row>
    <row r="327">
      <c r="F327" s="86"/>
      <c r="L327" s="86"/>
    </row>
    <row r="328">
      <c r="F328" s="86"/>
      <c r="L328" s="86"/>
    </row>
    <row r="329">
      <c r="F329" s="86"/>
      <c r="L329" s="86"/>
    </row>
    <row r="330">
      <c r="F330" s="86"/>
      <c r="L330" s="86"/>
    </row>
    <row r="331">
      <c r="F331" s="86"/>
      <c r="L331" s="86"/>
    </row>
    <row r="332">
      <c r="F332" s="86"/>
      <c r="L332" s="86"/>
    </row>
    <row r="333">
      <c r="F333" s="86"/>
      <c r="L333" s="86"/>
    </row>
    <row r="334">
      <c r="F334" s="86"/>
      <c r="L334" s="86"/>
    </row>
    <row r="335">
      <c r="F335" s="86"/>
      <c r="L335" s="86"/>
    </row>
    <row r="336">
      <c r="F336" s="86"/>
      <c r="L336" s="86"/>
    </row>
    <row r="337">
      <c r="F337" s="86"/>
      <c r="L337" s="86"/>
    </row>
    <row r="338">
      <c r="F338" s="86"/>
      <c r="L338" s="86"/>
    </row>
    <row r="339">
      <c r="F339" s="86"/>
      <c r="L339" s="86"/>
    </row>
    <row r="340">
      <c r="F340" s="86"/>
      <c r="L340" s="86"/>
    </row>
    <row r="341">
      <c r="F341" s="86"/>
      <c r="L341" s="86"/>
    </row>
    <row r="342">
      <c r="F342" s="86"/>
      <c r="L342" s="86"/>
    </row>
    <row r="343">
      <c r="F343" s="86"/>
      <c r="L343" s="86"/>
    </row>
    <row r="344">
      <c r="F344" s="86"/>
      <c r="L344" s="86"/>
    </row>
    <row r="345">
      <c r="F345" s="86"/>
      <c r="L345" s="86"/>
    </row>
    <row r="346">
      <c r="F346" s="86"/>
      <c r="L346" s="86"/>
    </row>
    <row r="347">
      <c r="F347" s="86"/>
      <c r="L347" s="86"/>
    </row>
    <row r="348">
      <c r="F348" s="86"/>
      <c r="L348" s="86"/>
    </row>
    <row r="349">
      <c r="F349" s="86"/>
      <c r="L349" s="86"/>
    </row>
    <row r="350">
      <c r="F350" s="86"/>
      <c r="L350" s="86"/>
    </row>
    <row r="351">
      <c r="F351" s="86"/>
      <c r="L351" s="86"/>
    </row>
    <row r="352">
      <c r="F352" s="86"/>
      <c r="L352" s="86"/>
    </row>
    <row r="353">
      <c r="F353" s="86"/>
      <c r="L353" s="86"/>
    </row>
    <row r="354">
      <c r="F354" s="86"/>
      <c r="L354" s="86"/>
    </row>
    <row r="355">
      <c r="F355" s="86"/>
      <c r="L355" s="86"/>
    </row>
    <row r="356">
      <c r="F356" s="86"/>
      <c r="L356" s="86"/>
    </row>
    <row r="357">
      <c r="F357" s="86"/>
      <c r="L357" s="86"/>
    </row>
    <row r="358">
      <c r="F358" s="86"/>
      <c r="L358" s="86"/>
    </row>
    <row r="359">
      <c r="F359" s="86"/>
      <c r="L359" s="86"/>
    </row>
    <row r="360">
      <c r="F360" s="86"/>
      <c r="L360" s="86"/>
    </row>
    <row r="361">
      <c r="F361" s="86"/>
      <c r="L361" s="86"/>
    </row>
    <row r="362">
      <c r="F362" s="86"/>
      <c r="L362" s="86"/>
    </row>
    <row r="363">
      <c r="F363" s="86"/>
      <c r="L363" s="86"/>
    </row>
    <row r="364">
      <c r="F364" s="86"/>
      <c r="L364" s="86"/>
    </row>
    <row r="365">
      <c r="F365" s="86"/>
      <c r="L365" s="86"/>
    </row>
    <row r="366">
      <c r="F366" s="86"/>
      <c r="L366" s="86"/>
    </row>
    <row r="367">
      <c r="F367" s="86"/>
      <c r="L367" s="86"/>
    </row>
    <row r="368">
      <c r="F368" s="86"/>
      <c r="L368" s="86"/>
    </row>
    <row r="369">
      <c r="F369" s="86"/>
      <c r="L369" s="86"/>
    </row>
    <row r="370">
      <c r="F370" s="86"/>
      <c r="L370" s="86"/>
    </row>
    <row r="371">
      <c r="F371" s="86"/>
      <c r="L371" s="86"/>
    </row>
    <row r="372">
      <c r="F372" s="86"/>
      <c r="L372" s="86"/>
    </row>
    <row r="373">
      <c r="F373" s="86"/>
      <c r="L373" s="86"/>
    </row>
    <row r="374">
      <c r="F374" s="86"/>
      <c r="L374" s="86"/>
    </row>
    <row r="375">
      <c r="F375" s="86"/>
      <c r="L375" s="86"/>
    </row>
    <row r="376">
      <c r="F376" s="86"/>
      <c r="L376" s="86"/>
    </row>
    <row r="377">
      <c r="F377" s="86"/>
      <c r="L377" s="86"/>
    </row>
    <row r="378">
      <c r="F378" s="86"/>
      <c r="L378" s="86"/>
    </row>
    <row r="379">
      <c r="F379" s="86"/>
      <c r="L379" s="86"/>
    </row>
    <row r="380">
      <c r="F380" s="86"/>
      <c r="L380" s="86"/>
    </row>
    <row r="381">
      <c r="F381" s="86"/>
      <c r="L381" s="86"/>
    </row>
    <row r="382">
      <c r="F382" s="86"/>
      <c r="L382" s="86"/>
    </row>
    <row r="383">
      <c r="F383" s="86"/>
      <c r="L383" s="86"/>
    </row>
    <row r="384">
      <c r="F384" s="86"/>
      <c r="L384" s="86"/>
    </row>
    <row r="385">
      <c r="F385" s="86"/>
      <c r="L385" s="86"/>
    </row>
    <row r="386">
      <c r="F386" s="86"/>
      <c r="L386" s="86"/>
    </row>
    <row r="387">
      <c r="F387" s="86"/>
      <c r="L387" s="86"/>
    </row>
    <row r="388">
      <c r="F388" s="86"/>
      <c r="L388" s="86"/>
    </row>
    <row r="389">
      <c r="F389" s="86"/>
      <c r="L389" s="86"/>
    </row>
    <row r="390">
      <c r="F390" s="86"/>
      <c r="L390" s="86"/>
    </row>
    <row r="391">
      <c r="F391" s="86"/>
      <c r="L391" s="86"/>
    </row>
    <row r="392">
      <c r="F392" s="86"/>
      <c r="L392" s="86"/>
    </row>
    <row r="393">
      <c r="F393" s="86"/>
      <c r="L393" s="86"/>
    </row>
    <row r="394">
      <c r="F394" s="86"/>
      <c r="L394" s="86"/>
    </row>
    <row r="395">
      <c r="F395" s="86"/>
      <c r="L395" s="86"/>
    </row>
    <row r="396">
      <c r="F396" s="86"/>
      <c r="L396" s="86"/>
    </row>
    <row r="397">
      <c r="F397" s="86"/>
      <c r="L397" s="86"/>
    </row>
    <row r="398">
      <c r="F398" s="86"/>
      <c r="L398" s="86"/>
    </row>
    <row r="399">
      <c r="F399" s="86"/>
      <c r="L399" s="86"/>
    </row>
    <row r="400">
      <c r="F400" s="86"/>
      <c r="L400" s="86"/>
    </row>
    <row r="401">
      <c r="F401" s="86"/>
      <c r="L401" s="86"/>
    </row>
    <row r="402">
      <c r="F402" s="86"/>
      <c r="L402" s="86"/>
    </row>
    <row r="403">
      <c r="F403" s="86"/>
      <c r="L403" s="86"/>
    </row>
    <row r="404">
      <c r="F404" s="86"/>
      <c r="L404" s="86"/>
    </row>
    <row r="405">
      <c r="F405" s="86"/>
      <c r="L405" s="86"/>
    </row>
    <row r="406">
      <c r="F406" s="86"/>
      <c r="L406" s="86"/>
    </row>
    <row r="407">
      <c r="F407" s="86"/>
      <c r="L407" s="86"/>
    </row>
    <row r="408">
      <c r="F408" s="86"/>
      <c r="L408" s="86"/>
    </row>
    <row r="409">
      <c r="F409" s="86"/>
      <c r="L409" s="86"/>
    </row>
    <row r="410">
      <c r="F410" s="86"/>
      <c r="L410" s="86"/>
    </row>
    <row r="411">
      <c r="F411" s="86"/>
      <c r="L411" s="86"/>
    </row>
    <row r="412">
      <c r="F412" s="86"/>
      <c r="L412" s="86"/>
    </row>
    <row r="413">
      <c r="F413" s="86"/>
      <c r="L413" s="86"/>
    </row>
    <row r="414">
      <c r="F414" s="86"/>
      <c r="L414" s="86"/>
    </row>
    <row r="415">
      <c r="F415" s="86"/>
      <c r="L415" s="86"/>
    </row>
    <row r="416">
      <c r="F416" s="86"/>
      <c r="L416" s="86"/>
    </row>
    <row r="417">
      <c r="F417" s="86"/>
      <c r="L417" s="86"/>
    </row>
    <row r="418">
      <c r="F418" s="86"/>
      <c r="L418" s="86"/>
    </row>
    <row r="419">
      <c r="F419" s="86"/>
      <c r="L419" s="86"/>
    </row>
    <row r="420">
      <c r="F420" s="86"/>
      <c r="L420" s="86"/>
    </row>
    <row r="421">
      <c r="F421" s="86"/>
      <c r="L421" s="86"/>
    </row>
    <row r="422">
      <c r="F422" s="86"/>
      <c r="L422" s="86"/>
    </row>
    <row r="423">
      <c r="F423" s="86"/>
      <c r="L423" s="86"/>
    </row>
    <row r="424">
      <c r="F424" s="86"/>
      <c r="L424" s="86"/>
    </row>
    <row r="425">
      <c r="F425" s="86"/>
      <c r="L425" s="86"/>
    </row>
    <row r="426">
      <c r="F426" s="86"/>
      <c r="L426" s="86"/>
    </row>
    <row r="427">
      <c r="F427" s="86"/>
      <c r="L427" s="86"/>
    </row>
    <row r="428">
      <c r="F428" s="86"/>
      <c r="L428" s="86"/>
    </row>
    <row r="429">
      <c r="F429" s="86"/>
      <c r="L429" s="86"/>
    </row>
    <row r="430">
      <c r="F430" s="86"/>
      <c r="L430" s="86"/>
    </row>
    <row r="431">
      <c r="F431" s="86"/>
      <c r="L431" s="86"/>
    </row>
    <row r="432">
      <c r="F432" s="86"/>
      <c r="L432" s="86"/>
    </row>
    <row r="433">
      <c r="F433" s="86"/>
      <c r="L433" s="86"/>
    </row>
    <row r="434">
      <c r="F434" s="86"/>
      <c r="L434" s="86"/>
    </row>
    <row r="435">
      <c r="F435" s="86"/>
      <c r="L435" s="86"/>
    </row>
    <row r="436">
      <c r="F436" s="86"/>
      <c r="L436" s="86"/>
    </row>
    <row r="437">
      <c r="F437" s="86"/>
      <c r="L437" s="86"/>
    </row>
    <row r="438">
      <c r="F438" s="86"/>
      <c r="L438" s="86"/>
    </row>
    <row r="439">
      <c r="F439" s="86"/>
      <c r="L439" s="86"/>
    </row>
    <row r="440">
      <c r="F440" s="86"/>
      <c r="L440" s="86"/>
    </row>
    <row r="441">
      <c r="F441" s="86"/>
      <c r="L441" s="86"/>
    </row>
    <row r="442">
      <c r="F442" s="86"/>
      <c r="L442" s="86"/>
    </row>
    <row r="443">
      <c r="F443" s="86"/>
      <c r="L443" s="86"/>
    </row>
    <row r="444">
      <c r="F444" s="86"/>
      <c r="L444" s="86"/>
    </row>
    <row r="445">
      <c r="F445" s="86"/>
      <c r="L445" s="86"/>
    </row>
    <row r="446">
      <c r="F446" s="86"/>
      <c r="L446" s="86"/>
    </row>
    <row r="447">
      <c r="F447" s="86"/>
      <c r="L447" s="86"/>
    </row>
    <row r="448">
      <c r="F448" s="86"/>
      <c r="L448" s="86"/>
    </row>
    <row r="449">
      <c r="F449" s="86"/>
      <c r="L449" s="86"/>
    </row>
    <row r="450">
      <c r="F450" s="86"/>
      <c r="L450" s="86"/>
    </row>
    <row r="451">
      <c r="F451" s="86"/>
      <c r="L451" s="86"/>
    </row>
    <row r="452">
      <c r="F452" s="86"/>
      <c r="L452" s="86"/>
    </row>
    <row r="453">
      <c r="F453" s="86"/>
      <c r="L453" s="86"/>
    </row>
    <row r="454">
      <c r="F454" s="86"/>
      <c r="L454" s="86"/>
    </row>
    <row r="455">
      <c r="F455" s="86"/>
      <c r="L455" s="86"/>
    </row>
    <row r="456">
      <c r="F456" s="86"/>
      <c r="L456" s="86"/>
    </row>
    <row r="457">
      <c r="F457" s="86"/>
      <c r="L457" s="86"/>
    </row>
    <row r="458">
      <c r="F458" s="86"/>
      <c r="L458" s="86"/>
    </row>
    <row r="459">
      <c r="F459" s="86"/>
      <c r="L459" s="86"/>
    </row>
    <row r="460">
      <c r="F460" s="86"/>
      <c r="L460" s="86"/>
    </row>
    <row r="461">
      <c r="F461" s="86"/>
      <c r="L461" s="86"/>
    </row>
    <row r="462">
      <c r="F462" s="86"/>
      <c r="L462" s="86"/>
    </row>
    <row r="463">
      <c r="F463" s="86"/>
      <c r="L463" s="86"/>
    </row>
    <row r="464">
      <c r="F464" s="86"/>
      <c r="L464" s="86"/>
    </row>
    <row r="465">
      <c r="F465" s="86"/>
      <c r="L465" s="86"/>
    </row>
    <row r="466">
      <c r="F466" s="86"/>
      <c r="L466" s="86"/>
    </row>
    <row r="467">
      <c r="F467" s="86"/>
      <c r="L467" s="86"/>
    </row>
    <row r="468">
      <c r="F468" s="86"/>
      <c r="L468" s="86"/>
    </row>
    <row r="469">
      <c r="F469" s="86"/>
      <c r="L469" s="86"/>
    </row>
    <row r="470">
      <c r="F470" s="86"/>
      <c r="L470" s="86"/>
    </row>
    <row r="471">
      <c r="F471" s="86"/>
      <c r="L471" s="86"/>
    </row>
    <row r="472">
      <c r="F472" s="86"/>
      <c r="L472" s="86"/>
    </row>
    <row r="473">
      <c r="F473" s="86"/>
      <c r="L473" s="86"/>
    </row>
    <row r="474">
      <c r="F474" s="86"/>
      <c r="L474" s="86"/>
    </row>
    <row r="475">
      <c r="F475" s="86"/>
      <c r="L475" s="86"/>
    </row>
    <row r="476">
      <c r="F476" s="86"/>
      <c r="L476" s="86"/>
    </row>
    <row r="477">
      <c r="F477" s="86"/>
      <c r="L477" s="86"/>
    </row>
    <row r="478">
      <c r="F478" s="86"/>
      <c r="L478" s="86"/>
    </row>
    <row r="479">
      <c r="F479" s="86"/>
      <c r="L479" s="86"/>
    </row>
    <row r="480">
      <c r="F480" s="86"/>
      <c r="L480" s="86"/>
    </row>
    <row r="481">
      <c r="F481" s="86"/>
      <c r="L481" s="86"/>
    </row>
    <row r="482">
      <c r="F482" s="86"/>
      <c r="L482" s="86"/>
    </row>
    <row r="483">
      <c r="F483" s="86"/>
      <c r="L483" s="86"/>
    </row>
    <row r="484">
      <c r="F484" s="86"/>
      <c r="L484" s="86"/>
    </row>
    <row r="485">
      <c r="F485" s="86"/>
      <c r="L485" s="86"/>
    </row>
    <row r="486">
      <c r="F486" s="86"/>
      <c r="L486" s="86"/>
    </row>
    <row r="487">
      <c r="F487" s="86"/>
      <c r="L487" s="86"/>
    </row>
    <row r="488">
      <c r="F488" s="86"/>
      <c r="L488" s="86"/>
    </row>
    <row r="489">
      <c r="F489" s="86"/>
      <c r="L489" s="86"/>
    </row>
    <row r="490">
      <c r="F490" s="86"/>
      <c r="L490" s="86"/>
    </row>
    <row r="491">
      <c r="F491" s="86"/>
      <c r="L491" s="86"/>
    </row>
    <row r="492">
      <c r="F492" s="86"/>
      <c r="L492" s="86"/>
    </row>
    <row r="493">
      <c r="F493" s="86"/>
      <c r="L493" s="86"/>
    </row>
    <row r="494">
      <c r="F494" s="86"/>
      <c r="L494" s="86"/>
    </row>
    <row r="495">
      <c r="F495" s="86"/>
      <c r="L495" s="86"/>
    </row>
    <row r="496">
      <c r="F496" s="86"/>
      <c r="L496" s="86"/>
    </row>
    <row r="497">
      <c r="F497" s="86"/>
      <c r="L497" s="86"/>
    </row>
    <row r="498">
      <c r="F498" s="86"/>
      <c r="L498" s="86"/>
    </row>
    <row r="499">
      <c r="F499" s="86"/>
      <c r="L499" s="86"/>
    </row>
    <row r="500">
      <c r="F500" s="86"/>
      <c r="L500" s="86"/>
    </row>
    <row r="501">
      <c r="F501" s="86"/>
      <c r="L501" s="86"/>
    </row>
    <row r="502">
      <c r="F502" s="86"/>
      <c r="L502" s="86"/>
    </row>
    <row r="503">
      <c r="F503" s="86"/>
      <c r="L503" s="86"/>
    </row>
    <row r="504">
      <c r="F504" s="86"/>
      <c r="L504" s="86"/>
    </row>
    <row r="505">
      <c r="F505" s="86"/>
      <c r="L505" s="86"/>
    </row>
    <row r="506">
      <c r="F506" s="86"/>
      <c r="L506" s="86"/>
    </row>
    <row r="507">
      <c r="F507" s="86"/>
      <c r="L507" s="86"/>
    </row>
    <row r="508">
      <c r="F508" s="86"/>
      <c r="L508" s="86"/>
    </row>
    <row r="509">
      <c r="F509" s="86"/>
      <c r="L509" s="86"/>
    </row>
    <row r="510">
      <c r="F510" s="86"/>
      <c r="L510" s="86"/>
    </row>
    <row r="511">
      <c r="F511" s="86"/>
      <c r="L511" s="86"/>
    </row>
    <row r="512">
      <c r="F512" s="86"/>
      <c r="L512" s="86"/>
    </row>
    <row r="513">
      <c r="F513" s="86"/>
      <c r="L513" s="86"/>
    </row>
    <row r="514">
      <c r="F514" s="86"/>
      <c r="L514" s="86"/>
    </row>
    <row r="515">
      <c r="F515" s="86"/>
      <c r="L515" s="86"/>
    </row>
    <row r="516">
      <c r="F516" s="86"/>
      <c r="L516" s="86"/>
    </row>
    <row r="517">
      <c r="F517" s="86"/>
      <c r="L517" s="86"/>
    </row>
    <row r="518">
      <c r="F518" s="86"/>
      <c r="L518" s="86"/>
    </row>
    <row r="519">
      <c r="F519" s="86"/>
      <c r="L519" s="86"/>
    </row>
    <row r="520">
      <c r="F520" s="86"/>
      <c r="L520" s="86"/>
    </row>
    <row r="521">
      <c r="F521" s="86"/>
      <c r="L521" s="86"/>
    </row>
    <row r="522">
      <c r="F522" s="86"/>
      <c r="L522" s="86"/>
    </row>
    <row r="523">
      <c r="F523" s="86"/>
      <c r="L523" s="86"/>
    </row>
    <row r="524">
      <c r="F524" s="86"/>
      <c r="L524" s="86"/>
    </row>
    <row r="525">
      <c r="F525" s="86"/>
      <c r="L525" s="86"/>
    </row>
    <row r="526">
      <c r="F526" s="86"/>
      <c r="L526" s="86"/>
    </row>
    <row r="527">
      <c r="F527" s="86"/>
      <c r="L527" s="86"/>
    </row>
    <row r="528">
      <c r="F528" s="86"/>
      <c r="L528" s="86"/>
    </row>
    <row r="529">
      <c r="F529" s="86"/>
      <c r="L529" s="86"/>
    </row>
    <row r="530">
      <c r="F530" s="86"/>
      <c r="L530" s="86"/>
    </row>
    <row r="531">
      <c r="F531" s="86"/>
      <c r="L531" s="86"/>
    </row>
    <row r="532">
      <c r="F532" s="86"/>
      <c r="L532" s="86"/>
    </row>
    <row r="533">
      <c r="F533" s="86"/>
      <c r="L533" s="86"/>
    </row>
    <row r="534">
      <c r="F534" s="86"/>
      <c r="L534" s="86"/>
    </row>
    <row r="535">
      <c r="F535" s="86"/>
      <c r="L535" s="86"/>
    </row>
    <row r="536">
      <c r="F536" s="86"/>
      <c r="L536" s="86"/>
    </row>
    <row r="537">
      <c r="F537" s="86"/>
      <c r="L537" s="86"/>
    </row>
    <row r="538">
      <c r="F538" s="86"/>
      <c r="L538" s="86"/>
    </row>
    <row r="539">
      <c r="F539" s="86"/>
      <c r="L539" s="86"/>
    </row>
    <row r="540">
      <c r="F540" s="86"/>
      <c r="L540" s="86"/>
    </row>
    <row r="541">
      <c r="F541" s="86"/>
      <c r="L541" s="86"/>
    </row>
    <row r="542">
      <c r="F542" s="86"/>
      <c r="L542" s="86"/>
    </row>
    <row r="543">
      <c r="F543" s="86"/>
      <c r="L543" s="86"/>
    </row>
    <row r="544">
      <c r="F544" s="86"/>
      <c r="L544" s="86"/>
    </row>
    <row r="545">
      <c r="F545" s="86"/>
      <c r="L545" s="86"/>
    </row>
    <row r="546">
      <c r="F546" s="86"/>
      <c r="L546" s="86"/>
    </row>
    <row r="547">
      <c r="F547" s="86"/>
      <c r="L547" s="86"/>
    </row>
    <row r="548">
      <c r="F548" s="86"/>
      <c r="L548" s="86"/>
    </row>
    <row r="549">
      <c r="F549" s="86"/>
      <c r="L549" s="86"/>
    </row>
    <row r="550">
      <c r="F550" s="86"/>
      <c r="L550" s="86"/>
    </row>
    <row r="551">
      <c r="F551" s="86"/>
      <c r="L551" s="86"/>
    </row>
    <row r="552">
      <c r="F552" s="86"/>
      <c r="L552" s="86"/>
    </row>
    <row r="553">
      <c r="F553" s="86"/>
      <c r="L553" s="86"/>
    </row>
    <row r="554">
      <c r="F554" s="86"/>
      <c r="L554" s="86"/>
    </row>
    <row r="555">
      <c r="F555" s="86"/>
      <c r="L555" s="86"/>
    </row>
    <row r="556">
      <c r="F556" s="86"/>
      <c r="L556" s="86"/>
    </row>
    <row r="557">
      <c r="F557" s="86"/>
      <c r="L557" s="86"/>
    </row>
    <row r="558">
      <c r="F558" s="86"/>
      <c r="L558" s="86"/>
    </row>
    <row r="559">
      <c r="F559" s="86"/>
      <c r="L559" s="86"/>
    </row>
    <row r="560">
      <c r="F560" s="86"/>
      <c r="L560" s="86"/>
    </row>
    <row r="561">
      <c r="F561" s="86"/>
      <c r="L561" s="86"/>
    </row>
    <row r="562">
      <c r="F562" s="86"/>
      <c r="L562" s="86"/>
    </row>
    <row r="563">
      <c r="F563" s="86"/>
      <c r="L563" s="86"/>
    </row>
    <row r="564">
      <c r="F564" s="86"/>
      <c r="L564" s="86"/>
    </row>
    <row r="565">
      <c r="F565" s="86"/>
      <c r="L565" s="86"/>
    </row>
    <row r="566">
      <c r="F566" s="86"/>
      <c r="L566" s="86"/>
    </row>
    <row r="567">
      <c r="F567" s="86"/>
      <c r="L567" s="86"/>
    </row>
    <row r="568">
      <c r="F568" s="86"/>
      <c r="L568" s="86"/>
    </row>
    <row r="569">
      <c r="F569" s="86"/>
      <c r="L569" s="86"/>
    </row>
    <row r="570">
      <c r="F570" s="86"/>
      <c r="L570" s="86"/>
    </row>
    <row r="571">
      <c r="F571" s="86"/>
      <c r="L571" s="86"/>
    </row>
    <row r="572">
      <c r="F572" s="86"/>
      <c r="L572" s="86"/>
    </row>
    <row r="573">
      <c r="F573" s="86"/>
      <c r="L573" s="86"/>
    </row>
    <row r="574">
      <c r="F574" s="86"/>
      <c r="L574" s="86"/>
    </row>
    <row r="575">
      <c r="F575" s="86"/>
      <c r="L575" s="86"/>
    </row>
    <row r="576">
      <c r="F576" s="86"/>
      <c r="L576" s="86"/>
    </row>
    <row r="577">
      <c r="F577" s="86"/>
      <c r="L577" s="86"/>
    </row>
    <row r="578">
      <c r="F578" s="86"/>
      <c r="L578" s="86"/>
    </row>
    <row r="579">
      <c r="F579" s="86"/>
      <c r="L579" s="86"/>
    </row>
    <row r="580">
      <c r="F580" s="86"/>
      <c r="L580" s="86"/>
    </row>
    <row r="581">
      <c r="F581" s="86"/>
      <c r="L581" s="86"/>
    </row>
    <row r="582">
      <c r="F582" s="86"/>
      <c r="L582" s="86"/>
    </row>
    <row r="583">
      <c r="F583" s="86"/>
      <c r="L583" s="86"/>
    </row>
    <row r="584">
      <c r="F584" s="86"/>
      <c r="L584" s="86"/>
    </row>
    <row r="585">
      <c r="F585" s="86"/>
      <c r="L585" s="86"/>
    </row>
    <row r="586">
      <c r="F586" s="86"/>
      <c r="L586" s="86"/>
    </row>
    <row r="587">
      <c r="F587" s="86"/>
      <c r="L587" s="86"/>
    </row>
    <row r="588">
      <c r="F588" s="86"/>
      <c r="L588" s="86"/>
    </row>
    <row r="589">
      <c r="F589" s="86"/>
      <c r="L589" s="86"/>
    </row>
    <row r="590">
      <c r="F590" s="86"/>
      <c r="L590" s="86"/>
    </row>
    <row r="591">
      <c r="F591" s="86"/>
      <c r="L591" s="86"/>
    </row>
    <row r="592">
      <c r="F592" s="86"/>
      <c r="L592" s="86"/>
    </row>
    <row r="593">
      <c r="F593" s="86"/>
      <c r="L593" s="86"/>
    </row>
    <row r="594">
      <c r="F594" s="86"/>
      <c r="L594" s="86"/>
    </row>
    <row r="595">
      <c r="F595" s="86"/>
      <c r="L595" s="86"/>
    </row>
    <row r="596">
      <c r="F596" s="86"/>
      <c r="L596" s="86"/>
    </row>
    <row r="597">
      <c r="F597" s="86"/>
      <c r="L597" s="86"/>
    </row>
    <row r="598">
      <c r="F598" s="86"/>
      <c r="L598" s="86"/>
    </row>
    <row r="599">
      <c r="F599" s="86"/>
      <c r="L599" s="86"/>
    </row>
    <row r="600">
      <c r="F600" s="86"/>
      <c r="L600" s="86"/>
    </row>
    <row r="601">
      <c r="F601" s="86"/>
      <c r="L601" s="86"/>
    </row>
    <row r="602">
      <c r="F602" s="86"/>
      <c r="L602" s="86"/>
    </row>
    <row r="603">
      <c r="F603" s="86"/>
      <c r="L603" s="86"/>
    </row>
    <row r="604">
      <c r="F604" s="86"/>
      <c r="L604" s="86"/>
    </row>
    <row r="605">
      <c r="F605" s="86"/>
      <c r="L605" s="86"/>
    </row>
    <row r="606">
      <c r="F606" s="86"/>
      <c r="L606" s="86"/>
    </row>
    <row r="607">
      <c r="F607" s="86"/>
      <c r="L607" s="86"/>
    </row>
    <row r="608">
      <c r="F608" s="86"/>
      <c r="L608" s="86"/>
    </row>
    <row r="609">
      <c r="F609" s="86"/>
      <c r="L609" s="86"/>
    </row>
    <row r="610">
      <c r="F610" s="86"/>
      <c r="L610" s="86"/>
    </row>
    <row r="611">
      <c r="F611" s="86"/>
      <c r="L611" s="86"/>
    </row>
    <row r="612">
      <c r="F612" s="86"/>
      <c r="L612" s="86"/>
    </row>
    <row r="613">
      <c r="F613" s="86"/>
      <c r="L613" s="86"/>
    </row>
    <row r="614">
      <c r="F614" s="86"/>
      <c r="L614" s="86"/>
    </row>
    <row r="615">
      <c r="F615" s="86"/>
      <c r="L615" s="86"/>
    </row>
    <row r="616">
      <c r="F616" s="86"/>
      <c r="L616" s="86"/>
    </row>
    <row r="617">
      <c r="F617" s="86"/>
      <c r="L617" s="86"/>
    </row>
    <row r="618">
      <c r="F618" s="86"/>
      <c r="L618" s="86"/>
    </row>
    <row r="619">
      <c r="F619" s="86"/>
      <c r="L619" s="86"/>
    </row>
    <row r="620">
      <c r="F620" s="86"/>
      <c r="L620" s="86"/>
    </row>
    <row r="621">
      <c r="F621" s="86"/>
      <c r="L621" s="86"/>
    </row>
    <row r="622">
      <c r="F622" s="86"/>
      <c r="L622" s="86"/>
    </row>
    <row r="623">
      <c r="F623" s="86"/>
      <c r="L623" s="86"/>
    </row>
    <row r="624">
      <c r="F624" s="86"/>
      <c r="L624" s="86"/>
    </row>
    <row r="625">
      <c r="F625" s="86"/>
      <c r="L625" s="86"/>
    </row>
    <row r="626">
      <c r="F626" s="86"/>
      <c r="L626" s="86"/>
    </row>
    <row r="627">
      <c r="F627" s="86"/>
      <c r="L627" s="86"/>
    </row>
    <row r="628">
      <c r="F628" s="86"/>
      <c r="L628" s="86"/>
    </row>
    <row r="629">
      <c r="F629" s="86"/>
      <c r="L629" s="86"/>
    </row>
    <row r="630">
      <c r="F630" s="86"/>
      <c r="L630" s="86"/>
    </row>
    <row r="631">
      <c r="F631" s="86"/>
      <c r="L631" s="86"/>
    </row>
    <row r="632">
      <c r="F632" s="86"/>
      <c r="L632" s="86"/>
    </row>
    <row r="633">
      <c r="F633" s="86"/>
      <c r="L633" s="86"/>
    </row>
    <row r="634">
      <c r="F634" s="86"/>
      <c r="L634" s="86"/>
    </row>
    <row r="635">
      <c r="F635" s="86"/>
      <c r="L635" s="86"/>
    </row>
    <row r="636">
      <c r="F636" s="86"/>
      <c r="L636" s="86"/>
    </row>
    <row r="637">
      <c r="F637" s="86"/>
      <c r="L637" s="86"/>
    </row>
    <row r="638">
      <c r="F638" s="86"/>
      <c r="L638" s="86"/>
    </row>
    <row r="639">
      <c r="F639" s="86"/>
      <c r="L639" s="86"/>
    </row>
    <row r="640">
      <c r="F640" s="86"/>
      <c r="L640" s="86"/>
    </row>
    <row r="641">
      <c r="F641" s="86"/>
      <c r="L641" s="86"/>
    </row>
    <row r="642">
      <c r="F642" s="86"/>
      <c r="L642" s="86"/>
    </row>
    <row r="643">
      <c r="F643" s="86"/>
      <c r="L643" s="86"/>
    </row>
    <row r="644">
      <c r="F644" s="86"/>
      <c r="L644" s="86"/>
    </row>
    <row r="645">
      <c r="F645" s="86"/>
      <c r="L645" s="86"/>
    </row>
    <row r="646">
      <c r="F646" s="86"/>
      <c r="L646" s="86"/>
    </row>
    <row r="647">
      <c r="F647" s="86"/>
      <c r="L647" s="86"/>
    </row>
    <row r="648">
      <c r="F648" s="86"/>
      <c r="L648" s="86"/>
    </row>
    <row r="649">
      <c r="F649" s="86"/>
      <c r="L649" s="86"/>
    </row>
    <row r="650">
      <c r="F650" s="86"/>
      <c r="L650" s="86"/>
    </row>
    <row r="651">
      <c r="F651" s="86"/>
      <c r="L651" s="86"/>
    </row>
    <row r="652">
      <c r="F652" s="86"/>
      <c r="L652" s="86"/>
    </row>
    <row r="653">
      <c r="F653" s="86"/>
      <c r="L653" s="86"/>
    </row>
    <row r="654">
      <c r="F654" s="86"/>
      <c r="L654" s="86"/>
    </row>
    <row r="655">
      <c r="F655" s="86"/>
      <c r="L655" s="86"/>
    </row>
    <row r="656">
      <c r="F656" s="86"/>
      <c r="L656" s="86"/>
    </row>
    <row r="657">
      <c r="F657" s="86"/>
      <c r="L657" s="86"/>
    </row>
    <row r="658">
      <c r="F658" s="86"/>
      <c r="L658" s="86"/>
    </row>
    <row r="659">
      <c r="F659" s="86"/>
      <c r="L659" s="86"/>
    </row>
    <row r="660">
      <c r="F660" s="86"/>
      <c r="L660" s="86"/>
    </row>
    <row r="661">
      <c r="F661" s="86"/>
      <c r="L661" s="86"/>
    </row>
    <row r="662">
      <c r="F662" s="86"/>
      <c r="L662" s="86"/>
    </row>
    <row r="663">
      <c r="F663" s="86"/>
      <c r="L663" s="86"/>
    </row>
    <row r="664">
      <c r="F664" s="86"/>
      <c r="L664" s="86"/>
    </row>
    <row r="665">
      <c r="F665" s="86"/>
      <c r="L665" s="86"/>
    </row>
    <row r="666">
      <c r="F666" s="86"/>
      <c r="L666" s="86"/>
    </row>
    <row r="667">
      <c r="F667" s="86"/>
      <c r="L667" s="86"/>
    </row>
    <row r="668">
      <c r="F668" s="86"/>
      <c r="L668" s="86"/>
    </row>
    <row r="669">
      <c r="F669" s="86"/>
      <c r="L669" s="86"/>
    </row>
    <row r="670">
      <c r="F670" s="86"/>
      <c r="L670" s="86"/>
    </row>
    <row r="671">
      <c r="F671" s="86"/>
      <c r="L671" s="86"/>
    </row>
    <row r="672">
      <c r="F672" s="86"/>
      <c r="L672" s="86"/>
    </row>
    <row r="673">
      <c r="F673" s="86"/>
      <c r="L673" s="86"/>
    </row>
    <row r="674">
      <c r="F674" s="86"/>
      <c r="L674" s="86"/>
    </row>
    <row r="675">
      <c r="F675" s="86"/>
      <c r="L675" s="86"/>
    </row>
    <row r="676">
      <c r="F676" s="86"/>
      <c r="L676" s="86"/>
    </row>
    <row r="677">
      <c r="F677" s="86"/>
      <c r="L677" s="86"/>
    </row>
    <row r="678">
      <c r="F678" s="86"/>
      <c r="L678" s="86"/>
    </row>
    <row r="679">
      <c r="F679" s="86"/>
      <c r="L679" s="86"/>
    </row>
    <row r="680">
      <c r="F680" s="86"/>
      <c r="L680" s="86"/>
    </row>
    <row r="681">
      <c r="F681" s="86"/>
      <c r="L681" s="86"/>
    </row>
    <row r="682">
      <c r="F682" s="86"/>
      <c r="L682" s="86"/>
    </row>
    <row r="683">
      <c r="F683" s="86"/>
      <c r="L683" s="86"/>
    </row>
    <row r="684">
      <c r="F684" s="86"/>
      <c r="L684" s="86"/>
    </row>
    <row r="685">
      <c r="F685" s="86"/>
      <c r="L685" s="86"/>
    </row>
    <row r="686">
      <c r="F686" s="86"/>
      <c r="L686" s="86"/>
    </row>
    <row r="687">
      <c r="F687" s="86"/>
      <c r="L687" s="86"/>
    </row>
    <row r="688">
      <c r="F688" s="86"/>
      <c r="L688" s="86"/>
    </row>
    <row r="689">
      <c r="F689" s="86"/>
      <c r="L689" s="86"/>
    </row>
    <row r="690">
      <c r="F690" s="86"/>
      <c r="L690" s="86"/>
    </row>
    <row r="691">
      <c r="F691" s="86"/>
      <c r="L691" s="86"/>
    </row>
    <row r="692">
      <c r="F692" s="86"/>
      <c r="L692" s="86"/>
    </row>
    <row r="693">
      <c r="F693" s="86"/>
      <c r="L693" s="86"/>
    </row>
    <row r="694">
      <c r="F694" s="86"/>
      <c r="L694" s="86"/>
    </row>
    <row r="695">
      <c r="F695" s="86"/>
      <c r="L695" s="86"/>
    </row>
    <row r="696">
      <c r="F696" s="86"/>
      <c r="L696" s="86"/>
    </row>
    <row r="697">
      <c r="F697" s="86"/>
      <c r="L697" s="86"/>
    </row>
    <row r="698">
      <c r="F698" s="86"/>
      <c r="L698" s="86"/>
    </row>
    <row r="699">
      <c r="F699" s="86"/>
      <c r="L699" s="86"/>
    </row>
    <row r="700">
      <c r="F700" s="86"/>
      <c r="L700" s="86"/>
    </row>
    <row r="701">
      <c r="F701" s="86"/>
      <c r="L701" s="86"/>
    </row>
    <row r="702">
      <c r="F702" s="86"/>
      <c r="L702" s="86"/>
    </row>
    <row r="703">
      <c r="F703" s="86"/>
      <c r="L703" s="86"/>
    </row>
    <row r="704">
      <c r="F704" s="86"/>
      <c r="L704" s="86"/>
    </row>
    <row r="705">
      <c r="F705" s="86"/>
      <c r="L705" s="86"/>
    </row>
    <row r="706">
      <c r="F706" s="86"/>
      <c r="L706" s="86"/>
    </row>
    <row r="707">
      <c r="F707" s="86"/>
      <c r="L707" s="86"/>
    </row>
    <row r="708">
      <c r="F708" s="86"/>
      <c r="L708" s="86"/>
    </row>
    <row r="709">
      <c r="F709" s="86"/>
      <c r="L709" s="86"/>
    </row>
    <row r="710">
      <c r="F710" s="86"/>
      <c r="L710" s="86"/>
    </row>
    <row r="711">
      <c r="F711" s="86"/>
      <c r="L711" s="86"/>
    </row>
    <row r="712">
      <c r="F712" s="86"/>
      <c r="L712" s="86"/>
    </row>
    <row r="713">
      <c r="F713" s="86"/>
      <c r="L713" s="86"/>
    </row>
    <row r="714">
      <c r="F714" s="86"/>
      <c r="L714" s="86"/>
    </row>
    <row r="715">
      <c r="F715" s="86"/>
      <c r="L715" s="86"/>
    </row>
    <row r="716">
      <c r="F716" s="86"/>
      <c r="L716" s="86"/>
    </row>
    <row r="717">
      <c r="F717" s="86"/>
      <c r="L717" s="86"/>
    </row>
    <row r="718">
      <c r="F718" s="86"/>
      <c r="L718" s="86"/>
    </row>
    <row r="719">
      <c r="F719" s="86"/>
      <c r="L719" s="86"/>
    </row>
    <row r="720">
      <c r="F720" s="86"/>
      <c r="L720" s="86"/>
    </row>
    <row r="721">
      <c r="F721" s="86"/>
      <c r="L721" s="86"/>
    </row>
    <row r="722">
      <c r="F722" s="86"/>
      <c r="L722" s="86"/>
    </row>
    <row r="723">
      <c r="F723" s="86"/>
      <c r="L723" s="86"/>
    </row>
    <row r="724">
      <c r="F724" s="86"/>
      <c r="L724" s="86"/>
    </row>
    <row r="725">
      <c r="F725" s="86"/>
      <c r="L725" s="86"/>
    </row>
    <row r="726">
      <c r="F726" s="86"/>
      <c r="L726" s="86"/>
    </row>
    <row r="727">
      <c r="F727" s="86"/>
      <c r="L727" s="86"/>
    </row>
    <row r="728">
      <c r="F728" s="86"/>
      <c r="L728" s="86"/>
    </row>
    <row r="729">
      <c r="F729" s="86"/>
      <c r="L729" s="86"/>
    </row>
    <row r="730">
      <c r="F730" s="86"/>
      <c r="L730" s="86"/>
    </row>
    <row r="731">
      <c r="F731" s="86"/>
      <c r="L731" s="86"/>
    </row>
    <row r="732">
      <c r="F732" s="86"/>
      <c r="L732" s="86"/>
    </row>
    <row r="733">
      <c r="F733" s="86"/>
      <c r="L733" s="86"/>
    </row>
    <row r="734">
      <c r="F734" s="86"/>
      <c r="L734" s="86"/>
    </row>
    <row r="735">
      <c r="F735" s="86"/>
      <c r="L735" s="86"/>
    </row>
    <row r="736">
      <c r="F736" s="86"/>
      <c r="L736" s="86"/>
    </row>
    <row r="737">
      <c r="F737" s="86"/>
      <c r="L737" s="86"/>
    </row>
    <row r="738">
      <c r="F738" s="86"/>
      <c r="L738" s="86"/>
    </row>
    <row r="739">
      <c r="F739" s="86"/>
      <c r="L739" s="86"/>
    </row>
    <row r="740">
      <c r="F740" s="86"/>
      <c r="L740" s="86"/>
    </row>
    <row r="741">
      <c r="F741" s="86"/>
      <c r="L741" s="86"/>
    </row>
    <row r="742">
      <c r="F742" s="86"/>
      <c r="L742" s="86"/>
    </row>
    <row r="743">
      <c r="F743" s="86"/>
      <c r="L743" s="86"/>
    </row>
    <row r="744">
      <c r="F744" s="86"/>
      <c r="L744" s="86"/>
    </row>
    <row r="745">
      <c r="F745" s="86"/>
      <c r="L745" s="86"/>
    </row>
    <row r="746">
      <c r="F746" s="86"/>
      <c r="L746" s="86"/>
    </row>
    <row r="747">
      <c r="F747" s="86"/>
      <c r="L747" s="86"/>
    </row>
    <row r="748">
      <c r="F748" s="86"/>
      <c r="L748" s="86"/>
    </row>
    <row r="749">
      <c r="F749" s="86"/>
      <c r="L749" s="86"/>
    </row>
    <row r="750">
      <c r="F750" s="86"/>
      <c r="L750" s="86"/>
    </row>
    <row r="751">
      <c r="F751" s="86"/>
      <c r="L751" s="86"/>
    </row>
    <row r="752">
      <c r="F752" s="86"/>
      <c r="L752" s="86"/>
    </row>
    <row r="753">
      <c r="F753" s="86"/>
      <c r="L753" s="86"/>
    </row>
    <row r="754">
      <c r="F754" s="86"/>
      <c r="L754" s="86"/>
    </row>
    <row r="755">
      <c r="F755" s="86"/>
      <c r="L755" s="86"/>
    </row>
    <row r="756">
      <c r="F756" s="86"/>
      <c r="L756" s="86"/>
    </row>
    <row r="757">
      <c r="F757" s="86"/>
      <c r="L757" s="86"/>
    </row>
    <row r="758">
      <c r="F758" s="86"/>
      <c r="L758" s="86"/>
    </row>
    <row r="759">
      <c r="F759" s="86"/>
      <c r="L759" s="86"/>
    </row>
    <row r="760">
      <c r="F760" s="86"/>
      <c r="L760" s="86"/>
    </row>
    <row r="761">
      <c r="F761" s="86"/>
      <c r="L761" s="86"/>
    </row>
    <row r="762">
      <c r="F762" s="86"/>
      <c r="L762" s="86"/>
    </row>
    <row r="763">
      <c r="F763" s="86"/>
      <c r="L763" s="86"/>
    </row>
    <row r="764">
      <c r="F764" s="86"/>
      <c r="L764" s="86"/>
    </row>
    <row r="765">
      <c r="F765" s="86"/>
      <c r="L765" s="86"/>
    </row>
    <row r="766">
      <c r="F766" s="86"/>
      <c r="L766" s="86"/>
    </row>
    <row r="767">
      <c r="F767" s="86"/>
      <c r="L767" s="86"/>
    </row>
    <row r="768">
      <c r="F768" s="86"/>
      <c r="L768" s="86"/>
    </row>
    <row r="769">
      <c r="F769" s="86"/>
      <c r="L769" s="86"/>
    </row>
    <row r="770">
      <c r="F770" s="86"/>
      <c r="L770" s="86"/>
    </row>
    <row r="771">
      <c r="F771" s="86"/>
      <c r="L771" s="86"/>
    </row>
    <row r="772">
      <c r="F772" s="86"/>
      <c r="L772" s="86"/>
    </row>
    <row r="773">
      <c r="F773" s="86"/>
      <c r="L773" s="86"/>
    </row>
    <row r="774">
      <c r="F774" s="86"/>
      <c r="L774" s="86"/>
    </row>
    <row r="775">
      <c r="F775" s="86"/>
      <c r="L775" s="86"/>
    </row>
    <row r="776">
      <c r="F776" s="86"/>
      <c r="L776" s="86"/>
    </row>
    <row r="777">
      <c r="F777" s="86"/>
      <c r="L777" s="86"/>
    </row>
    <row r="778">
      <c r="F778" s="86"/>
      <c r="L778" s="86"/>
    </row>
    <row r="779">
      <c r="F779" s="86"/>
      <c r="L779" s="86"/>
    </row>
    <row r="780">
      <c r="F780" s="86"/>
      <c r="L780" s="86"/>
    </row>
    <row r="781">
      <c r="F781" s="86"/>
      <c r="L781" s="86"/>
    </row>
    <row r="782">
      <c r="F782" s="86"/>
      <c r="L782" s="86"/>
    </row>
    <row r="783">
      <c r="F783" s="86"/>
      <c r="L783" s="86"/>
    </row>
    <row r="784">
      <c r="F784" s="86"/>
      <c r="L784" s="86"/>
    </row>
    <row r="785">
      <c r="F785" s="86"/>
      <c r="L785" s="86"/>
    </row>
    <row r="786">
      <c r="F786" s="86"/>
      <c r="L786" s="86"/>
    </row>
    <row r="787">
      <c r="F787" s="86"/>
      <c r="L787" s="86"/>
    </row>
    <row r="788">
      <c r="F788" s="86"/>
      <c r="L788" s="86"/>
    </row>
    <row r="789">
      <c r="F789" s="86"/>
      <c r="L789" s="86"/>
    </row>
    <row r="790">
      <c r="F790" s="86"/>
      <c r="L790" s="86"/>
    </row>
    <row r="791">
      <c r="F791" s="86"/>
      <c r="L791" s="86"/>
    </row>
    <row r="792">
      <c r="F792" s="86"/>
      <c r="L792" s="86"/>
    </row>
    <row r="793">
      <c r="F793" s="86"/>
      <c r="L793" s="86"/>
    </row>
    <row r="794">
      <c r="F794" s="86"/>
      <c r="L794" s="86"/>
    </row>
    <row r="795">
      <c r="F795" s="86"/>
      <c r="L795" s="86"/>
    </row>
    <row r="796">
      <c r="F796" s="86"/>
      <c r="L796" s="86"/>
    </row>
    <row r="797">
      <c r="F797" s="86"/>
      <c r="L797" s="86"/>
    </row>
    <row r="798">
      <c r="F798" s="86"/>
      <c r="L798" s="86"/>
    </row>
    <row r="799">
      <c r="F799" s="86"/>
      <c r="L799" s="86"/>
    </row>
    <row r="800">
      <c r="F800" s="86"/>
      <c r="L800" s="86"/>
    </row>
    <row r="801">
      <c r="F801" s="86"/>
      <c r="L801" s="86"/>
    </row>
    <row r="802">
      <c r="F802" s="86"/>
      <c r="L802" s="86"/>
    </row>
    <row r="803">
      <c r="F803" s="86"/>
      <c r="L803" s="86"/>
    </row>
    <row r="804">
      <c r="F804" s="86"/>
      <c r="L804" s="86"/>
    </row>
    <row r="805">
      <c r="F805" s="86"/>
      <c r="L805" s="86"/>
    </row>
    <row r="806">
      <c r="F806" s="86"/>
      <c r="L806" s="86"/>
    </row>
    <row r="807">
      <c r="F807" s="86"/>
      <c r="L807" s="86"/>
    </row>
    <row r="808">
      <c r="F808" s="86"/>
      <c r="L808" s="86"/>
    </row>
    <row r="809">
      <c r="F809" s="86"/>
      <c r="L809" s="86"/>
    </row>
    <row r="810">
      <c r="F810" s="86"/>
      <c r="L810" s="86"/>
    </row>
    <row r="811">
      <c r="F811" s="86"/>
      <c r="L811" s="86"/>
    </row>
    <row r="812">
      <c r="F812" s="86"/>
      <c r="L812" s="86"/>
    </row>
    <row r="813">
      <c r="F813" s="86"/>
      <c r="L813" s="86"/>
    </row>
    <row r="814">
      <c r="F814" s="86"/>
      <c r="L814" s="86"/>
    </row>
    <row r="815">
      <c r="F815" s="86"/>
      <c r="L815" s="86"/>
    </row>
    <row r="816">
      <c r="F816" s="86"/>
      <c r="L816" s="86"/>
    </row>
    <row r="817">
      <c r="F817" s="86"/>
      <c r="L817" s="86"/>
    </row>
    <row r="818">
      <c r="F818" s="86"/>
      <c r="L818" s="86"/>
    </row>
    <row r="819">
      <c r="F819" s="86"/>
      <c r="L819" s="86"/>
    </row>
    <row r="820">
      <c r="F820" s="86"/>
      <c r="L820" s="86"/>
    </row>
    <row r="821">
      <c r="F821" s="86"/>
      <c r="L821" s="86"/>
    </row>
    <row r="822">
      <c r="F822" s="86"/>
      <c r="L822" s="86"/>
    </row>
    <row r="823">
      <c r="F823" s="86"/>
      <c r="L823" s="86"/>
    </row>
    <row r="824">
      <c r="F824" s="86"/>
      <c r="L824" s="86"/>
    </row>
    <row r="825">
      <c r="F825" s="86"/>
      <c r="L825" s="86"/>
    </row>
    <row r="826">
      <c r="F826" s="86"/>
      <c r="L826" s="86"/>
    </row>
    <row r="827">
      <c r="F827" s="86"/>
      <c r="L827" s="86"/>
    </row>
    <row r="828">
      <c r="F828" s="86"/>
      <c r="L828" s="86"/>
    </row>
    <row r="829">
      <c r="F829" s="86"/>
      <c r="L829" s="86"/>
    </row>
    <row r="830">
      <c r="F830" s="86"/>
      <c r="L830" s="86"/>
    </row>
    <row r="831">
      <c r="F831" s="86"/>
      <c r="L831" s="86"/>
    </row>
    <row r="832">
      <c r="F832" s="86"/>
      <c r="L832" s="86"/>
    </row>
    <row r="833">
      <c r="F833" s="86"/>
      <c r="L833" s="86"/>
    </row>
    <row r="834">
      <c r="F834" s="86"/>
      <c r="L834" s="86"/>
    </row>
    <row r="835">
      <c r="F835" s="86"/>
      <c r="L835" s="86"/>
    </row>
    <row r="836">
      <c r="F836" s="86"/>
      <c r="L836" s="86"/>
    </row>
    <row r="837">
      <c r="F837" s="86"/>
      <c r="L837" s="86"/>
    </row>
    <row r="838">
      <c r="F838" s="86"/>
      <c r="L838" s="86"/>
    </row>
    <row r="839">
      <c r="F839" s="86"/>
      <c r="L839" s="86"/>
    </row>
    <row r="840">
      <c r="F840" s="86"/>
      <c r="L840" s="86"/>
    </row>
    <row r="841">
      <c r="F841" s="86"/>
      <c r="L841" s="86"/>
    </row>
    <row r="842">
      <c r="F842" s="86"/>
      <c r="L842" s="86"/>
    </row>
    <row r="843">
      <c r="F843" s="86"/>
      <c r="L843" s="86"/>
    </row>
    <row r="844">
      <c r="F844" s="86"/>
      <c r="L844" s="86"/>
    </row>
    <row r="845">
      <c r="F845" s="86"/>
      <c r="L845" s="86"/>
    </row>
    <row r="846">
      <c r="F846" s="86"/>
      <c r="L846" s="86"/>
    </row>
    <row r="847">
      <c r="F847" s="86"/>
      <c r="L847" s="86"/>
    </row>
    <row r="848">
      <c r="F848" s="86"/>
      <c r="L848" s="86"/>
    </row>
    <row r="849">
      <c r="F849" s="86"/>
      <c r="L849" s="86"/>
    </row>
    <row r="850">
      <c r="F850" s="86"/>
      <c r="L850" s="86"/>
    </row>
    <row r="851">
      <c r="F851" s="86"/>
      <c r="L851" s="86"/>
    </row>
    <row r="852">
      <c r="F852" s="86"/>
      <c r="L852" s="86"/>
    </row>
    <row r="853">
      <c r="F853" s="86"/>
      <c r="L853" s="86"/>
    </row>
    <row r="854">
      <c r="F854" s="86"/>
      <c r="L854" s="86"/>
    </row>
    <row r="855">
      <c r="F855" s="86"/>
      <c r="L855" s="86"/>
    </row>
    <row r="856">
      <c r="F856" s="86"/>
      <c r="L856" s="86"/>
    </row>
    <row r="857">
      <c r="F857" s="86"/>
      <c r="L857" s="86"/>
    </row>
    <row r="858">
      <c r="F858" s="86"/>
      <c r="L858" s="86"/>
    </row>
    <row r="859">
      <c r="F859" s="86"/>
      <c r="L859" s="86"/>
    </row>
    <row r="860">
      <c r="F860" s="86"/>
      <c r="L860" s="86"/>
    </row>
    <row r="861">
      <c r="F861" s="86"/>
      <c r="L861" s="86"/>
    </row>
    <row r="862">
      <c r="F862" s="86"/>
      <c r="L862" s="86"/>
    </row>
    <row r="863">
      <c r="F863" s="86"/>
      <c r="L863" s="86"/>
    </row>
    <row r="864">
      <c r="F864" s="86"/>
      <c r="L864" s="86"/>
    </row>
    <row r="865">
      <c r="F865" s="86"/>
      <c r="L865" s="86"/>
    </row>
    <row r="866">
      <c r="F866" s="86"/>
      <c r="L866" s="86"/>
    </row>
    <row r="867">
      <c r="F867" s="86"/>
      <c r="L867" s="86"/>
    </row>
    <row r="868">
      <c r="F868" s="86"/>
      <c r="L868" s="86"/>
    </row>
    <row r="869">
      <c r="F869" s="86"/>
      <c r="L869" s="86"/>
    </row>
    <row r="870">
      <c r="F870" s="86"/>
      <c r="L870" s="86"/>
    </row>
    <row r="871">
      <c r="F871" s="86"/>
      <c r="L871" s="86"/>
    </row>
    <row r="872">
      <c r="F872" s="86"/>
      <c r="L872" s="86"/>
    </row>
    <row r="873">
      <c r="F873" s="86"/>
      <c r="L873" s="86"/>
    </row>
    <row r="874">
      <c r="F874" s="86"/>
      <c r="L874" s="86"/>
    </row>
    <row r="875">
      <c r="F875" s="86"/>
      <c r="L875" s="86"/>
    </row>
    <row r="876">
      <c r="F876" s="86"/>
      <c r="L876" s="86"/>
    </row>
    <row r="877">
      <c r="F877" s="86"/>
      <c r="L877" s="86"/>
    </row>
    <row r="878">
      <c r="F878" s="86"/>
      <c r="L878" s="86"/>
    </row>
    <row r="879">
      <c r="F879" s="86"/>
      <c r="L879" s="86"/>
    </row>
    <row r="880">
      <c r="F880" s="86"/>
      <c r="L880" s="86"/>
    </row>
    <row r="881">
      <c r="F881" s="86"/>
      <c r="L881" s="86"/>
    </row>
    <row r="882">
      <c r="F882" s="86"/>
      <c r="L882" s="86"/>
    </row>
    <row r="883">
      <c r="F883" s="86"/>
      <c r="L883" s="86"/>
    </row>
    <row r="884">
      <c r="F884" s="86"/>
      <c r="L884" s="86"/>
    </row>
    <row r="885">
      <c r="F885" s="86"/>
      <c r="L885" s="86"/>
    </row>
    <row r="886">
      <c r="F886" s="86"/>
      <c r="L886" s="86"/>
    </row>
    <row r="887">
      <c r="F887" s="86"/>
      <c r="L887" s="86"/>
    </row>
    <row r="888">
      <c r="F888" s="86"/>
      <c r="L888" s="86"/>
    </row>
    <row r="889">
      <c r="F889" s="86"/>
      <c r="L889" s="86"/>
    </row>
    <row r="890">
      <c r="F890" s="86"/>
      <c r="L890" s="86"/>
    </row>
    <row r="891">
      <c r="F891" s="86"/>
      <c r="L891" s="86"/>
    </row>
    <row r="892">
      <c r="F892" s="86"/>
      <c r="L892" s="86"/>
    </row>
    <row r="893">
      <c r="F893" s="86"/>
      <c r="L893" s="86"/>
    </row>
    <row r="894">
      <c r="F894" s="86"/>
      <c r="L894" s="86"/>
    </row>
    <row r="895">
      <c r="F895" s="86"/>
      <c r="L895" s="86"/>
    </row>
    <row r="896">
      <c r="F896" s="86"/>
      <c r="L896" s="86"/>
    </row>
    <row r="897">
      <c r="F897" s="86"/>
      <c r="L897" s="86"/>
    </row>
    <row r="898">
      <c r="F898" s="86"/>
      <c r="L898" s="86"/>
    </row>
    <row r="899">
      <c r="F899" s="86"/>
      <c r="L899" s="86"/>
    </row>
    <row r="900">
      <c r="F900" s="86"/>
      <c r="L900" s="86"/>
    </row>
    <row r="901">
      <c r="F901" s="86"/>
      <c r="L901" s="86"/>
    </row>
    <row r="902">
      <c r="F902" s="86"/>
      <c r="L902" s="86"/>
    </row>
    <row r="903">
      <c r="F903" s="86"/>
      <c r="L903" s="86"/>
    </row>
    <row r="904">
      <c r="F904" s="86"/>
      <c r="L904" s="86"/>
    </row>
    <row r="905">
      <c r="F905" s="86"/>
      <c r="L905" s="86"/>
    </row>
    <row r="906">
      <c r="F906" s="86"/>
      <c r="L906" s="86"/>
    </row>
    <row r="907">
      <c r="F907" s="86"/>
      <c r="L907" s="86"/>
    </row>
    <row r="908">
      <c r="F908" s="86"/>
      <c r="L908" s="86"/>
    </row>
    <row r="909">
      <c r="F909" s="86"/>
      <c r="L909" s="86"/>
    </row>
    <row r="910">
      <c r="F910" s="86"/>
      <c r="L910" s="86"/>
    </row>
    <row r="911">
      <c r="F911" s="86"/>
      <c r="L911" s="86"/>
    </row>
    <row r="912">
      <c r="F912" s="86"/>
      <c r="L912" s="86"/>
    </row>
    <row r="913">
      <c r="F913" s="86"/>
      <c r="L913" s="86"/>
    </row>
    <row r="914">
      <c r="F914" s="86"/>
      <c r="L914" s="86"/>
    </row>
    <row r="915">
      <c r="F915" s="86"/>
      <c r="L915" s="86"/>
    </row>
    <row r="916">
      <c r="F916" s="86"/>
      <c r="L916" s="86"/>
    </row>
    <row r="917">
      <c r="F917" s="86"/>
      <c r="L917" s="86"/>
    </row>
    <row r="918">
      <c r="F918" s="86"/>
      <c r="L918" s="86"/>
    </row>
    <row r="919">
      <c r="F919" s="86"/>
      <c r="L919" s="86"/>
    </row>
    <row r="920">
      <c r="F920" s="86"/>
      <c r="L920" s="86"/>
    </row>
    <row r="921">
      <c r="F921" s="86"/>
      <c r="L921" s="86"/>
    </row>
    <row r="922">
      <c r="F922" s="86"/>
      <c r="L922" s="86"/>
    </row>
    <row r="923">
      <c r="F923" s="86"/>
      <c r="L923" s="86"/>
    </row>
    <row r="924">
      <c r="F924" s="86"/>
      <c r="L924" s="86"/>
    </row>
    <row r="925">
      <c r="F925" s="86"/>
      <c r="L925" s="86"/>
    </row>
    <row r="926">
      <c r="F926" s="86"/>
      <c r="L926" s="86"/>
    </row>
    <row r="927">
      <c r="F927" s="86"/>
      <c r="L927" s="86"/>
    </row>
    <row r="928">
      <c r="F928" s="86"/>
      <c r="L928" s="86"/>
    </row>
    <row r="929">
      <c r="F929" s="86"/>
      <c r="L929" s="86"/>
    </row>
    <row r="930">
      <c r="F930" s="86"/>
      <c r="L930" s="86"/>
    </row>
    <row r="931">
      <c r="F931" s="86"/>
      <c r="L931" s="86"/>
    </row>
    <row r="932">
      <c r="F932" s="86"/>
      <c r="L932" s="86"/>
    </row>
    <row r="933">
      <c r="F933" s="86"/>
      <c r="L933" s="86"/>
    </row>
    <row r="934">
      <c r="F934" s="86"/>
      <c r="L934" s="86"/>
    </row>
    <row r="935">
      <c r="F935" s="86"/>
      <c r="L935" s="86"/>
    </row>
    <row r="936">
      <c r="F936" s="86"/>
      <c r="L936" s="86"/>
    </row>
    <row r="937">
      <c r="F937" s="86"/>
      <c r="L937" s="86"/>
    </row>
    <row r="938">
      <c r="F938" s="86"/>
      <c r="L938" s="86"/>
    </row>
    <row r="939">
      <c r="F939" s="86"/>
      <c r="L939" s="86"/>
    </row>
    <row r="940">
      <c r="F940" s="86"/>
      <c r="L940" s="86"/>
    </row>
    <row r="941">
      <c r="F941" s="86"/>
      <c r="L941" s="86"/>
    </row>
    <row r="942">
      <c r="F942" s="86"/>
      <c r="L942" s="86"/>
    </row>
    <row r="943">
      <c r="F943" s="86"/>
      <c r="L943" s="86"/>
    </row>
    <row r="944">
      <c r="F944" s="86"/>
      <c r="L944" s="86"/>
    </row>
    <row r="945">
      <c r="F945" s="86"/>
      <c r="L945" s="86"/>
    </row>
    <row r="946">
      <c r="F946" s="86"/>
      <c r="L946" s="86"/>
    </row>
    <row r="947">
      <c r="F947" s="86"/>
      <c r="L947" s="86"/>
    </row>
    <row r="948">
      <c r="F948" s="86"/>
      <c r="L948" s="86"/>
    </row>
    <row r="949">
      <c r="F949" s="86"/>
      <c r="L949" s="86"/>
    </row>
    <row r="950">
      <c r="F950" s="86"/>
      <c r="L950" s="86"/>
    </row>
    <row r="951">
      <c r="F951" s="86"/>
      <c r="L951" s="86"/>
    </row>
    <row r="952">
      <c r="F952" s="86"/>
      <c r="L952" s="86"/>
    </row>
    <row r="953">
      <c r="F953" s="86"/>
      <c r="L953" s="86"/>
    </row>
    <row r="954">
      <c r="F954" s="86"/>
      <c r="L954" s="86"/>
    </row>
    <row r="955">
      <c r="F955" s="86"/>
      <c r="L955" s="86"/>
    </row>
    <row r="956">
      <c r="F956" s="86"/>
      <c r="L956" s="86"/>
    </row>
    <row r="957">
      <c r="F957" s="86"/>
      <c r="L957" s="86"/>
    </row>
    <row r="958">
      <c r="F958" s="86"/>
      <c r="L958" s="86"/>
    </row>
    <row r="959">
      <c r="F959" s="86"/>
      <c r="L959" s="86"/>
    </row>
    <row r="960">
      <c r="F960" s="86"/>
      <c r="L960" s="86"/>
    </row>
    <row r="961">
      <c r="F961" s="86"/>
      <c r="L961" s="86"/>
    </row>
    <row r="962">
      <c r="F962" s="86"/>
      <c r="L962" s="86"/>
    </row>
    <row r="963">
      <c r="F963" s="86"/>
      <c r="L963" s="86"/>
    </row>
    <row r="964">
      <c r="F964" s="86"/>
      <c r="L964" s="86"/>
    </row>
    <row r="965">
      <c r="F965" s="86"/>
      <c r="L965" s="86"/>
    </row>
    <row r="966">
      <c r="F966" s="86"/>
      <c r="L966" s="86"/>
    </row>
    <row r="967">
      <c r="F967" s="86"/>
      <c r="L967" s="86"/>
    </row>
    <row r="968">
      <c r="F968" s="86"/>
      <c r="L968" s="86"/>
    </row>
    <row r="969">
      <c r="F969" s="86"/>
      <c r="L969" s="86"/>
    </row>
    <row r="970">
      <c r="F970" s="86"/>
      <c r="L970" s="86"/>
    </row>
    <row r="971">
      <c r="F971" s="86"/>
      <c r="L971" s="86"/>
    </row>
    <row r="972">
      <c r="F972" s="86"/>
      <c r="L972" s="86"/>
    </row>
    <row r="973">
      <c r="F973" s="86"/>
      <c r="L973" s="86"/>
    </row>
    <row r="974">
      <c r="F974" s="86"/>
      <c r="L974" s="86"/>
    </row>
    <row r="975">
      <c r="F975" s="86"/>
      <c r="L975" s="86"/>
    </row>
    <row r="976">
      <c r="F976" s="86"/>
      <c r="L976" s="86"/>
    </row>
    <row r="977">
      <c r="F977" s="86"/>
      <c r="L977" s="86"/>
    </row>
    <row r="978">
      <c r="F978" s="86"/>
      <c r="L978" s="86"/>
    </row>
    <row r="979">
      <c r="F979" s="86"/>
      <c r="L979" s="86"/>
    </row>
    <row r="980">
      <c r="F980" s="86"/>
      <c r="L980" s="86"/>
    </row>
    <row r="981">
      <c r="F981" s="86"/>
      <c r="L981" s="86"/>
    </row>
    <row r="982">
      <c r="F982" s="86"/>
      <c r="L982" s="86"/>
    </row>
    <row r="983">
      <c r="F983" s="86"/>
      <c r="L983" s="86"/>
    </row>
    <row r="984">
      <c r="F984" s="86"/>
      <c r="L984" s="86"/>
    </row>
    <row r="985">
      <c r="F985" s="86"/>
      <c r="L985" s="86"/>
    </row>
    <row r="986">
      <c r="F986" s="86"/>
      <c r="L986" s="86"/>
    </row>
    <row r="987">
      <c r="F987" s="86"/>
      <c r="L987" s="86"/>
    </row>
    <row r="988">
      <c r="F988" s="86"/>
      <c r="L988" s="86"/>
    </row>
    <row r="989">
      <c r="F989" s="86"/>
      <c r="L989" s="86"/>
    </row>
    <row r="990">
      <c r="F990" s="86"/>
      <c r="L990" s="86"/>
    </row>
    <row r="991">
      <c r="F991" s="86"/>
      <c r="L991" s="86"/>
    </row>
    <row r="992">
      <c r="F992" s="86"/>
      <c r="L992" s="86"/>
    </row>
    <row r="993">
      <c r="F993" s="86"/>
      <c r="L993" s="86"/>
    </row>
    <row r="994">
      <c r="F994" s="86"/>
      <c r="L994" s="86"/>
    </row>
    <row r="995">
      <c r="F995" s="86"/>
      <c r="L995" s="86"/>
    </row>
    <row r="996">
      <c r="F996" s="86"/>
      <c r="L996" s="86"/>
    </row>
    <row r="997">
      <c r="F997" s="86"/>
      <c r="L997" s="86"/>
    </row>
    <row r="998">
      <c r="F998" s="86"/>
      <c r="L998" s="86"/>
    </row>
    <row r="999">
      <c r="F999" s="86"/>
      <c r="L999" s="86"/>
    </row>
    <row r="1000">
      <c r="F1000" s="86"/>
      <c r="L1000" s="86"/>
    </row>
  </sheetData>
  <dataValidations>
    <dataValidation type="list" allowBlank="1" showErrorMessage="1" sqref="AA111:AA217">
      <formula1>"Lolos Administrasi,Tidak Lolos Administrasi"</formula1>
    </dataValidation>
  </dataValidations>
  <hyperlinks>
    <hyperlink r:id="rId1" ref="R2"/>
    <hyperlink r:id="rId2" ref="S2"/>
    <hyperlink r:id="rId3" ref="R3"/>
    <hyperlink r:id="rId4" ref="S3"/>
    <hyperlink r:id="rId5" ref="R4"/>
    <hyperlink r:id="rId6" ref="S4"/>
    <hyperlink r:id="rId7" ref="S5"/>
    <hyperlink r:id="rId8" ref="R6"/>
    <hyperlink r:id="rId9" ref="S6"/>
    <hyperlink r:id="rId10" ref="R7"/>
    <hyperlink r:id="rId11" ref="S7"/>
    <hyperlink r:id="rId12" ref="R8"/>
    <hyperlink r:id="rId13" ref="S8"/>
    <hyperlink r:id="rId14" ref="R9"/>
    <hyperlink r:id="rId15" ref="S9"/>
    <hyperlink r:id="rId16" ref="R10"/>
    <hyperlink r:id="rId17" ref="S10"/>
    <hyperlink r:id="rId18" ref="R11"/>
    <hyperlink r:id="rId19" ref="S11"/>
    <hyperlink r:id="rId20" ref="R12"/>
    <hyperlink r:id="rId21" ref="S12"/>
    <hyperlink r:id="rId22" ref="R13"/>
    <hyperlink r:id="rId23" ref="S13"/>
    <hyperlink r:id="rId24" ref="R14"/>
    <hyperlink r:id="rId25" ref="S14"/>
    <hyperlink r:id="rId26" ref="S15"/>
    <hyperlink r:id="rId27" ref="R16"/>
    <hyperlink r:id="rId28" ref="S16"/>
    <hyperlink r:id="rId29" ref="R17"/>
    <hyperlink r:id="rId30" ref="S17"/>
    <hyperlink r:id="rId31" ref="R18"/>
    <hyperlink r:id="rId32" ref="S18"/>
    <hyperlink r:id="rId33" ref="R19"/>
    <hyperlink r:id="rId34" ref="S19"/>
    <hyperlink r:id="rId35" ref="R20"/>
    <hyperlink r:id="rId36" ref="S20"/>
    <hyperlink r:id="rId37" ref="R21"/>
    <hyperlink r:id="rId38" ref="S21"/>
    <hyperlink r:id="rId39" ref="R22"/>
    <hyperlink r:id="rId40" ref="S22"/>
    <hyperlink r:id="rId41" ref="R23"/>
    <hyperlink r:id="rId42" ref="S23"/>
    <hyperlink r:id="rId43" ref="R24"/>
    <hyperlink r:id="rId44" ref="S24"/>
    <hyperlink r:id="rId45" ref="R25"/>
    <hyperlink r:id="rId46" ref="S25"/>
    <hyperlink r:id="rId47" ref="R26"/>
    <hyperlink r:id="rId48" ref="S26"/>
    <hyperlink r:id="rId49" ref="R27"/>
    <hyperlink r:id="rId50" ref="S27"/>
    <hyperlink r:id="rId51" ref="R28"/>
    <hyperlink r:id="rId52" ref="S28"/>
    <hyperlink r:id="rId53" ref="R29"/>
    <hyperlink r:id="rId54" ref="S29"/>
    <hyperlink r:id="rId55" ref="R30"/>
    <hyperlink r:id="rId56" ref="S30"/>
    <hyperlink r:id="rId57" ref="S31"/>
    <hyperlink r:id="rId58" ref="S32"/>
    <hyperlink r:id="rId59" ref="S33"/>
    <hyperlink r:id="rId60" ref="S34"/>
    <hyperlink r:id="rId61" ref="R35"/>
    <hyperlink r:id="rId62" ref="S35"/>
    <hyperlink r:id="rId63" ref="R36"/>
    <hyperlink r:id="rId64" ref="S36"/>
    <hyperlink r:id="rId65" ref="S37"/>
    <hyperlink r:id="rId66" ref="R38"/>
    <hyperlink r:id="rId67" ref="S38"/>
    <hyperlink r:id="rId68" ref="R39"/>
    <hyperlink r:id="rId69" ref="S39"/>
    <hyperlink r:id="rId70" ref="R40"/>
    <hyperlink r:id="rId71" ref="S40"/>
    <hyperlink r:id="rId72" ref="R41"/>
    <hyperlink r:id="rId73" ref="S41"/>
    <hyperlink r:id="rId74" ref="R42"/>
    <hyperlink r:id="rId75" ref="S42"/>
    <hyperlink r:id="rId76" ref="R43"/>
    <hyperlink r:id="rId77" ref="S43"/>
    <hyperlink r:id="rId78" ref="S44"/>
    <hyperlink r:id="rId79" ref="R45"/>
    <hyperlink r:id="rId80" ref="S45"/>
    <hyperlink r:id="rId81" ref="R46"/>
    <hyperlink r:id="rId82" ref="S46"/>
    <hyperlink r:id="rId83" ref="S47"/>
    <hyperlink r:id="rId84" ref="R48"/>
    <hyperlink r:id="rId85" ref="S48"/>
    <hyperlink r:id="rId86" ref="R49"/>
    <hyperlink r:id="rId87" ref="S49"/>
    <hyperlink r:id="rId88" ref="S50"/>
    <hyperlink r:id="rId89" ref="R51"/>
    <hyperlink r:id="rId90" ref="S51"/>
    <hyperlink r:id="rId91" ref="S52"/>
    <hyperlink r:id="rId92" ref="S53"/>
    <hyperlink r:id="rId93" ref="R54"/>
    <hyperlink r:id="rId94" ref="S54"/>
    <hyperlink r:id="rId95" ref="R55"/>
    <hyperlink r:id="rId96" ref="S55"/>
    <hyperlink r:id="rId97" ref="R56"/>
    <hyperlink r:id="rId98" ref="S56"/>
    <hyperlink r:id="rId99" ref="R57"/>
    <hyperlink r:id="rId100" ref="S57"/>
    <hyperlink r:id="rId101" ref="R58"/>
    <hyperlink r:id="rId102" ref="S58"/>
    <hyperlink r:id="rId103" ref="R59"/>
    <hyperlink r:id="rId104" ref="S59"/>
    <hyperlink r:id="rId105" ref="S60"/>
    <hyperlink r:id="rId106" ref="R61"/>
    <hyperlink r:id="rId107" ref="S61"/>
    <hyperlink r:id="rId108" ref="R62"/>
    <hyperlink r:id="rId109" ref="S62"/>
    <hyperlink r:id="rId110" ref="R63"/>
    <hyperlink r:id="rId111" ref="S63"/>
    <hyperlink r:id="rId112" ref="R64"/>
    <hyperlink r:id="rId113" ref="S64"/>
    <hyperlink r:id="rId114" ref="S65"/>
    <hyperlink r:id="rId115" ref="S66"/>
    <hyperlink r:id="rId116" ref="R67"/>
    <hyperlink r:id="rId117" ref="S67"/>
    <hyperlink r:id="rId118" ref="R68"/>
    <hyperlink r:id="rId119" ref="S68"/>
    <hyperlink r:id="rId120" ref="R69"/>
    <hyperlink r:id="rId121" ref="S69"/>
    <hyperlink r:id="rId122" ref="R70"/>
    <hyperlink r:id="rId123" ref="S70"/>
    <hyperlink r:id="rId124" ref="R71"/>
    <hyperlink r:id="rId125" ref="S71"/>
    <hyperlink r:id="rId126" ref="R72"/>
    <hyperlink r:id="rId127" ref="S72"/>
    <hyperlink r:id="rId128" ref="S73"/>
    <hyperlink r:id="rId129" ref="R74"/>
    <hyperlink r:id="rId130" ref="S74"/>
    <hyperlink r:id="rId131" ref="R75"/>
    <hyperlink r:id="rId132" ref="S75"/>
    <hyperlink r:id="rId133" ref="S76"/>
    <hyperlink r:id="rId134" ref="R78"/>
    <hyperlink r:id="rId135" ref="S78"/>
    <hyperlink r:id="rId136" ref="S79"/>
    <hyperlink r:id="rId137" ref="S80"/>
    <hyperlink r:id="rId138" ref="S81"/>
    <hyperlink r:id="rId139" ref="R82"/>
    <hyperlink r:id="rId140" ref="S82"/>
    <hyperlink r:id="rId141" ref="S83"/>
    <hyperlink r:id="rId142" ref="S84"/>
    <hyperlink r:id="rId143" ref="S85"/>
    <hyperlink r:id="rId144" ref="R86"/>
    <hyperlink r:id="rId145" ref="S86"/>
    <hyperlink r:id="rId146" ref="R87"/>
    <hyperlink r:id="rId147" ref="S87"/>
    <hyperlink r:id="rId148" ref="R88"/>
    <hyperlink r:id="rId149" ref="S88"/>
    <hyperlink r:id="rId150" ref="S89"/>
    <hyperlink r:id="rId151" ref="R90"/>
    <hyperlink r:id="rId152" ref="S90"/>
    <hyperlink r:id="rId153" ref="S91"/>
    <hyperlink r:id="rId154" ref="R92"/>
    <hyperlink r:id="rId155" ref="S92"/>
    <hyperlink r:id="rId156" ref="R93"/>
    <hyperlink r:id="rId157" ref="S93"/>
    <hyperlink r:id="rId158" ref="R94"/>
    <hyperlink r:id="rId159" ref="S94"/>
    <hyperlink r:id="rId160" ref="S95"/>
    <hyperlink r:id="rId161" ref="S96"/>
    <hyperlink r:id="rId162" ref="R97"/>
    <hyperlink r:id="rId163" ref="S97"/>
    <hyperlink r:id="rId164" ref="R98"/>
    <hyperlink r:id="rId165" ref="S98"/>
    <hyperlink r:id="rId166" ref="R99"/>
    <hyperlink r:id="rId167" ref="S100"/>
    <hyperlink r:id="rId168" ref="S101"/>
    <hyperlink r:id="rId169" ref="R102"/>
    <hyperlink r:id="rId170" ref="S102"/>
    <hyperlink r:id="rId171" ref="R103"/>
    <hyperlink r:id="rId172" ref="S103"/>
    <hyperlink r:id="rId173" ref="S104"/>
    <hyperlink r:id="rId174" ref="S105"/>
    <hyperlink r:id="rId175" ref="S106"/>
    <hyperlink r:id="rId176" ref="S107"/>
    <hyperlink r:id="rId177" ref="S108"/>
    <hyperlink r:id="rId178" ref="S110"/>
    <hyperlink r:id="rId179" ref="R111"/>
    <hyperlink r:id="rId180" ref="S111"/>
    <hyperlink r:id="rId181" ref="Z111"/>
    <hyperlink r:id="rId182" ref="R112"/>
    <hyperlink r:id="rId183" ref="S112"/>
    <hyperlink r:id="rId184" ref="Z112"/>
    <hyperlink r:id="rId185" ref="S113"/>
    <hyperlink r:id="rId186" ref="Z113"/>
    <hyperlink r:id="rId187" ref="R114"/>
    <hyperlink r:id="rId188" ref="S114"/>
    <hyperlink r:id="rId189" ref="Z114"/>
    <hyperlink r:id="rId190" ref="S115"/>
    <hyperlink r:id="rId191" ref="Z115"/>
    <hyperlink r:id="rId192" ref="R116"/>
    <hyperlink r:id="rId193" ref="S116"/>
    <hyperlink r:id="rId194" ref="Z116"/>
    <hyperlink r:id="rId195" ref="S117"/>
    <hyperlink r:id="rId196" ref="Z117"/>
    <hyperlink r:id="rId197" ref="R118"/>
    <hyperlink r:id="rId198" ref="S118"/>
    <hyperlink r:id="rId199" ref="Z118"/>
    <hyperlink r:id="rId200" ref="R119"/>
    <hyperlink r:id="rId201" ref="S119"/>
    <hyperlink r:id="rId202" ref="Z119"/>
    <hyperlink r:id="rId203" ref="R120"/>
    <hyperlink r:id="rId204" ref="S120"/>
    <hyperlink r:id="rId205" ref="Z120"/>
    <hyperlink r:id="rId206" ref="S121"/>
    <hyperlink r:id="rId207" ref="Z121"/>
    <hyperlink r:id="rId208" ref="S122"/>
    <hyperlink r:id="rId209" ref="Z122"/>
    <hyperlink r:id="rId210" ref="R123"/>
    <hyperlink r:id="rId211" ref="S123"/>
    <hyperlink r:id="rId212" ref="Z123"/>
    <hyperlink r:id="rId213" ref="R124"/>
    <hyperlink r:id="rId214" ref="S124"/>
    <hyperlink r:id="rId215" ref="Z124"/>
    <hyperlink r:id="rId216" ref="S125"/>
    <hyperlink r:id="rId217" ref="Z125"/>
    <hyperlink r:id="rId218" ref="S126"/>
    <hyperlink r:id="rId219" ref="Z126"/>
    <hyperlink r:id="rId220" ref="R127"/>
    <hyperlink r:id="rId221" ref="S127"/>
    <hyperlink r:id="rId222" ref="Z127"/>
    <hyperlink r:id="rId223" ref="R128"/>
    <hyperlink r:id="rId224" ref="S128"/>
    <hyperlink r:id="rId225" ref="Z128"/>
    <hyperlink r:id="rId226" ref="R129"/>
    <hyperlink r:id="rId227" ref="S129"/>
    <hyperlink r:id="rId228" ref="Z129"/>
    <hyperlink r:id="rId229" ref="R130"/>
    <hyperlink r:id="rId230" ref="S130"/>
    <hyperlink r:id="rId231" ref="Z130"/>
    <hyperlink r:id="rId232" ref="R131"/>
    <hyperlink r:id="rId233" ref="S131"/>
    <hyperlink r:id="rId234" ref="Z131"/>
    <hyperlink r:id="rId235" ref="R132"/>
    <hyperlink r:id="rId236" ref="S132"/>
    <hyperlink r:id="rId237" ref="Z132"/>
    <hyperlink r:id="rId238" ref="R133"/>
    <hyperlink r:id="rId239" ref="S133"/>
    <hyperlink r:id="rId240" ref="Z133"/>
    <hyperlink r:id="rId241" ref="R134"/>
    <hyperlink r:id="rId242" ref="S134"/>
    <hyperlink r:id="rId243" ref="Z134"/>
    <hyperlink r:id="rId244" ref="R135"/>
    <hyperlink r:id="rId245" ref="S135"/>
    <hyperlink r:id="rId246" ref="Z135"/>
    <hyperlink r:id="rId247" ref="R136"/>
    <hyperlink r:id="rId248" ref="S136"/>
    <hyperlink r:id="rId249" ref="Z136"/>
    <hyperlink r:id="rId250" ref="R137"/>
    <hyperlink r:id="rId251" ref="S137"/>
    <hyperlink r:id="rId252" ref="Z137"/>
    <hyperlink r:id="rId253" ref="R138"/>
    <hyperlink r:id="rId254" ref="S138"/>
    <hyperlink r:id="rId255" ref="Z138"/>
    <hyperlink r:id="rId256" ref="Z139"/>
    <hyperlink r:id="rId257" ref="R140"/>
    <hyperlink r:id="rId258" ref="S140"/>
    <hyperlink r:id="rId259" ref="Z140"/>
    <hyperlink r:id="rId260" ref="R141"/>
    <hyperlink r:id="rId261" ref="S141"/>
    <hyperlink r:id="rId262" ref="Z141"/>
    <hyperlink r:id="rId263" ref="R142"/>
    <hyperlink r:id="rId264" ref="S142"/>
    <hyperlink r:id="rId265" ref="Z142"/>
    <hyperlink r:id="rId266" ref="S143"/>
    <hyperlink r:id="rId267" ref="Z143"/>
    <hyperlink r:id="rId268" ref="R144"/>
    <hyperlink r:id="rId269" ref="S144"/>
    <hyperlink r:id="rId270" ref="Z144"/>
    <hyperlink r:id="rId271" ref="R145"/>
    <hyperlink r:id="rId272" ref="S145"/>
    <hyperlink r:id="rId273" ref="Z145"/>
    <hyperlink r:id="rId274" ref="S146"/>
    <hyperlink r:id="rId275" ref="Z146"/>
    <hyperlink r:id="rId276" ref="R147"/>
    <hyperlink r:id="rId277" ref="S147"/>
    <hyperlink r:id="rId278" ref="Z147"/>
    <hyperlink r:id="rId279" ref="R148"/>
    <hyperlink r:id="rId280" ref="S148"/>
    <hyperlink r:id="rId281" ref="Z148"/>
    <hyperlink r:id="rId282" ref="R149"/>
    <hyperlink r:id="rId283" ref="S149"/>
    <hyperlink r:id="rId284" ref="Z149"/>
    <hyperlink r:id="rId285" ref="S150"/>
    <hyperlink r:id="rId286" ref="Z150"/>
    <hyperlink r:id="rId287" ref="R151"/>
    <hyperlink r:id="rId288" ref="S151"/>
    <hyperlink r:id="rId289" ref="Z151"/>
    <hyperlink r:id="rId290" ref="R152"/>
    <hyperlink r:id="rId291" ref="S152"/>
    <hyperlink r:id="rId292" ref="Z152"/>
    <hyperlink r:id="rId293" ref="R153"/>
    <hyperlink r:id="rId294" ref="S153"/>
    <hyperlink r:id="rId295" ref="Z153"/>
    <hyperlink r:id="rId296" ref="S154"/>
    <hyperlink r:id="rId297" ref="Z154"/>
    <hyperlink r:id="rId298" ref="R155"/>
    <hyperlink r:id="rId299" ref="S155"/>
    <hyperlink r:id="rId300" ref="Z155"/>
    <hyperlink r:id="rId301" ref="S156"/>
    <hyperlink r:id="rId302" ref="Z156"/>
    <hyperlink r:id="rId303" ref="R157"/>
    <hyperlink r:id="rId304" ref="S157"/>
    <hyperlink r:id="rId305" ref="Z157"/>
    <hyperlink r:id="rId306" ref="S158"/>
    <hyperlink r:id="rId307" ref="Z158"/>
    <hyperlink r:id="rId308" ref="R159"/>
    <hyperlink r:id="rId309" ref="S159"/>
    <hyperlink r:id="rId310" ref="Z159"/>
    <hyperlink r:id="rId311" ref="R160"/>
    <hyperlink r:id="rId312" ref="S160"/>
    <hyperlink r:id="rId313" ref="Z160"/>
    <hyperlink r:id="rId314" ref="S161"/>
    <hyperlink r:id="rId315" ref="Z161"/>
    <hyperlink r:id="rId316" ref="Z162"/>
    <hyperlink r:id="rId317" ref="R163"/>
    <hyperlink r:id="rId318" ref="S163"/>
    <hyperlink r:id="rId319" ref="Z163"/>
    <hyperlink r:id="rId320" ref="S164"/>
    <hyperlink r:id="rId321" ref="Z164"/>
    <hyperlink r:id="rId322" ref="R165"/>
    <hyperlink r:id="rId323" ref="S165"/>
    <hyperlink r:id="rId324" ref="Z165"/>
    <hyperlink r:id="rId325" ref="R166"/>
    <hyperlink r:id="rId326" ref="S166"/>
    <hyperlink r:id="rId327" ref="Z166"/>
    <hyperlink r:id="rId328" ref="S167"/>
    <hyperlink r:id="rId329" ref="Z167"/>
    <hyperlink r:id="rId330" ref="S168"/>
    <hyperlink r:id="rId331" ref="Z168"/>
    <hyperlink r:id="rId332" ref="R169"/>
    <hyperlink r:id="rId333" ref="S169"/>
    <hyperlink r:id="rId334" ref="Z169"/>
    <hyperlink r:id="rId335" ref="R170"/>
    <hyperlink r:id="rId336" ref="S170"/>
    <hyperlink r:id="rId337" ref="Z170"/>
    <hyperlink r:id="rId338" ref="S171"/>
    <hyperlink r:id="rId339" ref="Z171"/>
    <hyperlink r:id="rId340" ref="R172"/>
    <hyperlink r:id="rId341" ref="S172"/>
    <hyperlink r:id="rId342" ref="Z172"/>
    <hyperlink r:id="rId343" ref="R173"/>
    <hyperlink r:id="rId344" ref="S173"/>
    <hyperlink r:id="rId345" ref="Z173"/>
    <hyperlink r:id="rId346" ref="R174"/>
    <hyperlink r:id="rId347" ref="S174"/>
    <hyperlink r:id="rId348" ref="Z174"/>
    <hyperlink r:id="rId349" ref="R175"/>
    <hyperlink r:id="rId350" ref="S175"/>
    <hyperlink r:id="rId351" ref="Z175"/>
    <hyperlink r:id="rId352" ref="S176"/>
    <hyperlink r:id="rId353" ref="Z176"/>
    <hyperlink r:id="rId354" ref="S177"/>
    <hyperlink r:id="rId355" ref="Z177"/>
    <hyperlink r:id="rId356" ref="R178"/>
    <hyperlink r:id="rId357" ref="S178"/>
    <hyperlink r:id="rId358" ref="Z178"/>
    <hyperlink r:id="rId359" ref="S179"/>
    <hyperlink r:id="rId360" ref="Z179"/>
    <hyperlink r:id="rId361" ref="R180"/>
    <hyperlink r:id="rId362" ref="S180"/>
    <hyperlink r:id="rId363" ref="Z180"/>
    <hyperlink r:id="rId364" ref="R181"/>
    <hyperlink r:id="rId365" ref="S181"/>
    <hyperlink r:id="rId366" ref="Z181"/>
    <hyperlink r:id="rId367" ref="S182"/>
    <hyperlink r:id="rId368" ref="Z182"/>
    <hyperlink r:id="rId369" ref="S183"/>
    <hyperlink r:id="rId370" ref="Z183"/>
    <hyperlink r:id="rId371" ref="R184"/>
    <hyperlink r:id="rId372" ref="S184"/>
    <hyperlink r:id="rId373" ref="Z184"/>
    <hyperlink r:id="rId374" ref="R185"/>
    <hyperlink r:id="rId375" ref="S185"/>
    <hyperlink r:id="rId376" ref="Z185"/>
    <hyperlink r:id="rId377" ref="S186"/>
    <hyperlink r:id="rId378" ref="Z186"/>
    <hyperlink r:id="rId379" ref="S187"/>
    <hyperlink r:id="rId380" ref="Z187"/>
    <hyperlink r:id="rId381" ref="R188"/>
    <hyperlink r:id="rId382" ref="S188"/>
    <hyperlink r:id="rId383" ref="Z188"/>
    <hyperlink r:id="rId384" ref="S189"/>
    <hyperlink r:id="rId385" ref="Z189"/>
    <hyperlink r:id="rId386" ref="S190"/>
    <hyperlink r:id="rId387" ref="Z190"/>
    <hyperlink r:id="rId388" ref="R191"/>
    <hyperlink r:id="rId389" ref="S191"/>
    <hyperlink r:id="rId390" ref="Z191"/>
    <hyperlink r:id="rId391" ref="R192"/>
    <hyperlink r:id="rId392" ref="S192"/>
    <hyperlink r:id="rId393" ref="Z192"/>
    <hyperlink r:id="rId394" ref="R193"/>
    <hyperlink r:id="rId395" ref="S193"/>
    <hyperlink r:id="rId396" ref="Z193"/>
    <hyperlink r:id="rId397" ref="R194"/>
    <hyperlink r:id="rId398" ref="S194"/>
    <hyperlink r:id="rId399" ref="Z194"/>
    <hyperlink r:id="rId400" ref="R195"/>
    <hyperlink r:id="rId401" ref="S195"/>
    <hyperlink r:id="rId402" ref="Z195"/>
    <hyperlink r:id="rId403" ref="R196"/>
    <hyperlink r:id="rId404" ref="S196"/>
    <hyperlink r:id="rId405" ref="Z196"/>
    <hyperlink r:id="rId406" ref="S197"/>
    <hyperlink r:id="rId407" ref="Z197"/>
    <hyperlink r:id="rId408" ref="R198"/>
    <hyperlink r:id="rId409" ref="S198"/>
    <hyperlink r:id="rId410" ref="Z198"/>
    <hyperlink r:id="rId411" ref="R199"/>
    <hyperlink r:id="rId412" ref="S199"/>
    <hyperlink r:id="rId413" ref="Z199"/>
    <hyperlink r:id="rId414" ref="R200"/>
    <hyperlink r:id="rId415" ref="S200"/>
    <hyperlink r:id="rId416" ref="Z200"/>
    <hyperlink r:id="rId417" ref="R201"/>
    <hyperlink r:id="rId418" ref="S201"/>
    <hyperlink r:id="rId419" ref="Z201"/>
    <hyperlink r:id="rId420" ref="S202"/>
    <hyperlink r:id="rId421" ref="Z202"/>
    <hyperlink r:id="rId422" ref="R203"/>
    <hyperlink r:id="rId423" ref="S203"/>
    <hyperlink r:id="rId424" ref="Z203"/>
    <hyperlink r:id="rId425" ref="S204"/>
    <hyperlink r:id="rId426" ref="Z204"/>
    <hyperlink r:id="rId427" ref="R205"/>
    <hyperlink r:id="rId428" ref="S205"/>
    <hyperlink r:id="rId429" ref="Z205"/>
    <hyperlink r:id="rId430" ref="R206"/>
    <hyperlink r:id="rId431" ref="S206"/>
    <hyperlink r:id="rId432" ref="Z206"/>
    <hyperlink r:id="rId433" ref="S207"/>
    <hyperlink r:id="rId434" ref="Z207"/>
    <hyperlink r:id="rId435" ref="S208"/>
    <hyperlink r:id="rId436" ref="Z208"/>
    <hyperlink r:id="rId437" ref="R209"/>
    <hyperlink r:id="rId438" ref="S209"/>
    <hyperlink r:id="rId439" ref="Z209"/>
    <hyperlink r:id="rId440" ref="R210"/>
    <hyperlink r:id="rId441" ref="S210"/>
    <hyperlink r:id="rId442" ref="Z210"/>
    <hyperlink r:id="rId443" ref="R211"/>
    <hyperlink r:id="rId444" ref="S211"/>
    <hyperlink r:id="rId445" ref="Z211"/>
    <hyperlink r:id="rId446" ref="R212"/>
    <hyperlink r:id="rId447" ref="S212"/>
    <hyperlink r:id="rId448" ref="Z212"/>
    <hyperlink r:id="rId449" ref="R213"/>
    <hyperlink r:id="rId450" ref="S213"/>
    <hyperlink r:id="rId451" ref="Z213"/>
    <hyperlink r:id="rId452" ref="R214"/>
    <hyperlink r:id="rId453" ref="S214"/>
    <hyperlink r:id="rId454" ref="Z214"/>
    <hyperlink r:id="rId455" ref="S215"/>
    <hyperlink r:id="rId456" ref="Z215"/>
    <hyperlink r:id="rId457" ref="R216"/>
    <hyperlink r:id="rId458" ref="S216"/>
    <hyperlink r:id="rId459" ref="Z216"/>
    <hyperlink r:id="rId460" ref="R217"/>
    <hyperlink r:id="rId461" ref="S217"/>
    <hyperlink r:id="rId462" ref="Z217"/>
  </hyperlinks>
  <drawing r:id="rId463"/>
  <tableParts count="1">
    <tablePart r:id="rId46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6.25"/>
    <col customWidth="1" min="2" max="2" width="14.5"/>
    <col customWidth="1" min="3" max="3" width="19.0"/>
    <col customWidth="1" min="4" max="4" width="9.63"/>
  </cols>
  <sheetData>
    <row r="1"/>
    <row r="2"/>
    <row r="3"/>
    <row r="4"/>
    <row r="5"/>
    <row r="6"/>
    <row r="7"/>
    <row r="8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88"/>
    <col customWidth="1" min="2" max="2" width="37.13"/>
    <col customWidth="1" min="3" max="3" width="86.25"/>
    <col customWidth="1" min="4" max="4" width="19.0"/>
    <col customWidth="1" min="5" max="5" width="18.63"/>
    <col customWidth="1" min="6" max="6" width="11.88"/>
  </cols>
  <sheetData>
    <row r="1">
      <c r="A1" s="28" t="s">
        <v>130</v>
      </c>
      <c r="B1" s="28" t="s">
        <v>132</v>
      </c>
      <c r="C1" s="28" t="s">
        <v>133</v>
      </c>
      <c r="D1" s="28" t="s">
        <v>134</v>
      </c>
      <c r="E1" s="28" t="s">
        <v>136</v>
      </c>
      <c r="F1" s="28" t="s">
        <v>137</v>
      </c>
    </row>
    <row r="2">
      <c r="A2" s="29" t="s">
        <v>138</v>
      </c>
      <c r="B2" s="29" t="s">
        <v>142</v>
      </c>
      <c r="C2" s="29" t="s">
        <v>56</v>
      </c>
      <c r="D2" s="30" t="s">
        <v>44</v>
      </c>
      <c r="E2" s="29"/>
      <c r="F2" s="29"/>
    </row>
    <row r="3">
      <c r="A3" s="29" t="s">
        <v>144</v>
      </c>
      <c r="B3" s="29" t="s">
        <v>145</v>
      </c>
      <c r="C3" s="29" t="s">
        <v>57</v>
      </c>
      <c r="D3" s="30" t="s">
        <v>44</v>
      </c>
      <c r="E3" s="29"/>
      <c r="F3" s="29"/>
    </row>
    <row r="4">
      <c r="A4" s="29" t="s">
        <v>147</v>
      </c>
      <c r="B4" s="29" t="s">
        <v>148</v>
      </c>
      <c r="C4" s="29" t="s">
        <v>63</v>
      </c>
      <c r="D4" s="30" t="s">
        <v>54</v>
      </c>
      <c r="E4" s="30" t="s">
        <v>149</v>
      </c>
      <c r="F4" s="30" t="s">
        <v>149</v>
      </c>
    </row>
    <row r="5">
      <c r="A5" s="29" t="s">
        <v>151</v>
      </c>
      <c r="B5" s="29" t="s">
        <v>156</v>
      </c>
      <c r="C5" s="29" t="s">
        <v>63</v>
      </c>
      <c r="D5" s="30" t="s">
        <v>54</v>
      </c>
      <c r="E5" s="30" t="s">
        <v>149</v>
      </c>
      <c r="F5" s="30" t="s">
        <v>149</v>
      </c>
    </row>
    <row r="6">
      <c r="A6" s="29" t="s">
        <v>159</v>
      </c>
      <c r="B6" s="29" t="s">
        <v>160</v>
      </c>
      <c r="C6" s="29" t="s">
        <v>63</v>
      </c>
      <c r="D6" s="30" t="s">
        <v>44</v>
      </c>
      <c r="E6" s="29"/>
      <c r="F6" s="29"/>
    </row>
    <row r="7">
      <c r="A7" s="29" t="s">
        <v>161</v>
      </c>
      <c r="B7" s="29" t="s">
        <v>162</v>
      </c>
      <c r="C7" s="29" t="s">
        <v>61</v>
      </c>
      <c r="D7" s="30" t="s">
        <v>44</v>
      </c>
      <c r="E7" s="29"/>
      <c r="F7" s="29"/>
    </row>
    <row r="8">
      <c r="A8" s="29" t="s">
        <v>163</v>
      </c>
      <c r="B8" s="29" t="s">
        <v>164</v>
      </c>
      <c r="C8" s="29" t="s">
        <v>63</v>
      </c>
      <c r="D8" s="30" t="s">
        <v>44</v>
      </c>
      <c r="E8" s="29"/>
      <c r="F8" s="29"/>
    </row>
    <row r="9">
      <c r="A9" s="29" t="s">
        <v>165</v>
      </c>
      <c r="B9" s="29" t="s">
        <v>166</v>
      </c>
      <c r="C9" s="29" t="s">
        <v>63</v>
      </c>
      <c r="D9" s="30" t="s">
        <v>54</v>
      </c>
      <c r="E9" s="30" t="s">
        <v>149</v>
      </c>
      <c r="F9" s="30" t="s">
        <v>149</v>
      </c>
    </row>
    <row r="10">
      <c r="A10" s="29" t="s">
        <v>168</v>
      </c>
      <c r="B10" s="29" t="s">
        <v>169</v>
      </c>
      <c r="C10" s="29" t="s">
        <v>56</v>
      </c>
      <c r="D10" s="30" t="s">
        <v>54</v>
      </c>
      <c r="E10" s="30" t="s">
        <v>149</v>
      </c>
      <c r="F10" s="30" t="s">
        <v>149</v>
      </c>
    </row>
    <row r="11">
      <c r="A11" s="29" t="s">
        <v>170</v>
      </c>
      <c r="B11" s="29" t="s">
        <v>171</v>
      </c>
      <c r="C11" s="29" t="s">
        <v>63</v>
      </c>
      <c r="D11" s="30" t="s">
        <v>44</v>
      </c>
      <c r="E11" s="29"/>
      <c r="F11" s="29"/>
    </row>
    <row r="12">
      <c r="A12" s="29" t="s">
        <v>172</v>
      </c>
      <c r="B12" s="29" t="s">
        <v>173</v>
      </c>
      <c r="C12" s="29" t="s">
        <v>63</v>
      </c>
      <c r="D12" s="30" t="s">
        <v>44</v>
      </c>
      <c r="E12" s="29"/>
      <c r="F12" s="29"/>
    </row>
    <row r="13">
      <c r="A13" s="29" t="s">
        <v>174</v>
      </c>
      <c r="B13" s="29" t="s">
        <v>176</v>
      </c>
      <c r="C13" s="29" t="s">
        <v>63</v>
      </c>
      <c r="D13" s="30" t="s">
        <v>44</v>
      </c>
      <c r="E13" s="29"/>
      <c r="F13" s="29"/>
    </row>
    <row r="14">
      <c r="A14" s="29" t="s">
        <v>180</v>
      </c>
      <c r="B14" s="29" t="s">
        <v>181</v>
      </c>
      <c r="C14" s="29" t="s">
        <v>61</v>
      </c>
      <c r="D14" s="30" t="s">
        <v>54</v>
      </c>
      <c r="E14" s="30" t="s">
        <v>149</v>
      </c>
      <c r="F14" s="30" t="s">
        <v>149</v>
      </c>
    </row>
    <row r="15">
      <c r="A15" s="29" t="s">
        <v>183</v>
      </c>
      <c r="B15" s="29" t="s">
        <v>184</v>
      </c>
      <c r="C15" s="29" t="s">
        <v>56</v>
      </c>
      <c r="D15" s="30" t="s">
        <v>44</v>
      </c>
      <c r="E15" s="29"/>
      <c r="F15" s="29"/>
    </row>
    <row r="16">
      <c r="A16" s="29" t="s">
        <v>185</v>
      </c>
      <c r="B16" s="29" t="s">
        <v>186</v>
      </c>
      <c r="C16" s="29" t="s">
        <v>61</v>
      </c>
      <c r="D16" s="30" t="s">
        <v>54</v>
      </c>
      <c r="E16" s="30" t="s">
        <v>149</v>
      </c>
      <c r="F16" s="30" t="s">
        <v>149</v>
      </c>
    </row>
    <row r="17">
      <c r="A17" s="29" t="s">
        <v>187</v>
      </c>
      <c r="B17" s="29" t="s">
        <v>188</v>
      </c>
      <c r="C17" s="29" t="s">
        <v>61</v>
      </c>
      <c r="D17" s="30" t="s">
        <v>54</v>
      </c>
      <c r="E17" s="30" t="s">
        <v>149</v>
      </c>
      <c r="F17" s="30" t="s">
        <v>149</v>
      </c>
    </row>
    <row r="18">
      <c r="A18" s="29" t="s">
        <v>189</v>
      </c>
      <c r="B18" s="29" t="s">
        <v>190</v>
      </c>
      <c r="C18" s="29" t="s">
        <v>61</v>
      </c>
      <c r="D18" s="30" t="s">
        <v>44</v>
      </c>
      <c r="E18" s="29"/>
      <c r="F18" s="29"/>
    </row>
    <row r="19">
      <c r="A19" s="29" t="s">
        <v>191</v>
      </c>
      <c r="B19" s="29" t="s">
        <v>192</v>
      </c>
      <c r="C19" s="29" t="s">
        <v>63</v>
      </c>
      <c r="D19" s="30" t="s">
        <v>44</v>
      </c>
      <c r="E19" s="29"/>
      <c r="F19" s="29"/>
    </row>
    <row r="20">
      <c r="A20" s="29" t="s">
        <v>194</v>
      </c>
      <c r="B20" s="29" t="s">
        <v>195</v>
      </c>
      <c r="C20" s="29" t="s">
        <v>63</v>
      </c>
      <c r="D20" s="30" t="s">
        <v>44</v>
      </c>
      <c r="E20" s="29"/>
      <c r="F20" s="29"/>
    </row>
    <row r="21">
      <c r="A21" s="29" t="s">
        <v>196</v>
      </c>
      <c r="B21" s="29" t="s">
        <v>197</v>
      </c>
      <c r="C21" s="29" t="s">
        <v>63</v>
      </c>
      <c r="D21" s="30" t="s">
        <v>54</v>
      </c>
      <c r="E21" s="30" t="s">
        <v>149</v>
      </c>
      <c r="F21" s="30" t="s">
        <v>149</v>
      </c>
    </row>
    <row r="22">
      <c r="A22" s="29" t="s">
        <v>203</v>
      </c>
      <c r="B22" s="29" t="s">
        <v>204</v>
      </c>
      <c r="C22" s="29" t="s">
        <v>63</v>
      </c>
      <c r="D22" s="30" t="s">
        <v>44</v>
      </c>
      <c r="E22" s="29"/>
      <c r="F22" s="29"/>
    </row>
    <row r="23">
      <c r="A23" s="29" t="s">
        <v>206</v>
      </c>
      <c r="B23" s="29" t="s">
        <v>207</v>
      </c>
      <c r="C23" s="29" t="s">
        <v>63</v>
      </c>
      <c r="D23" s="30" t="s">
        <v>44</v>
      </c>
      <c r="E23" s="29"/>
      <c r="F23" s="29"/>
    </row>
    <row r="24">
      <c r="A24" s="29" t="s">
        <v>208</v>
      </c>
      <c r="B24" s="29" t="s">
        <v>209</v>
      </c>
      <c r="C24" s="29" t="s">
        <v>63</v>
      </c>
      <c r="D24" s="30" t="s">
        <v>44</v>
      </c>
      <c r="E24" s="29"/>
      <c r="F24" s="29"/>
    </row>
    <row r="25">
      <c r="A25" s="29" t="s">
        <v>210</v>
      </c>
      <c r="B25" s="29" t="s">
        <v>211</v>
      </c>
      <c r="C25" s="29" t="s">
        <v>61</v>
      </c>
      <c r="D25" s="30" t="s">
        <v>54</v>
      </c>
      <c r="E25" s="30" t="s">
        <v>149</v>
      </c>
      <c r="F25" s="30" t="s">
        <v>149</v>
      </c>
    </row>
    <row r="26">
      <c r="A26" s="29" t="s">
        <v>212</v>
      </c>
      <c r="B26" s="29" t="s">
        <v>213</v>
      </c>
      <c r="C26" s="29" t="s">
        <v>56</v>
      </c>
      <c r="D26" s="30" t="s">
        <v>54</v>
      </c>
      <c r="E26" s="30" t="s">
        <v>149</v>
      </c>
      <c r="F26" s="30" t="s">
        <v>149</v>
      </c>
    </row>
    <row r="27">
      <c r="A27" s="29" t="s">
        <v>215</v>
      </c>
      <c r="B27" s="29" t="s">
        <v>216</v>
      </c>
      <c r="C27" s="29" t="s">
        <v>63</v>
      </c>
      <c r="D27" s="30" t="s">
        <v>44</v>
      </c>
      <c r="E27" s="29"/>
      <c r="F27" s="29"/>
    </row>
    <row r="28">
      <c r="A28" s="29" t="s">
        <v>218</v>
      </c>
      <c r="B28" s="29" t="s">
        <v>219</v>
      </c>
      <c r="C28" s="29" t="s">
        <v>63</v>
      </c>
      <c r="D28" s="30" t="s">
        <v>44</v>
      </c>
      <c r="E28" s="29"/>
      <c r="F28" s="29"/>
    </row>
    <row r="29">
      <c r="A29" s="29" t="s">
        <v>220</v>
      </c>
      <c r="B29" s="29" t="s">
        <v>221</v>
      </c>
      <c r="C29" s="29" t="s">
        <v>61</v>
      </c>
      <c r="D29" s="30" t="s">
        <v>44</v>
      </c>
      <c r="E29" s="29"/>
      <c r="F29" s="29"/>
    </row>
    <row r="30">
      <c r="A30" s="29" t="s">
        <v>222</v>
      </c>
      <c r="B30" s="29" t="s">
        <v>224</v>
      </c>
      <c r="C30" s="29" t="s">
        <v>63</v>
      </c>
      <c r="D30" s="30" t="s">
        <v>54</v>
      </c>
      <c r="E30" s="30" t="s">
        <v>149</v>
      </c>
      <c r="F30" s="30" t="s">
        <v>149</v>
      </c>
    </row>
    <row r="31">
      <c r="A31" s="29" t="s">
        <v>227</v>
      </c>
      <c r="B31" s="29" t="s">
        <v>228</v>
      </c>
      <c r="C31" s="29" t="s">
        <v>63</v>
      </c>
      <c r="D31" s="30" t="s">
        <v>54</v>
      </c>
      <c r="E31" s="30" t="s">
        <v>149</v>
      </c>
      <c r="F31" s="30" t="s">
        <v>149</v>
      </c>
    </row>
    <row r="32">
      <c r="A32" s="29" t="s">
        <v>234</v>
      </c>
      <c r="B32" s="29" t="s">
        <v>235</v>
      </c>
      <c r="C32" s="29" t="s">
        <v>61</v>
      </c>
      <c r="D32" s="30" t="s">
        <v>44</v>
      </c>
      <c r="E32" s="29"/>
      <c r="F32" s="29"/>
    </row>
    <row r="33">
      <c r="A33" s="29" t="s">
        <v>236</v>
      </c>
      <c r="B33" s="29" t="s">
        <v>237</v>
      </c>
      <c r="C33" s="29" t="s">
        <v>61</v>
      </c>
      <c r="D33" s="30" t="s">
        <v>44</v>
      </c>
      <c r="E33" s="29"/>
      <c r="F33" s="29"/>
    </row>
    <row r="34">
      <c r="A34" s="29" t="s">
        <v>238</v>
      </c>
      <c r="B34" s="29" t="s">
        <v>239</v>
      </c>
      <c r="C34" s="29" t="s">
        <v>57</v>
      </c>
      <c r="D34" s="30" t="s">
        <v>54</v>
      </c>
      <c r="E34" s="30" t="s">
        <v>149</v>
      </c>
      <c r="F34" s="30" t="s">
        <v>149</v>
      </c>
    </row>
    <row r="35">
      <c r="A35" s="29" t="s">
        <v>241</v>
      </c>
      <c r="B35" s="29" t="s">
        <v>242</v>
      </c>
      <c r="C35" s="29" t="s">
        <v>57</v>
      </c>
      <c r="D35" s="30" t="s">
        <v>54</v>
      </c>
      <c r="E35" s="30" t="s">
        <v>149</v>
      </c>
      <c r="F35" s="30" t="s">
        <v>149</v>
      </c>
    </row>
    <row r="36">
      <c r="A36" s="29" t="s">
        <v>243</v>
      </c>
      <c r="B36" s="29" t="s">
        <v>244</v>
      </c>
      <c r="C36" s="29" t="s">
        <v>63</v>
      </c>
      <c r="D36" s="30" t="s">
        <v>44</v>
      </c>
      <c r="E36" s="29"/>
      <c r="F36" s="29"/>
    </row>
    <row r="37">
      <c r="A37" s="29" t="s">
        <v>245</v>
      </c>
      <c r="B37" s="29" t="s">
        <v>246</v>
      </c>
      <c r="C37" s="29" t="s">
        <v>63</v>
      </c>
      <c r="D37" s="30" t="s">
        <v>44</v>
      </c>
      <c r="E37" s="29"/>
      <c r="F37" s="29"/>
    </row>
    <row r="38">
      <c r="A38" s="29" t="s">
        <v>247</v>
      </c>
      <c r="B38" s="29" t="s">
        <v>248</v>
      </c>
      <c r="C38" s="29" t="s">
        <v>63</v>
      </c>
      <c r="D38" s="30" t="s">
        <v>54</v>
      </c>
      <c r="E38" s="30" t="s">
        <v>149</v>
      </c>
      <c r="F38" s="30" t="s">
        <v>149</v>
      </c>
    </row>
    <row r="39">
      <c r="A39" s="29" t="s">
        <v>251</v>
      </c>
      <c r="B39" s="29" t="s">
        <v>252</v>
      </c>
      <c r="C39" s="29" t="s">
        <v>63</v>
      </c>
      <c r="D39" s="30" t="s">
        <v>44</v>
      </c>
      <c r="E39" s="29"/>
      <c r="F39" s="29"/>
    </row>
    <row r="40">
      <c r="A40" s="29" t="s">
        <v>253</v>
      </c>
      <c r="B40" s="29" t="s">
        <v>255</v>
      </c>
      <c r="C40" s="29" t="s">
        <v>63</v>
      </c>
      <c r="D40" s="30" t="s">
        <v>44</v>
      </c>
      <c r="E40" s="29"/>
      <c r="F40" s="29"/>
    </row>
    <row r="41">
      <c r="A41" s="29" t="s">
        <v>256</v>
      </c>
      <c r="B41" s="29" t="s">
        <v>258</v>
      </c>
      <c r="C41" s="29" t="s">
        <v>56</v>
      </c>
      <c r="D41" s="30" t="s">
        <v>54</v>
      </c>
      <c r="E41" s="30" t="s">
        <v>149</v>
      </c>
      <c r="F41" s="30" t="s">
        <v>149</v>
      </c>
    </row>
    <row r="42">
      <c r="A42" s="29" t="s">
        <v>262</v>
      </c>
      <c r="B42" s="29" t="s">
        <v>264</v>
      </c>
      <c r="C42" s="29" t="s">
        <v>63</v>
      </c>
      <c r="D42" s="30" t="s">
        <v>44</v>
      </c>
      <c r="E42" s="29"/>
      <c r="F42" s="29"/>
    </row>
    <row r="43">
      <c r="A43" s="29" t="s">
        <v>266</v>
      </c>
      <c r="B43" s="29" t="s">
        <v>267</v>
      </c>
      <c r="C43" s="29" t="s">
        <v>63</v>
      </c>
      <c r="D43" s="30" t="s">
        <v>54</v>
      </c>
      <c r="E43" s="30" t="s">
        <v>149</v>
      </c>
      <c r="F43" s="30" t="s">
        <v>149</v>
      </c>
    </row>
    <row r="44">
      <c r="A44" s="29" t="s">
        <v>268</v>
      </c>
      <c r="B44" s="29" t="s">
        <v>269</v>
      </c>
      <c r="C44" s="29" t="s">
        <v>63</v>
      </c>
      <c r="D44" s="30" t="s">
        <v>44</v>
      </c>
      <c r="E44" s="29"/>
      <c r="F44" s="29"/>
    </row>
    <row r="45">
      <c r="A45" s="29" t="s">
        <v>270</v>
      </c>
      <c r="B45" s="29" t="s">
        <v>271</v>
      </c>
      <c r="C45" s="29" t="s">
        <v>61</v>
      </c>
      <c r="D45" s="30" t="s">
        <v>54</v>
      </c>
      <c r="E45" s="30" t="s">
        <v>149</v>
      </c>
      <c r="F45" s="30" t="s">
        <v>149</v>
      </c>
    </row>
    <row r="46">
      <c r="A46" s="29" t="s">
        <v>272</v>
      </c>
      <c r="B46" s="29" t="s">
        <v>273</v>
      </c>
      <c r="C46" s="29" t="s">
        <v>63</v>
      </c>
      <c r="D46" s="30" t="s">
        <v>54</v>
      </c>
      <c r="E46" s="30" t="s">
        <v>149</v>
      </c>
      <c r="F46" s="30" t="s">
        <v>149</v>
      </c>
    </row>
    <row r="47">
      <c r="A47" s="29" t="s">
        <v>276</v>
      </c>
      <c r="B47" s="29" t="s">
        <v>277</v>
      </c>
      <c r="C47" s="29" t="s">
        <v>56</v>
      </c>
      <c r="D47" s="30" t="s">
        <v>54</v>
      </c>
      <c r="E47" s="30" t="s">
        <v>149</v>
      </c>
      <c r="F47" s="30" t="s">
        <v>149</v>
      </c>
    </row>
    <row r="48">
      <c r="A48" s="29" t="s">
        <v>278</v>
      </c>
      <c r="B48" s="29" t="s">
        <v>279</v>
      </c>
      <c r="C48" s="29" t="s">
        <v>63</v>
      </c>
      <c r="D48" s="30" t="s">
        <v>44</v>
      </c>
      <c r="E48" s="29"/>
      <c r="F48" s="29"/>
    </row>
    <row r="49">
      <c r="A49" s="29" t="s">
        <v>282</v>
      </c>
      <c r="B49" s="29" t="s">
        <v>284</v>
      </c>
      <c r="C49" s="29" t="s">
        <v>63</v>
      </c>
      <c r="D49" s="30" t="s">
        <v>54</v>
      </c>
      <c r="E49" s="30" t="s">
        <v>149</v>
      </c>
      <c r="F49" s="30" t="s">
        <v>149</v>
      </c>
    </row>
    <row r="50">
      <c r="A50" s="29" t="s">
        <v>287</v>
      </c>
      <c r="B50" s="29" t="s">
        <v>288</v>
      </c>
      <c r="C50" s="29" t="s">
        <v>63</v>
      </c>
      <c r="D50" s="30" t="s">
        <v>44</v>
      </c>
      <c r="E50" s="29"/>
      <c r="F50" s="29"/>
    </row>
    <row r="51">
      <c r="A51" s="29" t="s">
        <v>289</v>
      </c>
      <c r="B51" s="29" t="s">
        <v>290</v>
      </c>
      <c r="C51" s="29" t="s">
        <v>63</v>
      </c>
      <c r="D51" s="30" t="s">
        <v>54</v>
      </c>
      <c r="E51" s="30" t="s">
        <v>149</v>
      </c>
      <c r="F51" s="30" t="s">
        <v>149</v>
      </c>
    </row>
    <row r="52">
      <c r="A52" s="29" t="s">
        <v>291</v>
      </c>
      <c r="B52" s="29" t="s">
        <v>292</v>
      </c>
      <c r="C52" s="29" t="s">
        <v>63</v>
      </c>
      <c r="D52" s="30" t="s">
        <v>44</v>
      </c>
      <c r="E52" s="29"/>
      <c r="F52" s="29"/>
    </row>
    <row r="53">
      <c r="A53" s="29" t="s">
        <v>293</v>
      </c>
      <c r="B53" s="29" t="s">
        <v>294</v>
      </c>
      <c r="C53" s="29" t="s">
        <v>61</v>
      </c>
      <c r="D53" s="30" t="s">
        <v>44</v>
      </c>
      <c r="E53" s="29"/>
      <c r="F53" s="29"/>
    </row>
    <row r="54">
      <c r="A54" s="29" t="s">
        <v>295</v>
      </c>
      <c r="B54" s="29" t="s">
        <v>296</v>
      </c>
      <c r="C54" s="29" t="s">
        <v>63</v>
      </c>
      <c r="D54" s="30" t="s">
        <v>44</v>
      </c>
      <c r="E54" s="29"/>
      <c r="F54" s="29"/>
    </row>
    <row r="55">
      <c r="A55" s="29" t="s">
        <v>297</v>
      </c>
      <c r="B55" s="29" t="s">
        <v>299</v>
      </c>
      <c r="C55" s="29" t="s">
        <v>63</v>
      </c>
      <c r="D55" s="30" t="s">
        <v>44</v>
      </c>
      <c r="E55" s="29"/>
      <c r="F55" s="29"/>
    </row>
    <row r="56">
      <c r="A56" s="29" t="s">
        <v>300</v>
      </c>
      <c r="B56" s="29" t="s">
        <v>301</v>
      </c>
      <c r="C56" s="29" t="s">
        <v>63</v>
      </c>
      <c r="D56" s="30" t="s">
        <v>44</v>
      </c>
      <c r="E56" s="29"/>
      <c r="F56" s="29"/>
    </row>
    <row r="57">
      <c r="A57" s="29" t="s">
        <v>303</v>
      </c>
      <c r="B57" s="29" t="s">
        <v>304</v>
      </c>
      <c r="C57" s="29" t="s">
        <v>63</v>
      </c>
      <c r="D57" s="30" t="s">
        <v>44</v>
      </c>
      <c r="E57" s="29"/>
      <c r="F57" s="29"/>
    </row>
    <row r="58">
      <c r="A58" s="29" t="s">
        <v>305</v>
      </c>
      <c r="B58" s="29" t="s">
        <v>306</v>
      </c>
      <c r="C58" s="29" t="s">
        <v>56</v>
      </c>
      <c r="D58" s="30" t="s">
        <v>44</v>
      </c>
      <c r="E58" s="29"/>
      <c r="F58" s="29"/>
    </row>
    <row r="59">
      <c r="A59" s="29" t="s">
        <v>307</v>
      </c>
      <c r="B59" s="29" t="s">
        <v>308</v>
      </c>
      <c r="C59" s="29" t="s">
        <v>63</v>
      </c>
      <c r="D59" s="30" t="s">
        <v>54</v>
      </c>
      <c r="E59" s="30" t="s">
        <v>149</v>
      </c>
      <c r="F59" s="30" t="s">
        <v>149</v>
      </c>
    </row>
    <row r="60">
      <c r="A60" s="29" t="s">
        <v>312</v>
      </c>
      <c r="B60" s="29" t="s">
        <v>313</v>
      </c>
      <c r="C60" s="29" t="s">
        <v>56</v>
      </c>
      <c r="D60" s="30" t="s">
        <v>54</v>
      </c>
      <c r="E60" s="30" t="s">
        <v>149</v>
      </c>
      <c r="F60" s="30" t="s">
        <v>149</v>
      </c>
    </row>
    <row r="61">
      <c r="A61" s="29" t="s">
        <v>315</v>
      </c>
      <c r="B61" s="29" t="s">
        <v>316</v>
      </c>
      <c r="C61" s="29" t="s">
        <v>63</v>
      </c>
      <c r="D61" s="30" t="s">
        <v>54</v>
      </c>
      <c r="E61" s="30" t="s">
        <v>149</v>
      </c>
      <c r="F61" s="30" t="s">
        <v>149</v>
      </c>
    </row>
    <row r="62">
      <c r="A62" s="29" t="s">
        <v>317</v>
      </c>
      <c r="B62" s="29" t="s">
        <v>318</v>
      </c>
      <c r="C62" s="29" t="s">
        <v>59</v>
      </c>
      <c r="D62" s="30" t="s">
        <v>54</v>
      </c>
      <c r="E62" s="30" t="s">
        <v>149</v>
      </c>
      <c r="F62" s="30" t="s">
        <v>149</v>
      </c>
    </row>
    <row r="63">
      <c r="A63" s="29" t="s">
        <v>319</v>
      </c>
      <c r="B63" s="29" t="s">
        <v>320</v>
      </c>
      <c r="C63" s="29" t="s">
        <v>61</v>
      </c>
      <c r="D63" s="30" t="s">
        <v>44</v>
      </c>
      <c r="E63" s="29"/>
      <c r="F63" s="29"/>
    </row>
    <row r="64">
      <c r="A64" s="29" t="s">
        <v>321</v>
      </c>
      <c r="B64" s="29" t="s">
        <v>322</v>
      </c>
      <c r="C64" s="29" t="s">
        <v>56</v>
      </c>
      <c r="D64" s="30" t="s">
        <v>54</v>
      </c>
      <c r="E64" s="30" t="s">
        <v>149</v>
      </c>
      <c r="F64" s="30" t="s">
        <v>149</v>
      </c>
    </row>
    <row r="65">
      <c r="A65" s="29" t="s">
        <v>323</v>
      </c>
      <c r="B65" s="29" t="s">
        <v>324</v>
      </c>
      <c r="C65" s="29" t="s">
        <v>61</v>
      </c>
      <c r="D65" s="30" t="s">
        <v>54</v>
      </c>
      <c r="E65" s="30" t="s">
        <v>149</v>
      </c>
      <c r="F65" s="30" t="s">
        <v>149</v>
      </c>
    </row>
    <row r="66">
      <c r="A66" s="29" t="s">
        <v>325</v>
      </c>
      <c r="B66" s="29" t="s">
        <v>326</v>
      </c>
      <c r="C66" s="29" t="s">
        <v>56</v>
      </c>
      <c r="D66" s="30" t="s">
        <v>44</v>
      </c>
      <c r="E66" s="29"/>
      <c r="F66" s="29"/>
    </row>
    <row r="67">
      <c r="A67" s="29" t="s">
        <v>328</v>
      </c>
      <c r="B67" s="29" t="s">
        <v>329</v>
      </c>
      <c r="C67" s="29" t="s">
        <v>63</v>
      </c>
      <c r="D67" s="30" t="s">
        <v>44</v>
      </c>
      <c r="E67" s="29"/>
      <c r="F67" s="29"/>
    </row>
    <row r="68">
      <c r="A68" s="29" t="s">
        <v>330</v>
      </c>
      <c r="B68" s="29" t="s">
        <v>331</v>
      </c>
      <c r="C68" s="29" t="s">
        <v>57</v>
      </c>
      <c r="D68" s="30" t="s">
        <v>44</v>
      </c>
      <c r="E68" s="29"/>
      <c r="F68" s="29"/>
    </row>
    <row r="69">
      <c r="A69" s="29" t="s">
        <v>332</v>
      </c>
      <c r="B69" s="29" t="s">
        <v>333</v>
      </c>
      <c r="C69" s="29" t="s">
        <v>61</v>
      </c>
      <c r="D69" s="30" t="s">
        <v>54</v>
      </c>
      <c r="E69" s="30" t="s">
        <v>149</v>
      </c>
      <c r="F69" s="30" t="s">
        <v>149</v>
      </c>
    </row>
    <row r="70">
      <c r="A70" s="29" t="s">
        <v>336</v>
      </c>
      <c r="B70" s="29" t="s">
        <v>338</v>
      </c>
      <c r="C70" s="29" t="s">
        <v>61</v>
      </c>
      <c r="D70" s="30" t="s">
        <v>44</v>
      </c>
      <c r="E70" s="29"/>
      <c r="F70" s="29"/>
    </row>
    <row r="71">
      <c r="A71" s="29" t="s">
        <v>339</v>
      </c>
      <c r="B71" s="29" t="s">
        <v>340</v>
      </c>
      <c r="C71" s="29" t="s">
        <v>56</v>
      </c>
      <c r="D71" s="30" t="s">
        <v>54</v>
      </c>
      <c r="E71" s="30" t="s">
        <v>149</v>
      </c>
      <c r="F71" s="30" t="s">
        <v>149</v>
      </c>
    </row>
    <row r="72">
      <c r="A72" s="29" t="s">
        <v>342</v>
      </c>
      <c r="B72" s="29" t="s">
        <v>343</v>
      </c>
      <c r="C72" s="29" t="s">
        <v>63</v>
      </c>
      <c r="D72" s="30" t="s">
        <v>54</v>
      </c>
      <c r="E72" s="30" t="s">
        <v>149</v>
      </c>
      <c r="F72" s="30" t="s">
        <v>149</v>
      </c>
    </row>
    <row r="73">
      <c r="A73" s="29" t="s">
        <v>344</v>
      </c>
      <c r="B73" s="29" t="s">
        <v>345</v>
      </c>
      <c r="C73" s="29" t="s">
        <v>61</v>
      </c>
      <c r="D73" s="30" t="s">
        <v>44</v>
      </c>
      <c r="E73" s="29"/>
      <c r="F73" s="29"/>
    </row>
    <row r="74">
      <c r="A74" s="29" t="s">
        <v>346</v>
      </c>
      <c r="B74" s="29" t="s">
        <v>277</v>
      </c>
      <c r="C74" s="29" t="s">
        <v>56</v>
      </c>
      <c r="D74" s="30" t="s">
        <v>44</v>
      </c>
      <c r="E74" s="29"/>
      <c r="F74" s="29"/>
    </row>
    <row r="75">
      <c r="A75" s="29" t="s">
        <v>347</v>
      </c>
      <c r="B75" s="29" t="s">
        <v>348</v>
      </c>
      <c r="C75" s="29" t="s">
        <v>63</v>
      </c>
      <c r="D75" s="30" t="s">
        <v>44</v>
      </c>
      <c r="E75" s="29"/>
      <c r="F75" s="29"/>
    </row>
    <row r="76">
      <c r="A76" s="29" t="s">
        <v>349</v>
      </c>
      <c r="B76" s="29" t="s">
        <v>350</v>
      </c>
      <c r="C76" s="29" t="s">
        <v>63</v>
      </c>
      <c r="D76" s="30" t="s">
        <v>44</v>
      </c>
      <c r="E76" s="29"/>
      <c r="F76" s="29"/>
    </row>
    <row r="77">
      <c r="A77" s="29" t="s">
        <v>352</v>
      </c>
      <c r="B77" s="29" t="s">
        <v>354</v>
      </c>
      <c r="C77" s="29" t="s">
        <v>63</v>
      </c>
      <c r="D77" s="30" t="s">
        <v>54</v>
      </c>
      <c r="E77" s="30" t="s">
        <v>149</v>
      </c>
      <c r="F77" s="30" t="s">
        <v>149</v>
      </c>
    </row>
    <row r="78">
      <c r="A78" s="29" t="s">
        <v>355</v>
      </c>
      <c r="B78" s="29" t="s">
        <v>356</v>
      </c>
      <c r="C78" s="29" t="s">
        <v>61</v>
      </c>
      <c r="D78" s="30" t="s">
        <v>44</v>
      </c>
      <c r="E78" s="29"/>
      <c r="F78" s="29"/>
    </row>
    <row r="79">
      <c r="A79" s="29" t="s">
        <v>357</v>
      </c>
      <c r="B79" s="29" t="s">
        <v>358</v>
      </c>
      <c r="C79" s="29" t="s">
        <v>63</v>
      </c>
      <c r="D79" s="30" t="s">
        <v>44</v>
      </c>
      <c r="E79" s="29"/>
      <c r="F79" s="29"/>
    </row>
    <row r="80">
      <c r="A80" s="29" t="s">
        <v>360</v>
      </c>
      <c r="B80" s="29" t="s">
        <v>362</v>
      </c>
      <c r="C80" s="29" t="s">
        <v>61</v>
      </c>
      <c r="D80" s="30" t="s">
        <v>54</v>
      </c>
      <c r="E80" s="30" t="s">
        <v>149</v>
      </c>
      <c r="F80" s="30" t="s">
        <v>149</v>
      </c>
    </row>
    <row r="81">
      <c r="A81" s="29" t="s">
        <v>364</v>
      </c>
      <c r="B81" s="29" t="s">
        <v>365</v>
      </c>
      <c r="C81" s="29" t="s">
        <v>56</v>
      </c>
      <c r="D81" s="30" t="s">
        <v>44</v>
      </c>
      <c r="E81" s="29"/>
      <c r="F81" s="29"/>
    </row>
    <row r="82">
      <c r="A82" s="29" t="s">
        <v>366</v>
      </c>
      <c r="B82" s="29" t="s">
        <v>367</v>
      </c>
      <c r="C82" s="29" t="s">
        <v>63</v>
      </c>
      <c r="D82" s="30" t="s">
        <v>54</v>
      </c>
      <c r="E82" s="30" t="s">
        <v>149</v>
      </c>
      <c r="F82" s="30" t="s">
        <v>149</v>
      </c>
    </row>
    <row r="83">
      <c r="A83" s="29" t="s">
        <v>368</v>
      </c>
      <c r="B83" s="29" t="s">
        <v>369</v>
      </c>
      <c r="C83" s="29" t="s">
        <v>61</v>
      </c>
      <c r="D83" s="30" t="s">
        <v>44</v>
      </c>
      <c r="E83" s="29"/>
      <c r="F83" s="29"/>
    </row>
    <row r="84">
      <c r="A84" s="29" t="s">
        <v>370</v>
      </c>
      <c r="B84" s="29" t="s">
        <v>371</v>
      </c>
      <c r="C84" s="29" t="s">
        <v>63</v>
      </c>
      <c r="D84" s="30" t="s">
        <v>54</v>
      </c>
      <c r="E84" s="30" t="s">
        <v>149</v>
      </c>
      <c r="F84" s="30" t="s">
        <v>149</v>
      </c>
    </row>
    <row r="85">
      <c r="A85" s="29" t="s">
        <v>372</v>
      </c>
      <c r="B85" s="29" t="s">
        <v>373</v>
      </c>
      <c r="C85" s="29" t="s">
        <v>61</v>
      </c>
      <c r="D85" s="30" t="s">
        <v>54</v>
      </c>
      <c r="E85" s="30" t="s">
        <v>149</v>
      </c>
      <c r="F85" s="30" t="s">
        <v>149</v>
      </c>
    </row>
    <row r="86">
      <c r="A86" s="29" t="s">
        <v>375</v>
      </c>
      <c r="B86" s="29" t="s">
        <v>376</v>
      </c>
      <c r="C86" s="29" t="s">
        <v>63</v>
      </c>
      <c r="D86" s="30" t="s">
        <v>44</v>
      </c>
      <c r="E86" s="29"/>
      <c r="F86" s="29"/>
    </row>
    <row r="87">
      <c r="A87" s="29" t="s">
        <v>377</v>
      </c>
      <c r="B87" s="29" t="s">
        <v>378</v>
      </c>
      <c r="C87" s="29" t="s">
        <v>63</v>
      </c>
      <c r="D87" s="30" t="s">
        <v>44</v>
      </c>
      <c r="E87" s="29"/>
      <c r="F87" s="29"/>
    </row>
    <row r="88">
      <c r="A88" s="29" t="s">
        <v>380</v>
      </c>
      <c r="B88" s="29" t="s">
        <v>381</v>
      </c>
      <c r="C88" s="29" t="s">
        <v>57</v>
      </c>
      <c r="D88" s="30" t="s">
        <v>54</v>
      </c>
      <c r="E88" s="30" t="s">
        <v>149</v>
      </c>
      <c r="F88" s="30" t="s">
        <v>149</v>
      </c>
    </row>
    <row r="89">
      <c r="A89" s="29" t="s">
        <v>382</v>
      </c>
      <c r="B89" s="29" t="s">
        <v>383</v>
      </c>
      <c r="C89" s="29" t="s">
        <v>63</v>
      </c>
      <c r="D89" s="30" t="s">
        <v>44</v>
      </c>
      <c r="E89" s="29"/>
      <c r="F89" s="29"/>
    </row>
    <row r="90">
      <c r="A90" s="29" t="s">
        <v>396</v>
      </c>
      <c r="B90" s="29" t="s">
        <v>397</v>
      </c>
      <c r="C90" s="29" t="s">
        <v>63</v>
      </c>
      <c r="D90" s="30" t="s">
        <v>44</v>
      </c>
      <c r="E90" s="29"/>
      <c r="F90" s="29"/>
    </row>
    <row r="91">
      <c r="A91" s="29" t="s">
        <v>399</v>
      </c>
      <c r="B91" s="29" t="s">
        <v>400</v>
      </c>
      <c r="C91" s="29" t="s">
        <v>63</v>
      </c>
      <c r="D91" s="30" t="s">
        <v>44</v>
      </c>
      <c r="E91" s="29"/>
      <c r="F91" s="29"/>
    </row>
    <row r="92">
      <c r="A92" s="29" t="s">
        <v>401</v>
      </c>
      <c r="B92" s="29" t="s">
        <v>402</v>
      </c>
      <c r="C92" s="29" t="s">
        <v>63</v>
      </c>
      <c r="D92" s="30" t="s">
        <v>54</v>
      </c>
      <c r="E92" s="30" t="s">
        <v>149</v>
      </c>
      <c r="F92" s="30" t="s">
        <v>149</v>
      </c>
    </row>
    <row r="93">
      <c r="A93" s="29" t="s">
        <v>405</v>
      </c>
      <c r="B93" s="29" t="s">
        <v>406</v>
      </c>
      <c r="C93" s="29" t="s">
        <v>63</v>
      </c>
      <c r="D93" s="30" t="s">
        <v>54</v>
      </c>
      <c r="E93" s="30" t="s">
        <v>149</v>
      </c>
      <c r="F93" s="30" t="s">
        <v>149</v>
      </c>
    </row>
    <row r="94">
      <c r="A94" s="29" t="s">
        <v>408</v>
      </c>
      <c r="B94" s="29" t="s">
        <v>409</v>
      </c>
      <c r="C94" s="29" t="s">
        <v>61</v>
      </c>
      <c r="D94" s="30" t="s">
        <v>54</v>
      </c>
      <c r="E94" s="30" t="s">
        <v>149</v>
      </c>
      <c r="F94" s="30" t="s">
        <v>149</v>
      </c>
    </row>
    <row r="95">
      <c r="A95" s="29" t="s">
        <v>411</v>
      </c>
      <c r="B95" s="29" t="s">
        <v>413</v>
      </c>
      <c r="C95" s="29" t="s">
        <v>63</v>
      </c>
      <c r="D95" s="30" t="s">
        <v>54</v>
      </c>
      <c r="E95" s="30" t="s">
        <v>149</v>
      </c>
      <c r="F95" s="30" t="s">
        <v>149</v>
      </c>
    </row>
    <row r="96">
      <c r="A96" s="29" t="s">
        <v>416</v>
      </c>
      <c r="B96" s="29" t="s">
        <v>417</v>
      </c>
      <c r="C96" s="29" t="s">
        <v>63</v>
      </c>
      <c r="D96" s="30" t="s">
        <v>44</v>
      </c>
      <c r="E96" s="29"/>
      <c r="F96" s="29"/>
    </row>
    <row r="97">
      <c r="A97" s="29" t="s">
        <v>418</v>
      </c>
      <c r="B97" s="29" t="s">
        <v>419</v>
      </c>
      <c r="C97" s="29" t="s">
        <v>63</v>
      </c>
      <c r="D97" s="30" t="s">
        <v>44</v>
      </c>
      <c r="E97" s="29"/>
      <c r="F97" s="29"/>
    </row>
    <row r="98">
      <c r="A98" s="29" t="s">
        <v>421</v>
      </c>
      <c r="B98" s="29" t="s">
        <v>422</v>
      </c>
      <c r="C98" s="29" t="s">
        <v>63</v>
      </c>
      <c r="D98" s="30" t="s">
        <v>44</v>
      </c>
      <c r="E98" s="29"/>
      <c r="F98" s="29"/>
    </row>
    <row r="99">
      <c r="A99" s="29" t="s">
        <v>423</v>
      </c>
      <c r="B99" s="29" t="s">
        <v>424</v>
      </c>
      <c r="C99" s="29" t="s">
        <v>63</v>
      </c>
      <c r="D99" s="30" t="s">
        <v>54</v>
      </c>
      <c r="E99" s="30" t="s">
        <v>149</v>
      </c>
      <c r="F99" s="30" t="s">
        <v>149</v>
      </c>
    </row>
    <row r="100">
      <c r="A100" s="29" t="s">
        <v>426</v>
      </c>
      <c r="B100" s="29" t="s">
        <v>427</v>
      </c>
      <c r="C100" s="29" t="s">
        <v>63</v>
      </c>
      <c r="D100" s="30" t="s">
        <v>44</v>
      </c>
      <c r="E100" s="29"/>
      <c r="F100" s="29"/>
    </row>
    <row r="101">
      <c r="A101" s="29" t="s">
        <v>428</v>
      </c>
      <c r="B101" s="29" t="s">
        <v>429</v>
      </c>
      <c r="C101" s="29" t="s">
        <v>56</v>
      </c>
      <c r="D101" s="30" t="s">
        <v>54</v>
      </c>
      <c r="E101" s="30" t="s">
        <v>149</v>
      </c>
      <c r="F101" s="30" t="s">
        <v>149</v>
      </c>
    </row>
    <row r="102">
      <c r="A102" s="29" t="s">
        <v>430</v>
      </c>
      <c r="B102" s="29" t="s">
        <v>424</v>
      </c>
      <c r="C102" s="29" t="s">
        <v>63</v>
      </c>
      <c r="D102" s="30" t="s">
        <v>54</v>
      </c>
      <c r="E102" s="30" t="s">
        <v>149</v>
      </c>
      <c r="F102" s="30" t="s">
        <v>149</v>
      </c>
    </row>
    <row r="103">
      <c r="A103" s="29" t="s">
        <v>437</v>
      </c>
      <c r="B103" s="29" t="s">
        <v>438</v>
      </c>
      <c r="C103" s="29" t="s">
        <v>63</v>
      </c>
      <c r="D103" s="30" t="s">
        <v>44</v>
      </c>
      <c r="E103" s="29"/>
      <c r="F103" s="29"/>
    </row>
    <row r="104">
      <c r="A104" s="29" t="s">
        <v>439</v>
      </c>
      <c r="B104" s="29" t="s">
        <v>440</v>
      </c>
      <c r="C104" s="29" t="s">
        <v>63</v>
      </c>
      <c r="D104" s="30" t="s">
        <v>54</v>
      </c>
      <c r="E104" s="30" t="s">
        <v>149</v>
      </c>
      <c r="F104" s="30" t="s">
        <v>149</v>
      </c>
    </row>
    <row r="105">
      <c r="A105" s="29" t="s">
        <v>442</v>
      </c>
      <c r="B105" s="29" t="s">
        <v>443</v>
      </c>
      <c r="C105" s="29" t="s">
        <v>63</v>
      </c>
      <c r="D105" s="30" t="s">
        <v>44</v>
      </c>
      <c r="E105" s="29"/>
      <c r="F105" s="29"/>
    </row>
    <row r="106">
      <c r="A106" s="29" t="s">
        <v>444</v>
      </c>
      <c r="B106" s="29" t="s">
        <v>445</v>
      </c>
      <c r="C106" s="29" t="s">
        <v>63</v>
      </c>
      <c r="D106" s="30" t="s">
        <v>54</v>
      </c>
      <c r="E106" s="30" t="s">
        <v>149</v>
      </c>
      <c r="F106" s="30" t="s">
        <v>149</v>
      </c>
    </row>
    <row r="107">
      <c r="A107" s="29" t="s">
        <v>447</v>
      </c>
      <c r="B107" s="29" t="s">
        <v>448</v>
      </c>
      <c r="C107" s="29" t="s">
        <v>63</v>
      </c>
      <c r="D107" s="30" t="s">
        <v>44</v>
      </c>
      <c r="E107" s="29"/>
      <c r="F107" s="29"/>
    </row>
    <row r="108">
      <c r="A108" s="29" t="s">
        <v>451</v>
      </c>
      <c r="B108" s="29" t="s">
        <v>452</v>
      </c>
      <c r="C108" s="29" t="s">
        <v>63</v>
      </c>
      <c r="D108" s="30" t="s">
        <v>54</v>
      </c>
      <c r="E108" s="30" t="s">
        <v>149</v>
      </c>
      <c r="F108" s="30" t="s">
        <v>149</v>
      </c>
    </row>
    <row r="109">
      <c r="A109" s="30" t="s">
        <v>454</v>
      </c>
      <c r="B109" s="30" t="s">
        <v>455</v>
      </c>
      <c r="C109" s="30" t="s">
        <v>457</v>
      </c>
      <c r="D109" s="30" t="s">
        <v>54</v>
      </c>
      <c r="E109" s="30" t="s">
        <v>149</v>
      </c>
      <c r="F109" s="30" t="s">
        <v>149</v>
      </c>
    </row>
    <row r="110">
      <c r="A110" s="30" t="s">
        <v>458</v>
      </c>
      <c r="B110" s="30" t="s">
        <v>459</v>
      </c>
      <c r="C110" s="30" t="s">
        <v>457</v>
      </c>
      <c r="D110" s="30" t="s">
        <v>54</v>
      </c>
      <c r="E110" s="30" t="s">
        <v>149</v>
      </c>
      <c r="F110" s="30" t="s">
        <v>149</v>
      </c>
    </row>
    <row r="111">
      <c r="A111" s="30" t="s">
        <v>460</v>
      </c>
      <c r="B111" s="30" t="s">
        <v>461</v>
      </c>
      <c r="C111" s="30" t="s">
        <v>457</v>
      </c>
      <c r="D111" s="30" t="s">
        <v>44</v>
      </c>
      <c r="E111" s="29"/>
      <c r="F111" s="29"/>
    </row>
    <row r="112">
      <c r="A112" s="30" t="s">
        <v>462</v>
      </c>
      <c r="B112" s="30" t="s">
        <v>463</v>
      </c>
      <c r="C112" s="30" t="s">
        <v>457</v>
      </c>
      <c r="D112" s="30" t="s">
        <v>54</v>
      </c>
      <c r="E112" s="30" t="s">
        <v>149</v>
      </c>
      <c r="F112" s="30" t="s">
        <v>149</v>
      </c>
    </row>
    <row r="113">
      <c r="A113" s="30" t="s">
        <v>464</v>
      </c>
      <c r="B113" s="30" t="s">
        <v>465</v>
      </c>
      <c r="C113" s="30" t="s">
        <v>466</v>
      </c>
      <c r="D113" s="30" t="s">
        <v>44</v>
      </c>
      <c r="E113" s="29"/>
      <c r="F113" s="29"/>
    </row>
    <row r="114">
      <c r="A114" s="30" t="s">
        <v>467</v>
      </c>
      <c r="B114" s="30" t="s">
        <v>468</v>
      </c>
      <c r="C114" s="30" t="s">
        <v>457</v>
      </c>
      <c r="D114" s="30" t="s">
        <v>44</v>
      </c>
      <c r="E114" s="29"/>
      <c r="F114" s="29"/>
    </row>
    <row r="115">
      <c r="A115" s="30" t="s">
        <v>469</v>
      </c>
      <c r="B115" s="30" t="s">
        <v>470</v>
      </c>
      <c r="C115" s="30" t="s">
        <v>457</v>
      </c>
      <c r="D115" s="30" t="s">
        <v>54</v>
      </c>
      <c r="E115" s="30" t="s">
        <v>149</v>
      </c>
      <c r="F115" s="30" t="s">
        <v>149</v>
      </c>
    </row>
    <row r="116">
      <c r="A116" s="30" t="s">
        <v>472</v>
      </c>
      <c r="B116" s="30" t="s">
        <v>473</v>
      </c>
      <c r="C116" s="30" t="s">
        <v>457</v>
      </c>
      <c r="D116" s="30" t="s">
        <v>54</v>
      </c>
      <c r="E116" s="30" t="s">
        <v>149</v>
      </c>
      <c r="F116" s="30" t="s">
        <v>149</v>
      </c>
    </row>
    <row r="117">
      <c r="A117" s="30" t="s">
        <v>475</v>
      </c>
      <c r="B117" s="30" t="s">
        <v>476</v>
      </c>
      <c r="C117" s="30" t="s">
        <v>457</v>
      </c>
      <c r="D117" s="30" t="s">
        <v>54</v>
      </c>
      <c r="E117" s="30" t="s">
        <v>149</v>
      </c>
      <c r="F117" s="30" t="s">
        <v>149</v>
      </c>
    </row>
    <row r="118">
      <c r="A118" s="30" t="s">
        <v>477</v>
      </c>
      <c r="B118" s="30" t="s">
        <v>478</v>
      </c>
      <c r="C118" s="30" t="s">
        <v>466</v>
      </c>
      <c r="D118" s="30" t="s">
        <v>44</v>
      </c>
      <c r="E118" s="29"/>
      <c r="F118" s="29"/>
    </row>
    <row r="119">
      <c r="A119" s="30" t="s">
        <v>479</v>
      </c>
      <c r="B119" s="30" t="s">
        <v>480</v>
      </c>
      <c r="C119" s="30" t="s">
        <v>457</v>
      </c>
      <c r="D119" s="30" t="s">
        <v>54</v>
      </c>
      <c r="E119" s="30" t="s">
        <v>149</v>
      </c>
      <c r="F119" s="30" t="s">
        <v>149</v>
      </c>
    </row>
    <row r="120">
      <c r="A120" s="30" t="s">
        <v>481</v>
      </c>
      <c r="B120" s="30" t="s">
        <v>482</v>
      </c>
      <c r="C120" s="30" t="s">
        <v>457</v>
      </c>
      <c r="D120" s="30" t="s">
        <v>54</v>
      </c>
      <c r="E120" s="30" t="s">
        <v>149</v>
      </c>
      <c r="F120" s="30" t="s">
        <v>149</v>
      </c>
    </row>
    <row r="121">
      <c r="A121" s="30" t="s">
        <v>484</v>
      </c>
      <c r="B121" s="30" t="s">
        <v>485</v>
      </c>
      <c r="C121" s="30" t="s">
        <v>466</v>
      </c>
      <c r="D121" s="30" t="s">
        <v>54</v>
      </c>
      <c r="E121" s="30" t="s">
        <v>149</v>
      </c>
      <c r="F121" s="30" t="s">
        <v>149</v>
      </c>
    </row>
    <row r="122">
      <c r="A122" s="30" t="s">
        <v>489</v>
      </c>
      <c r="B122" s="30" t="s">
        <v>491</v>
      </c>
      <c r="C122" s="30" t="s">
        <v>457</v>
      </c>
      <c r="D122" s="30" t="s">
        <v>54</v>
      </c>
      <c r="E122" s="30" t="s">
        <v>149</v>
      </c>
      <c r="F122" s="30" t="s">
        <v>149</v>
      </c>
    </row>
    <row r="123">
      <c r="A123" s="30" t="s">
        <v>492</v>
      </c>
      <c r="B123" s="30" t="s">
        <v>493</v>
      </c>
      <c r="C123" s="30" t="s">
        <v>457</v>
      </c>
      <c r="D123" s="30" t="s">
        <v>54</v>
      </c>
      <c r="E123" s="30" t="s">
        <v>149</v>
      </c>
      <c r="F123" s="30" t="s">
        <v>149</v>
      </c>
    </row>
    <row r="124">
      <c r="A124" s="30" t="s">
        <v>494</v>
      </c>
      <c r="B124" s="30" t="s">
        <v>495</v>
      </c>
      <c r="C124" s="30" t="s">
        <v>466</v>
      </c>
      <c r="D124" s="30" t="s">
        <v>54</v>
      </c>
      <c r="E124" s="30" t="s">
        <v>149</v>
      </c>
      <c r="F124" s="30" t="s">
        <v>149</v>
      </c>
    </row>
    <row r="125">
      <c r="A125" s="30" t="s">
        <v>496</v>
      </c>
      <c r="B125" s="30" t="s">
        <v>497</v>
      </c>
      <c r="C125" s="30" t="s">
        <v>466</v>
      </c>
      <c r="D125" s="30" t="s">
        <v>54</v>
      </c>
      <c r="E125" s="30" t="s">
        <v>149</v>
      </c>
      <c r="F125" s="30" t="s">
        <v>149</v>
      </c>
    </row>
    <row r="126">
      <c r="A126" s="30" t="s">
        <v>498</v>
      </c>
      <c r="B126" s="30" t="s">
        <v>499</v>
      </c>
      <c r="C126" s="30" t="s">
        <v>457</v>
      </c>
      <c r="D126" s="30" t="s">
        <v>44</v>
      </c>
      <c r="E126" s="29"/>
      <c r="F126" s="29"/>
    </row>
    <row r="127">
      <c r="A127" s="30" t="s">
        <v>501</v>
      </c>
      <c r="B127" s="30" t="s">
        <v>502</v>
      </c>
      <c r="C127" s="30" t="s">
        <v>457</v>
      </c>
      <c r="D127" s="30" t="s">
        <v>54</v>
      </c>
      <c r="E127" s="30" t="s">
        <v>149</v>
      </c>
      <c r="F127" s="30" t="s">
        <v>149</v>
      </c>
    </row>
    <row r="128">
      <c r="A128" s="30" t="s">
        <v>503</v>
      </c>
      <c r="B128" s="30" t="s">
        <v>504</v>
      </c>
      <c r="C128" s="30" t="s">
        <v>457</v>
      </c>
      <c r="D128" s="30" t="s">
        <v>54</v>
      </c>
      <c r="E128" s="30" t="s">
        <v>149</v>
      </c>
      <c r="F128" s="30" t="s">
        <v>149</v>
      </c>
    </row>
    <row r="129">
      <c r="A129" s="30" t="s">
        <v>505</v>
      </c>
      <c r="B129" s="30" t="s">
        <v>507</v>
      </c>
      <c r="C129" s="30" t="s">
        <v>466</v>
      </c>
      <c r="D129" s="30" t="s">
        <v>54</v>
      </c>
      <c r="E129" s="30" t="s">
        <v>149</v>
      </c>
      <c r="F129" s="30" t="s">
        <v>149</v>
      </c>
    </row>
    <row r="130">
      <c r="A130" s="30" t="s">
        <v>508</v>
      </c>
      <c r="B130" s="30" t="s">
        <v>509</v>
      </c>
      <c r="C130" s="30" t="s">
        <v>457</v>
      </c>
      <c r="D130" s="30" t="s">
        <v>44</v>
      </c>
      <c r="E130" s="29"/>
      <c r="F130" s="29"/>
    </row>
    <row r="131">
      <c r="A131" s="30" t="s">
        <v>510</v>
      </c>
      <c r="B131" s="30" t="s">
        <v>511</v>
      </c>
      <c r="C131" s="30" t="s">
        <v>457</v>
      </c>
      <c r="D131" s="30" t="s">
        <v>54</v>
      </c>
      <c r="E131" s="30" t="s">
        <v>149</v>
      </c>
      <c r="F131" s="30" t="s">
        <v>149</v>
      </c>
    </row>
    <row r="132">
      <c r="A132" s="30" t="s">
        <v>512</v>
      </c>
      <c r="B132" s="30" t="s">
        <v>513</v>
      </c>
      <c r="C132" s="30" t="s">
        <v>466</v>
      </c>
      <c r="D132" s="30" t="s">
        <v>54</v>
      </c>
      <c r="E132" s="30" t="s">
        <v>149</v>
      </c>
      <c r="F132" s="30" t="s">
        <v>149</v>
      </c>
    </row>
    <row r="133">
      <c r="A133" s="30" t="s">
        <v>515</v>
      </c>
      <c r="B133" s="30" t="s">
        <v>516</v>
      </c>
      <c r="C133" s="30" t="s">
        <v>466</v>
      </c>
      <c r="D133" s="30" t="s">
        <v>54</v>
      </c>
      <c r="E133" s="30" t="s">
        <v>149</v>
      </c>
      <c r="F133" s="30" t="s">
        <v>149</v>
      </c>
    </row>
    <row r="134">
      <c r="A134" s="30" t="s">
        <v>518</v>
      </c>
      <c r="B134" s="30" t="s">
        <v>519</v>
      </c>
      <c r="C134" s="30" t="s">
        <v>457</v>
      </c>
      <c r="D134" s="30" t="s">
        <v>54</v>
      </c>
      <c r="E134" s="30" t="s">
        <v>149</v>
      </c>
      <c r="F134" s="30" t="s">
        <v>149</v>
      </c>
    </row>
    <row r="135">
      <c r="A135" s="30" t="s">
        <v>520</v>
      </c>
      <c r="B135" s="30" t="s">
        <v>521</v>
      </c>
      <c r="C135" s="30" t="s">
        <v>457</v>
      </c>
      <c r="D135" s="30" t="s">
        <v>54</v>
      </c>
      <c r="E135" s="30" t="s">
        <v>149</v>
      </c>
      <c r="F135" s="30" t="s">
        <v>149</v>
      </c>
    </row>
    <row r="136">
      <c r="A136" s="30" t="s">
        <v>523</v>
      </c>
      <c r="B136" s="30" t="s">
        <v>524</v>
      </c>
      <c r="C136" s="30" t="s">
        <v>466</v>
      </c>
      <c r="D136" s="30" t="s">
        <v>44</v>
      </c>
      <c r="E136" s="29"/>
      <c r="F136" s="29"/>
    </row>
    <row r="137">
      <c r="A137" s="30" t="s">
        <v>525</v>
      </c>
      <c r="B137" s="30" t="s">
        <v>526</v>
      </c>
      <c r="C137" s="30" t="s">
        <v>457</v>
      </c>
      <c r="D137" s="30" t="s">
        <v>54</v>
      </c>
      <c r="E137" s="30" t="s">
        <v>149</v>
      </c>
      <c r="F137" s="30" t="s">
        <v>149</v>
      </c>
    </row>
    <row r="138">
      <c r="A138" s="30" t="s">
        <v>527</v>
      </c>
      <c r="B138" s="30" t="s">
        <v>528</v>
      </c>
      <c r="C138" s="30" t="s">
        <v>457</v>
      </c>
      <c r="D138" s="30" t="s">
        <v>54</v>
      </c>
      <c r="E138" s="30" t="s">
        <v>149</v>
      </c>
      <c r="F138" s="30" t="s">
        <v>149</v>
      </c>
    </row>
    <row r="139">
      <c r="A139" s="30" t="s">
        <v>529</v>
      </c>
      <c r="B139" s="30" t="s">
        <v>530</v>
      </c>
      <c r="C139" s="30" t="s">
        <v>466</v>
      </c>
      <c r="D139" s="30" t="s">
        <v>54</v>
      </c>
      <c r="E139" s="30" t="s">
        <v>149</v>
      </c>
      <c r="F139" s="30" t="s">
        <v>149</v>
      </c>
    </row>
    <row r="140">
      <c r="A140" s="30" t="s">
        <v>531</v>
      </c>
      <c r="B140" s="30" t="s">
        <v>532</v>
      </c>
      <c r="C140" s="30" t="s">
        <v>457</v>
      </c>
      <c r="D140" s="30" t="s">
        <v>54</v>
      </c>
      <c r="E140" s="30" t="s">
        <v>149</v>
      </c>
      <c r="F140" s="30" t="s">
        <v>149</v>
      </c>
    </row>
    <row r="141">
      <c r="A141" s="30" t="s">
        <v>533</v>
      </c>
      <c r="B141" s="30" t="s">
        <v>534</v>
      </c>
      <c r="C141" s="30" t="s">
        <v>466</v>
      </c>
      <c r="D141" s="30" t="s">
        <v>54</v>
      </c>
      <c r="E141" s="30" t="s">
        <v>149</v>
      </c>
      <c r="F141" s="30" t="s">
        <v>149</v>
      </c>
    </row>
    <row r="142">
      <c r="A142" s="30" t="s">
        <v>535</v>
      </c>
      <c r="B142" s="30" t="s">
        <v>536</v>
      </c>
      <c r="C142" s="30" t="s">
        <v>457</v>
      </c>
      <c r="D142" s="30" t="s">
        <v>54</v>
      </c>
      <c r="E142" s="30" t="s">
        <v>149</v>
      </c>
      <c r="F142" s="30" t="s">
        <v>149</v>
      </c>
    </row>
    <row r="143">
      <c r="A143" s="30" t="s">
        <v>538</v>
      </c>
      <c r="B143" s="30" t="s">
        <v>539</v>
      </c>
      <c r="C143" s="30" t="s">
        <v>466</v>
      </c>
      <c r="D143" s="30" t="s">
        <v>54</v>
      </c>
      <c r="E143" s="30" t="s">
        <v>149</v>
      </c>
      <c r="F143" s="30" t="s">
        <v>149</v>
      </c>
    </row>
    <row r="144">
      <c r="A144" s="30" t="s">
        <v>541</v>
      </c>
      <c r="B144" s="30" t="s">
        <v>542</v>
      </c>
      <c r="C144" s="30" t="s">
        <v>457</v>
      </c>
      <c r="D144" s="30" t="s">
        <v>54</v>
      </c>
      <c r="E144" s="30" t="s">
        <v>149</v>
      </c>
      <c r="F144" s="30" t="s">
        <v>149</v>
      </c>
    </row>
    <row r="145">
      <c r="A145" s="30" t="s">
        <v>543</v>
      </c>
      <c r="B145" s="30" t="s">
        <v>544</v>
      </c>
      <c r="C145" s="30" t="s">
        <v>466</v>
      </c>
      <c r="D145" s="30" t="s">
        <v>54</v>
      </c>
      <c r="E145" s="30" t="s">
        <v>149</v>
      </c>
      <c r="F145" s="30" t="s">
        <v>149</v>
      </c>
    </row>
    <row r="146">
      <c r="A146" s="30" t="s">
        <v>545</v>
      </c>
      <c r="B146" s="30" t="s">
        <v>546</v>
      </c>
      <c r="C146" s="30" t="s">
        <v>457</v>
      </c>
      <c r="D146" s="30" t="s">
        <v>44</v>
      </c>
      <c r="E146" s="29"/>
      <c r="F146" s="29"/>
    </row>
    <row r="147">
      <c r="A147" s="30" t="s">
        <v>547</v>
      </c>
      <c r="B147" s="30" t="s">
        <v>548</v>
      </c>
      <c r="C147" s="30" t="s">
        <v>457</v>
      </c>
      <c r="D147" s="30" t="s">
        <v>54</v>
      </c>
      <c r="E147" s="30" t="s">
        <v>149</v>
      </c>
      <c r="F147" s="30" t="s">
        <v>149</v>
      </c>
    </row>
    <row r="148">
      <c r="A148" s="30" t="s">
        <v>151</v>
      </c>
      <c r="B148" s="30" t="s">
        <v>156</v>
      </c>
      <c r="C148" s="30" t="s">
        <v>457</v>
      </c>
      <c r="D148" s="30" t="s">
        <v>54</v>
      </c>
      <c r="E148" s="30" t="s">
        <v>149</v>
      </c>
      <c r="F148" s="30" t="s">
        <v>149</v>
      </c>
    </row>
    <row r="149">
      <c r="A149" s="30" t="s">
        <v>45</v>
      </c>
      <c r="B149" s="30" t="s">
        <v>550</v>
      </c>
      <c r="C149" s="30" t="s">
        <v>457</v>
      </c>
      <c r="D149" s="30" t="s">
        <v>54</v>
      </c>
      <c r="E149" s="30" t="s">
        <v>149</v>
      </c>
      <c r="F149" s="30" t="s">
        <v>149</v>
      </c>
    </row>
    <row r="150">
      <c r="A150" s="30" t="s">
        <v>553</v>
      </c>
      <c r="B150" s="30" t="s">
        <v>554</v>
      </c>
      <c r="C150" s="30" t="s">
        <v>457</v>
      </c>
      <c r="D150" s="30" t="s">
        <v>54</v>
      </c>
      <c r="E150" s="30" t="s">
        <v>149</v>
      </c>
      <c r="F150" s="30" t="s">
        <v>149</v>
      </c>
    </row>
    <row r="151">
      <c r="A151" s="30" t="s">
        <v>556</v>
      </c>
      <c r="B151" s="30" t="s">
        <v>557</v>
      </c>
      <c r="C151" s="30" t="s">
        <v>457</v>
      </c>
      <c r="D151" s="30" t="s">
        <v>54</v>
      </c>
      <c r="E151" s="30" t="s">
        <v>149</v>
      </c>
      <c r="F151" s="30" t="s">
        <v>149</v>
      </c>
    </row>
    <row r="152">
      <c r="A152" s="30" t="s">
        <v>558</v>
      </c>
      <c r="B152" s="30" t="s">
        <v>559</v>
      </c>
      <c r="C152" s="30" t="s">
        <v>457</v>
      </c>
      <c r="D152" s="30" t="s">
        <v>54</v>
      </c>
      <c r="E152" s="30" t="s">
        <v>149</v>
      </c>
      <c r="F152" s="30" t="s">
        <v>149</v>
      </c>
    </row>
    <row r="153">
      <c r="A153" s="30" t="s">
        <v>560</v>
      </c>
      <c r="B153" s="30" t="s">
        <v>561</v>
      </c>
      <c r="C153" s="30" t="s">
        <v>457</v>
      </c>
      <c r="D153" s="30" t="s">
        <v>54</v>
      </c>
      <c r="E153" s="30" t="s">
        <v>149</v>
      </c>
      <c r="F153" s="30" t="s">
        <v>149</v>
      </c>
    </row>
    <row r="154">
      <c r="A154" s="30" t="s">
        <v>562</v>
      </c>
      <c r="B154" s="30" t="s">
        <v>563</v>
      </c>
      <c r="C154" s="30" t="s">
        <v>457</v>
      </c>
      <c r="D154" s="30" t="s">
        <v>44</v>
      </c>
      <c r="E154" s="29"/>
      <c r="F154" s="29"/>
    </row>
    <row r="155">
      <c r="A155" s="30" t="s">
        <v>564</v>
      </c>
      <c r="B155" s="30" t="s">
        <v>565</v>
      </c>
      <c r="C155" s="30" t="s">
        <v>457</v>
      </c>
      <c r="D155" s="30" t="s">
        <v>54</v>
      </c>
      <c r="E155" s="30" t="s">
        <v>149</v>
      </c>
      <c r="F155" s="30" t="s">
        <v>149</v>
      </c>
    </row>
    <row r="156">
      <c r="A156" s="30" t="s">
        <v>566</v>
      </c>
      <c r="B156" s="30" t="s">
        <v>567</v>
      </c>
      <c r="C156" s="30" t="s">
        <v>457</v>
      </c>
      <c r="D156" s="30" t="s">
        <v>54</v>
      </c>
      <c r="E156" s="30" t="s">
        <v>149</v>
      </c>
      <c r="F156" s="30" t="s">
        <v>149</v>
      </c>
    </row>
    <row r="157">
      <c r="A157" s="30" t="s">
        <v>568</v>
      </c>
      <c r="B157" s="30" t="s">
        <v>569</v>
      </c>
      <c r="C157" s="30" t="s">
        <v>457</v>
      </c>
      <c r="D157" s="30" t="s">
        <v>54</v>
      </c>
      <c r="E157" s="30" t="s">
        <v>149</v>
      </c>
      <c r="F157" s="30" t="s">
        <v>149</v>
      </c>
    </row>
    <row r="158">
      <c r="A158" s="30" t="s">
        <v>571</v>
      </c>
      <c r="B158" s="30" t="s">
        <v>572</v>
      </c>
      <c r="C158" s="30" t="s">
        <v>457</v>
      </c>
      <c r="D158" s="30" t="s">
        <v>54</v>
      </c>
      <c r="E158" s="30" t="s">
        <v>149</v>
      </c>
      <c r="F158" s="30" t="s">
        <v>149</v>
      </c>
    </row>
    <row r="159">
      <c r="A159" s="30" t="s">
        <v>573</v>
      </c>
      <c r="B159" s="30" t="s">
        <v>574</v>
      </c>
      <c r="C159" s="30" t="s">
        <v>457</v>
      </c>
      <c r="D159" s="30" t="s">
        <v>54</v>
      </c>
      <c r="E159" s="30" t="s">
        <v>149</v>
      </c>
      <c r="F159" s="30" t="s">
        <v>149</v>
      </c>
    </row>
    <row r="160">
      <c r="A160" s="30" t="s">
        <v>575</v>
      </c>
      <c r="B160" s="30" t="s">
        <v>576</v>
      </c>
      <c r="C160" s="30" t="s">
        <v>457</v>
      </c>
      <c r="D160" s="30" t="s">
        <v>54</v>
      </c>
      <c r="E160" s="30" t="s">
        <v>149</v>
      </c>
      <c r="F160" s="30" t="s">
        <v>149</v>
      </c>
    </row>
    <row r="161">
      <c r="A161" s="30" t="s">
        <v>579</v>
      </c>
      <c r="B161" s="30" t="s">
        <v>580</v>
      </c>
      <c r="C161" s="30" t="s">
        <v>457</v>
      </c>
      <c r="D161" s="30" t="s">
        <v>44</v>
      </c>
      <c r="E161" s="29"/>
      <c r="F161" s="29"/>
    </row>
    <row r="162">
      <c r="A162" s="30" t="s">
        <v>584</v>
      </c>
      <c r="B162" s="30" t="s">
        <v>585</v>
      </c>
      <c r="C162" s="30" t="s">
        <v>457</v>
      </c>
      <c r="D162" s="30" t="s">
        <v>54</v>
      </c>
      <c r="E162" s="30" t="s">
        <v>149</v>
      </c>
      <c r="F162" s="30" t="s">
        <v>149</v>
      </c>
    </row>
    <row r="163">
      <c r="A163" s="30" t="s">
        <v>586</v>
      </c>
      <c r="B163" s="30" t="s">
        <v>587</v>
      </c>
      <c r="C163" s="30" t="s">
        <v>457</v>
      </c>
      <c r="D163" s="30" t="s">
        <v>54</v>
      </c>
      <c r="E163" s="30" t="s">
        <v>149</v>
      </c>
      <c r="F163" s="30" t="s">
        <v>149</v>
      </c>
    </row>
    <row r="164">
      <c r="A164" s="30" t="s">
        <v>588</v>
      </c>
      <c r="B164" s="30" t="s">
        <v>590</v>
      </c>
      <c r="C164" s="30" t="s">
        <v>466</v>
      </c>
      <c r="D164" s="30" t="s">
        <v>54</v>
      </c>
      <c r="E164" s="30" t="s">
        <v>149</v>
      </c>
      <c r="F164" s="30" t="s">
        <v>149</v>
      </c>
    </row>
    <row r="165">
      <c r="A165" s="30" t="s">
        <v>591</v>
      </c>
      <c r="B165" s="36" t="s">
        <v>592</v>
      </c>
      <c r="C165" s="30" t="s">
        <v>457</v>
      </c>
      <c r="D165" s="30" t="s">
        <v>54</v>
      </c>
      <c r="E165" s="30" t="s">
        <v>149</v>
      </c>
      <c r="F165" s="30" t="s">
        <v>149</v>
      </c>
    </row>
    <row r="166">
      <c r="A166" s="30" t="s">
        <v>598</v>
      </c>
      <c r="B166" s="30" t="s">
        <v>599</v>
      </c>
      <c r="C166" s="30" t="s">
        <v>466</v>
      </c>
      <c r="D166" s="30" t="s">
        <v>44</v>
      </c>
      <c r="E166" s="29"/>
      <c r="F166" s="29"/>
    </row>
    <row r="167">
      <c r="A167" s="30" t="s">
        <v>600</v>
      </c>
      <c r="B167" s="30" t="s">
        <v>602</v>
      </c>
      <c r="C167" s="30" t="s">
        <v>457</v>
      </c>
      <c r="D167" s="30" t="s">
        <v>54</v>
      </c>
      <c r="E167" s="30" t="s">
        <v>149</v>
      </c>
      <c r="F167" s="30" t="s">
        <v>149</v>
      </c>
    </row>
    <row r="168">
      <c r="A168" s="30" t="s">
        <v>605</v>
      </c>
      <c r="B168" s="30" t="s">
        <v>606</v>
      </c>
      <c r="C168" s="30" t="s">
        <v>457</v>
      </c>
      <c r="D168" s="30" t="s">
        <v>54</v>
      </c>
      <c r="E168" s="30" t="s">
        <v>149</v>
      </c>
      <c r="F168" s="30" t="s">
        <v>149</v>
      </c>
    </row>
    <row r="169">
      <c r="A169" s="30" t="s">
        <v>608</v>
      </c>
      <c r="B169" s="30" t="s">
        <v>609</v>
      </c>
      <c r="C169" s="30" t="s">
        <v>457</v>
      </c>
      <c r="D169" s="30" t="s">
        <v>54</v>
      </c>
      <c r="E169" s="30" t="s">
        <v>149</v>
      </c>
      <c r="F169" s="30" t="s">
        <v>149</v>
      </c>
    </row>
    <row r="170">
      <c r="A170" s="30" t="s">
        <v>610</v>
      </c>
      <c r="B170" s="30" t="s">
        <v>611</v>
      </c>
      <c r="C170" s="30" t="s">
        <v>466</v>
      </c>
      <c r="D170" s="30" t="s">
        <v>44</v>
      </c>
      <c r="E170" s="29"/>
      <c r="F170" s="29"/>
    </row>
    <row r="171">
      <c r="A171" s="30" t="s">
        <v>612</v>
      </c>
      <c r="B171" s="30" t="s">
        <v>613</v>
      </c>
      <c r="C171" s="30" t="s">
        <v>457</v>
      </c>
      <c r="D171" s="30" t="s">
        <v>44</v>
      </c>
      <c r="E171" s="29"/>
      <c r="F171" s="29"/>
    </row>
    <row r="172">
      <c r="A172" s="30" t="s">
        <v>614</v>
      </c>
      <c r="B172" s="30" t="s">
        <v>615</v>
      </c>
      <c r="C172" s="30" t="s">
        <v>457</v>
      </c>
      <c r="D172" s="30" t="s">
        <v>44</v>
      </c>
      <c r="E172" s="29"/>
      <c r="F172" s="29"/>
    </row>
    <row r="173">
      <c r="A173" s="30" t="s">
        <v>616</v>
      </c>
      <c r="B173" s="30" t="s">
        <v>617</v>
      </c>
      <c r="C173" s="30" t="s">
        <v>466</v>
      </c>
      <c r="D173" s="30" t="s">
        <v>44</v>
      </c>
      <c r="E173" s="29"/>
      <c r="F173" s="29"/>
    </row>
    <row r="174">
      <c r="A174" s="30" t="s">
        <v>619</v>
      </c>
      <c r="B174" s="30" t="s">
        <v>620</v>
      </c>
      <c r="C174" s="30" t="s">
        <v>466</v>
      </c>
      <c r="D174" s="30" t="s">
        <v>54</v>
      </c>
      <c r="E174" s="30" t="s">
        <v>149</v>
      </c>
      <c r="F174" s="30" t="s">
        <v>149</v>
      </c>
    </row>
    <row r="175">
      <c r="A175" s="30" t="s">
        <v>621</v>
      </c>
      <c r="B175" s="30" t="s">
        <v>622</v>
      </c>
      <c r="C175" s="30" t="s">
        <v>457</v>
      </c>
      <c r="D175" s="30" t="s">
        <v>54</v>
      </c>
      <c r="E175" s="30" t="s">
        <v>149</v>
      </c>
      <c r="F175" s="30" t="s">
        <v>149</v>
      </c>
    </row>
    <row r="176">
      <c r="A176" s="30" t="s">
        <v>625</v>
      </c>
      <c r="B176" s="30" t="s">
        <v>626</v>
      </c>
      <c r="C176" s="30" t="s">
        <v>457</v>
      </c>
      <c r="D176" s="30" t="s">
        <v>54</v>
      </c>
      <c r="E176" s="30" t="s">
        <v>149</v>
      </c>
      <c r="F176" s="30" t="s">
        <v>149</v>
      </c>
    </row>
    <row r="177">
      <c r="A177" s="30" t="s">
        <v>629</v>
      </c>
      <c r="B177" s="30" t="s">
        <v>630</v>
      </c>
      <c r="C177" s="30" t="s">
        <v>457</v>
      </c>
      <c r="D177" s="30" t="s">
        <v>54</v>
      </c>
      <c r="E177" s="30" t="s">
        <v>149</v>
      </c>
      <c r="F177" s="30" t="s">
        <v>149</v>
      </c>
    </row>
    <row r="178">
      <c r="A178" s="30" t="s">
        <v>633</v>
      </c>
      <c r="B178" s="30" t="s">
        <v>634</v>
      </c>
      <c r="C178" s="30" t="s">
        <v>457</v>
      </c>
      <c r="D178" s="30" t="s">
        <v>54</v>
      </c>
      <c r="E178" s="30" t="s">
        <v>149</v>
      </c>
      <c r="F178" s="30" t="s">
        <v>149</v>
      </c>
    </row>
    <row r="179">
      <c r="A179" s="30" t="s">
        <v>636</v>
      </c>
      <c r="B179" s="30" t="s">
        <v>637</v>
      </c>
      <c r="C179" s="30" t="s">
        <v>466</v>
      </c>
      <c r="D179" s="30" t="s">
        <v>54</v>
      </c>
      <c r="E179" s="30" t="s">
        <v>149</v>
      </c>
      <c r="F179" s="30" t="s">
        <v>149</v>
      </c>
    </row>
    <row r="180">
      <c r="A180" s="30" t="s">
        <v>638</v>
      </c>
      <c r="B180" s="30" t="s">
        <v>639</v>
      </c>
      <c r="C180" s="30" t="s">
        <v>457</v>
      </c>
      <c r="D180" s="30" t="s">
        <v>54</v>
      </c>
      <c r="E180" s="30" t="s">
        <v>149</v>
      </c>
      <c r="F180" s="30" t="s">
        <v>149</v>
      </c>
    </row>
    <row r="181">
      <c r="A181" s="30" t="s">
        <v>640</v>
      </c>
      <c r="B181" s="30" t="s">
        <v>641</v>
      </c>
      <c r="C181" s="30" t="s">
        <v>457</v>
      </c>
      <c r="D181" s="30" t="s">
        <v>54</v>
      </c>
      <c r="E181" s="30" t="s">
        <v>149</v>
      </c>
      <c r="F181" s="30" t="s">
        <v>149</v>
      </c>
    </row>
    <row r="182">
      <c r="A182" s="30" t="s">
        <v>643</v>
      </c>
      <c r="B182" s="30" t="s">
        <v>644</v>
      </c>
      <c r="C182" s="30" t="s">
        <v>457</v>
      </c>
      <c r="D182" s="30" t="s">
        <v>54</v>
      </c>
      <c r="E182" s="30" t="s">
        <v>149</v>
      </c>
      <c r="F182" s="30" t="s">
        <v>149</v>
      </c>
    </row>
    <row r="183">
      <c r="A183" s="30" t="s">
        <v>645</v>
      </c>
      <c r="B183" s="30" t="s">
        <v>646</v>
      </c>
      <c r="C183" s="30" t="s">
        <v>457</v>
      </c>
      <c r="D183" s="30" t="s">
        <v>54</v>
      </c>
      <c r="E183" s="30" t="s">
        <v>149</v>
      </c>
      <c r="F183" s="30" t="s">
        <v>149</v>
      </c>
    </row>
    <row r="184">
      <c r="A184" s="30" t="s">
        <v>647</v>
      </c>
      <c r="B184" s="30" t="s">
        <v>648</v>
      </c>
      <c r="C184" s="30" t="s">
        <v>457</v>
      </c>
      <c r="D184" s="30" t="s">
        <v>54</v>
      </c>
      <c r="E184" s="30" t="s">
        <v>149</v>
      </c>
      <c r="F184" s="30" t="s">
        <v>149</v>
      </c>
    </row>
    <row r="185">
      <c r="A185" s="30" t="s">
        <v>651</v>
      </c>
      <c r="B185" s="30" t="s">
        <v>652</v>
      </c>
      <c r="C185" s="30" t="s">
        <v>457</v>
      </c>
      <c r="D185" s="30" t="s">
        <v>54</v>
      </c>
      <c r="E185" s="30" t="s">
        <v>149</v>
      </c>
      <c r="F185" s="30" t="s">
        <v>149</v>
      </c>
    </row>
    <row r="186">
      <c r="A186" s="30" t="s">
        <v>654</v>
      </c>
      <c r="B186" s="30" t="s">
        <v>655</v>
      </c>
      <c r="C186" s="30" t="s">
        <v>466</v>
      </c>
      <c r="D186" s="30" t="s">
        <v>54</v>
      </c>
      <c r="E186" s="30" t="s">
        <v>149</v>
      </c>
      <c r="F186" s="30" t="s">
        <v>149</v>
      </c>
    </row>
    <row r="187">
      <c r="A187" s="30" t="s">
        <v>656</v>
      </c>
      <c r="B187" s="30" t="s">
        <v>657</v>
      </c>
      <c r="C187" s="30" t="s">
        <v>466</v>
      </c>
      <c r="D187" s="30" t="s">
        <v>54</v>
      </c>
      <c r="E187" s="30" t="s">
        <v>149</v>
      </c>
      <c r="F187" s="30" t="s">
        <v>149</v>
      </c>
    </row>
    <row r="188">
      <c r="A188" s="30" t="s">
        <v>658</v>
      </c>
      <c r="B188" s="30" t="s">
        <v>659</v>
      </c>
      <c r="C188" s="30" t="s">
        <v>457</v>
      </c>
      <c r="D188" s="30" t="s">
        <v>44</v>
      </c>
      <c r="E188" s="29"/>
      <c r="F188" s="29"/>
    </row>
    <row r="189">
      <c r="A189" s="30" t="s">
        <v>660</v>
      </c>
      <c r="B189" s="30" t="s">
        <v>661</v>
      </c>
      <c r="C189" s="30" t="s">
        <v>457</v>
      </c>
      <c r="D189" s="30" t="s">
        <v>54</v>
      </c>
      <c r="E189" s="30" t="s">
        <v>149</v>
      </c>
      <c r="F189" s="30" t="s">
        <v>149</v>
      </c>
    </row>
    <row r="190">
      <c r="A190" s="30" t="s">
        <v>663</v>
      </c>
      <c r="B190" s="30" t="s">
        <v>665</v>
      </c>
      <c r="C190" s="30" t="s">
        <v>466</v>
      </c>
      <c r="D190" s="30" t="s">
        <v>54</v>
      </c>
      <c r="E190" s="30" t="s">
        <v>149</v>
      </c>
      <c r="F190" s="30" t="s">
        <v>149</v>
      </c>
    </row>
    <row r="191">
      <c r="A191" s="30" t="s">
        <v>666</v>
      </c>
      <c r="B191" s="30" t="s">
        <v>667</v>
      </c>
      <c r="C191" s="30" t="s">
        <v>457</v>
      </c>
      <c r="D191" s="30" t="s">
        <v>54</v>
      </c>
      <c r="E191" s="30" t="s">
        <v>149</v>
      </c>
      <c r="F191" s="30" t="s">
        <v>149</v>
      </c>
    </row>
    <row r="192">
      <c r="A192" s="30" t="s">
        <v>668</v>
      </c>
      <c r="B192" s="30" t="s">
        <v>670</v>
      </c>
      <c r="C192" s="30" t="s">
        <v>457</v>
      </c>
      <c r="D192" s="30" t="s">
        <v>54</v>
      </c>
      <c r="E192" s="30" t="s">
        <v>149</v>
      </c>
      <c r="F192" s="30" t="s">
        <v>149</v>
      </c>
    </row>
    <row r="193">
      <c r="A193" s="30" t="s">
        <v>672</v>
      </c>
      <c r="B193" s="30" t="s">
        <v>673</v>
      </c>
      <c r="C193" s="30" t="s">
        <v>466</v>
      </c>
      <c r="D193" s="30" t="s">
        <v>54</v>
      </c>
      <c r="E193" s="30" t="s">
        <v>149</v>
      </c>
      <c r="F193" s="30" t="s">
        <v>149</v>
      </c>
    </row>
    <row r="194">
      <c r="A194" s="30" t="s">
        <v>675</v>
      </c>
      <c r="B194" s="30" t="s">
        <v>676</v>
      </c>
      <c r="C194" s="30" t="s">
        <v>457</v>
      </c>
      <c r="D194" s="30" t="s">
        <v>44</v>
      </c>
      <c r="E194" s="29"/>
      <c r="F194" s="29"/>
    </row>
    <row r="195">
      <c r="A195" s="30" t="s">
        <v>677</v>
      </c>
      <c r="B195" s="30" t="s">
        <v>678</v>
      </c>
      <c r="C195" s="30" t="s">
        <v>466</v>
      </c>
      <c r="D195" s="30" t="s">
        <v>54</v>
      </c>
      <c r="E195" s="30" t="s">
        <v>149</v>
      </c>
      <c r="F195" s="30" t="s">
        <v>149</v>
      </c>
    </row>
    <row r="196">
      <c r="A196" s="30" t="s">
        <v>680</v>
      </c>
      <c r="B196" s="30" t="s">
        <v>681</v>
      </c>
      <c r="C196" s="30" t="s">
        <v>457</v>
      </c>
      <c r="D196" s="30" t="s">
        <v>54</v>
      </c>
      <c r="E196" s="30" t="s">
        <v>149</v>
      </c>
      <c r="F196" s="30" t="s">
        <v>149</v>
      </c>
    </row>
    <row r="197">
      <c r="A197" s="30" t="s">
        <v>682</v>
      </c>
      <c r="B197" s="30" t="s">
        <v>683</v>
      </c>
      <c r="C197" s="30" t="s">
        <v>457</v>
      </c>
      <c r="D197" s="30" t="s">
        <v>54</v>
      </c>
      <c r="E197" s="30" t="s">
        <v>149</v>
      </c>
      <c r="F197" s="30" t="s">
        <v>149</v>
      </c>
    </row>
    <row r="198">
      <c r="A198" s="30" t="s">
        <v>685</v>
      </c>
      <c r="B198" s="30" t="s">
        <v>687</v>
      </c>
      <c r="C198" s="30" t="s">
        <v>457</v>
      </c>
      <c r="D198" s="30" t="s">
        <v>54</v>
      </c>
      <c r="E198" s="30" t="s">
        <v>149</v>
      </c>
      <c r="F198" s="30" t="s">
        <v>149</v>
      </c>
    </row>
    <row r="199">
      <c r="A199" s="30" t="s">
        <v>688</v>
      </c>
      <c r="B199" s="30" t="s">
        <v>689</v>
      </c>
      <c r="C199" s="30" t="s">
        <v>457</v>
      </c>
      <c r="D199" s="30" t="s">
        <v>54</v>
      </c>
      <c r="E199" s="30" t="s">
        <v>149</v>
      </c>
      <c r="F199" s="30" t="s">
        <v>149</v>
      </c>
    </row>
    <row r="200">
      <c r="A200" s="30" t="s">
        <v>690</v>
      </c>
      <c r="B200" s="30" t="s">
        <v>694</v>
      </c>
      <c r="C200" s="30" t="s">
        <v>457</v>
      </c>
      <c r="D200" s="30" t="s">
        <v>54</v>
      </c>
      <c r="E200" s="30" t="s">
        <v>149</v>
      </c>
      <c r="F200" s="30" t="s">
        <v>149</v>
      </c>
    </row>
    <row r="201">
      <c r="A201" s="30" t="s">
        <v>695</v>
      </c>
      <c r="B201" s="30" t="s">
        <v>696</v>
      </c>
      <c r="C201" s="30" t="s">
        <v>457</v>
      </c>
      <c r="D201" s="30" t="s">
        <v>54</v>
      </c>
      <c r="E201" s="30" t="s">
        <v>149</v>
      </c>
      <c r="F201" s="30" t="s">
        <v>149</v>
      </c>
    </row>
    <row r="202">
      <c r="A202" s="30" t="s">
        <v>699</v>
      </c>
      <c r="B202" s="30" t="s">
        <v>700</v>
      </c>
      <c r="C202" s="30" t="s">
        <v>457</v>
      </c>
      <c r="D202" s="30" t="s">
        <v>54</v>
      </c>
      <c r="E202" s="30" t="s">
        <v>149</v>
      </c>
      <c r="F202" s="30" t="s">
        <v>149</v>
      </c>
    </row>
    <row r="203">
      <c r="A203" s="30" t="s">
        <v>701</v>
      </c>
      <c r="B203" s="30" t="s">
        <v>702</v>
      </c>
      <c r="C203" s="30" t="s">
        <v>457</v>
      </c>
      <c r="D203" s="30" t="s">
        <v>54</v>
      </c>
      <c r="E203" s="30" t="s">
        <v>149</v>
      </c>
      <c r="F203" s="30" t="s">
        <v>149</v>
      </c>
    </row>
    <row r="204">
      <c r="A204" s="30" t="s">
        <v>703</v>
      </c>
      <c r="B204" s="30" t="s">
        <v>704</v>
      </c>
      <c r="C204" s="30" t="s">
        <v>457</v>
      </c>
      <c r="D204" s="30" t="s">
        <v>54</v>
      </c>
      <c r="E204" s="30" t="s">
        <v>149</v>
      </c>
      <c r="F204" s="30" t="s">
        <v>149</v>
      </c>
    </row>
    <row r="205">
      <c r="A205" s="30" t="s">
        <v>705</v>
      </c>
      <c r="B205" s="30" t="s">
        <v>706</v>
      </c>
      <c r="C205" s="30" t="s">
        <v>457</v>
      </c>
      <c r="D205" s="30" t="s">
        <v>44</v>
      </c>
      <c r="E205" s="29"/>
      <c r="F205" s="29"/>
    </row>
    <row r="206">
      <c r="A206" s="30" t="s">
        <v>707</v>
      </c>
      <c r="B206" s="30" t="s">
        <v>708</v>
      </c>
      <c r="C206" s="30" t="s">
        <v>457</v>
      </c>
      <c r="D206" s="30" t="s">
        <v>54</v>
      </c>
      <c r="E206" s="30" t="s">
        <v>149</v>
      </c>
      <c r="F206" s="30" t="s">
        <v>149</v>
      </c>
    </row>
    <row r="207">
      <c r="A207" s="30" t="s">
        <v>709</v>
      </c>
      <c r="B207" s="30" t="s">
        <v>711</v>
      </c>
      <c r="C207" s="30" t="s">
        <v>457</v>
      </c>
      <c r="D207" s="30" t="s">
        <v>54</v>
      </c>
      <c r="E207" s="30" t="s">
        <v>149</v>
      </c>
      <c r="F207" s="30" t="s">
        <v>149</v>
      </c>
    </row>
    <row r="208">
      <c r="A208" s="30" t="s">
        <v>714</v>
      </c>
      <c r="B208" s="30" t="s">
        <v>715</v>
      </c>
      <c r="C208" s="30" t="s">
        <v>457</v>
      </c>
      <c r="D208" s="30" t="s">
        <v>44</v>
      </c>
      <c r="E208" s="29"/>
      <c r="F208" s="29"/>
    </row>
    <row r="209">
      <c r="A209" s="30" t="s">
        <v>717</v>
      </c>
      <c r="B209" s="30" t="s">
        <v>718</v>
      </c>
      <c r="C209" s="30" t="s">
        <v>466</v>
      </c>
      <c r="D209" s="30" t="s">
        <v>54</v>
      </c>
      <c r="E209" s="30" t="s">
        <v>149</v>
      </c>
      <c r="F209" s="30" t="s">
        <v>149</v>
      </c>
    </row>
    <row r="210">
      <c r="A210" s="30" t="s">
        <v>721</v>
      </c>
      <c r="B210" s="30" t="s">
        <v>723</v>
      </c>
      <c r="C210" s="30" t="s">
        <v>457</v>
      </c>
      <c r="D210" s="30" t="s">
        <v>54</v>
      </c>
      <c r="E210" s="30" t="s">
        <v>149</v>
      </c>
      <c r="F210" s="30" t="s">
        <v>149</v>
      </c>
    </row>
    <row r="211">
      <c r="A211" s="30" t="s">
        <v>724</v>
      </c>
      <c r="B211" s="30" t="s">
        <v>725</v>
      </c>
      <c r="C211" s="30" t="s">
        <v>457</v>
      </c>
      <c r="D211" s="30" t="s">
        <v>54</v>
      </c>
      <c r="E211" s="30" t="s">
        <v>149</v>
      </c>
      <c r="F211" s="30" t="s">
        <v>149</v>
      </c>
    </row>
    <row r="212">
      <c r="A212" s="30" t="s">
        <v>726</v>
      </c>
      <c r="B212" s="30" t="s">
        <v>727</v>
      </c>
      <c r="C212" s="30" t="s">
        <v>457</v>
      </c>
      <c r="D212" s="30" t="s">
        <v>54</v>
      </c>
      <c r="E212" s="30" t="s">
        <v>149</v>
      </c>
      <c r="F212" s="30" t="s">
        <v>149</v>
      </c>
    </row>
    <row r="213">
      <c r="A213" s="30" t="s">
        <v>729</v>
      </c>
      <c r="B213" s="30" t="s">
        <v>730</v>
      </c>
      <c r="C213" s="30" t="s">
        <v>457</v>
      </c>
      <c r="D213" s="30" t="s">
        <v>54</v>
      </c>
      <c r="E213" s="30" t="s">
        <v>149</v>
      </c>
      <c r="F213" s="30" t="s">
        <v>149</v>
      </c>
    </row>
    <row r="214">
      <c r="A214" s="30" t="s">
        <v>731</v>
      </c>
      <c r="B214" s="30" t="s">
        <v>732</v>
      </c>
      <c r="C214" s="30" t="s">
        <v>466</v>
      </c>
      <c r="D214" s="30" t="s">
        <v>44</v>
      </c>
      <c r="E214" s="29"/>
      <c r="F214" s="29"/>
    </row>
    <row r="215">
      <c r="A215" s="30" t="s">
        <v>733</v>
      </c>
      <c r="B215" s="30" t="s">
        <v>735</v>
      </c>
      <c r="C215" s="30" t="s">
        <v>457</v>
      </c>
      <c r="D215" s="30" t="s">
        <v>54</v>
      </c>
      <c r="E215" s="30" t="s">
        <v>149</v>
      </c>
      <c r="F215" s="30" t="s">
        <v>149</v>
      </c>
    </row>
    <row r="216">
      <c r="A216" s="30" t="s">
        <v>736</v>
      </c>
      <c r="B216" s="30" t="s">
        <v>737</v>
      </c>
      <c r="C216" s="30" t="s">
        <v>457</v>
      </c>
      <c r="D216" s="30" t="s">
        <v>44</v>
      </c>
      <c r="E216" s="29"/>
      <c r="F216" s="29"/>
    </row>
    <row r="217">
      <c r="A217" s="30" t="s">
        <v>738</v>
      </c>
      <c r="B217" s="30" t="s">
        <v>739</v>
      </c>
      <c r="C217" s="30" t="s">
        <v>466</v>
      </c>
      <c r="D217" s="30" t="s">
        <v>44</v>
      </c>
      <c r="E217" s="29"/>
      <c r="F217" s="29"/>
    </row>
    <row r="218">
      <c r="A218" s="30" t="s">
        <v>741</v>
      </c>
      <c r="B218" s="30" t="s">
        <v>743</v>
      </c>
      <c r="C218" s="30" t="s">
        <v>457</v>
      </c>
      <c r="D218" s="30" t="s">
        <v>54</v>
      </c>
      <c r="E218" s="30" t="s">
        <v>149</v>
      </c>
      <c r="F218" s="30" t="s">
        <v>149</v>
      </c>
    </row>
    <row r="219">
      <c r="A219" s="30" t="s">
        <v>746</v>
      </c>
      <c r="B219" s="30" t="s">
        <v>748</v>
      </c>
      <c r="C219" s="30" t="s">
        <v>457</v>
      </c>
      <c r="D219" s="30" t="s">
        <v>54</v>
      </c>
      <c r="E219" s="30" t="s">
        <v>149</v>
      </c>
      <c r="F219" s="30" t="s">
        <v>149</v>
      </c>
    </row>
    <row r="220">
      <c r="A220" s="30" t="s">
        <v>750</v>
      </c>
      <c r="B220" s="30" t="s">
        <v>751</v>
      </c>
      <c r="C220" s="30" t="s">
        <v>457</v>
      </c>
      <c r="D220" s="30" t="s">
        <v>54</v>
      </c>
      <c r="E220" s="30" t="s">
        <v>149</v>
      </c>
      <c r="F220" s="30" t="s">
        <v>149</v>
      </c>
    </row>
    <row r="221">
      <c r="A221" s="30" t="s">
        <v>752</v>
      </c>
      <c r="B221" s="30" t="s">
        <v>753</v>
      </c>
      <c r="C221" s="30" t="s">
        <v>457</v>
      </c>
      <c r="D221" s="30" t="s">
        <v>54</v>
      </c>
      <c r="E221" s="30" t="s">
        <v>149</v>
      </c>
      <c r="F221" s="30" t="s">
        <v>149</v>
      </c>
    </row>
    <row r="222">
      <c r="A222" s="30" t="s">
        <v>754</v>
      </c>
      <c r="B222" s="30" t="s">
        <v>755</v>
      </c>
      <c r="C222" s="30" t="s">
        <v>457</v>
      </c>
      <c r="D222" s="30" t="s">
        <v>54</v>
      </c>
      <c r="E222" s="30" t="s">
        <v>149</v>
      </c>
      <c r="F222" s="30" t="s">
        <v>149</v>
      </c>
    </row>
    <row r="223">
      <c r="A223" s="30" t="s">
        <v>756</v>
      </c>
      <c r="B223" s="30" t="s">
        <v>757</v>
      </c>
      <c r="C223" s="30" t="s">
        <v>457</v>
      </c>
      <c r="D223" s="30" t="s">
        <v>54</v>
      </c>
      <c r="E223" s="30" t="s">
        <v>149</v>
      </c>
      <c r="F223" s="30" t="s">
        <v>149</v>
      </c>
    </row>
    <row r="224">
      <c r="A224" s="30" t="s">
        <v>758</v>
      </c>
      <c r="B224" s="30" t="s">
        <v>759</v>
      </c>
      <c r="C224" s="30" t="s">
        <v>457</v>
      </c>
      <c r="D224" s="30" t="s">
        <v>44</v>
      </c>
      <c r="E224" s="29"/>
      <c r="F224" s="29"/>
    </row>
    <row r="225">
      <c r="A225" s="30" t="s">
        <v>760</v>
      </c>
      <c r="B225" s="30" t="s">
        <v>761</v>
      </c>
      <c r="C225" s="30" t="s">
        <v>457</v>
      </c>
      <c r="D225" s="30" t="s">
        <v>54</v>
      </c>
      <c r="E225" s="30" t="s">
        <v>149</v>
      </c>
      <c r="F225" s="30" t="s">
        <v>149</v>
      </c>
    </row>
    <row r="226">
      <c r="A226" s="30" t="s">
        <v>763</v>
      </c>
      <c r="B226" s="30" t="s">
        <v>764</v>
      </c>
      <c r="C226" s="30" t="s">
        <v>457</v>
      </c>
      <c r="D226" s="30" t="s">
        <v>54</v>
      </c>
      <c r="E226" s="30" t="s">
        <v>149</v>
      </c>
      <c r="F226" s="30" t="s">
        <v>149</v>
      </c>
    </row>
    <row r="227">
      <c r="A227" s="30" t="s">
        <v>766</v>
      </c>
      <c r="B227" s="30" t="s">
        <v>767</v>
      </c>
      <c r="C227" s="30" t="s">
        <v>457</v>
      </c>
      <c r="D227" s="30" t="s">
        <v>54</v>
      </c>
      <c r="E227" s="30" t="s">
        <v>149</v>
      </c>
      <c r="F227" s="30" t="s">
        <v>149</v>
      </c>
    </row>
    <row r="228">
      <c r="A228" s="30" t="s">
        <v>768</v>
      </c>
      <c r="B228" s="30" t="s">
        <v>769</v>
      </c>
      <c r="C228" s="30" t="s">
        <v>457</v>
      </c>
      <c r="D228" s="30" t="s">
        <v>54</v>
      </c>
      <c r="E228" s="30" t="s">
        <v>149</v>
      </c>
      <c r="F228" s="30" t="s">
        <v>149</v>
      </c>
    </row>
    <row r="229">
      <c r="A229" s="30" t="s">
        <v>770</v>
      </c>
      <c r="B229" s="30" t="s">
        <v>771</v>
      </c>
      <c r="C229" s="30" t="s">
        <v>457</v>
      </c>
      <c r="D229" s="30" t="s">
        <v>54</v>
      </c>
      <c r="E229" s="30" t="s">
        <v>149</v>
      </c>
      <c r="F229" s="30" t="s">
        <v>149</v>
      </c>
    </row>
    <row r="230">
      <c r="A230" s="30" t="s">
        <v>772</v>
      </c>
      <c r="B230" s="30" t="s">
        <v>773</v>
      </c>
      <c r="C230" s="30" t="s">
        <v>457</v>
      </c>
      <c r="D230" s="30" t="s">
        <v>44</v>
      </c>
      <c r="E230" s="29"/>
      <c r="F230" s="29"/>
    </row>
    <row r="231">
      <c r="A231" s="30" t="s">
        <v>774</v>
      </c>
      <c r="B231" s="30" t="s">
        <v>775</v>
      </c>
      <c r="C231" s="30" t="s">
        <v>457</v>
      </c>
      <c r="D231" s="30" t="s">
        <v>54</v>
      </c>
      <c r="E231" s="30" t="s">
        <v>149</v>
      </c>
      <c r="F231" s="30" t="s">
        <v>149</v>
      </c>
    </row>
    <row r="232">
      <c r="A232" s="30" t="s">
        <v>777</v>
      </c>
      <c r="B232" s="30" t="s">
        <v>779</v>
      </c>
      <c r="C232" s="30" t="s">
        <v>457</v>
      </c>
      <c r="D232" s="30" t="s">
        <v>54</v>
      </c>
      <c r="E232" s="30" t="s">
        <v>149</v>
      </c>
      <c r="F232" s="30" t="s">
        <v>149</v>
      </c>
    </row>
    <row r="233">
      <c r="A233" s="30" t="s">
        <v>781</v>
      </c>
      <c r="B233" s="30" t="s">
        <v>782</v>
      </c>
      <c r="C233" s="30" t="s">
        <v>457</v>
      </c>
      <c r="D233" s="30" t="s">
        <v>54</v>
      </c>
      <c r="E233" s="30" t="s">
        <v>149</v>
      </c>
      <c r="F233" s="30" t="s">
        <v>149</v>
      </c>
    </row>
    <row r="234">
      <c r="A234" s="30" t="s">
        <v>783</v>
      </c>
      <c r="B234" s="30" t="s">
        <v>784</v>
      </c>
      <c r="C234" s="30" t="s">
        <v>457</v>
      </c>
      <c r="D234" s="30" t="s">
        <v>54</v>
      </c>
      <c r="E234" s="30" t="s">
        <v>149</v>
      </c>
      <c r="F234" s="30" t="s">
        <v>149</v>
      </c>
    </row>
    <row r="235">
      <c r="A235" s="30" t="s">
        <v>785</v>
      </c>
      <c r="B235" s="30" t="s">
        <v>786</v>
      </c>
      <c r="C235" s="30" t="s">
        <v>457</v>
      </c>
      <c r="D235" s="30" t="s">
        <v>54</v>
      </c>
      <c r="E235" s="30" t="s">
        <v>149</v>
      </c>
      <c r="F235" s="30" t="s">
        <v>149</v>
      </c>
    </row>
    <row r="236">
      <c r="A236" s="30" t="s">
        <v>787</v>
      </c>
      <c r="B236" s="30" t="s">
        <v>788</v>
      </c>
      <c r="C236" s="30" t="s">
        <v>457</v>
      </c>
      <c r="D236" s="30" t="s">
        <v>54</v>
      </c>
      <c r="E236" s="30" t="s">
        <v>149</v>
      </c>
      <c r="F236" s="30" t="s">
        <v>149</v>
      </c>
    </row>
    <row r="237">
      <c r="A237" s="30" t="s">
        <v>789</v>
      </c>
      <c r="B237" s="30" t="s">
        <v>790</v>
      </c>
      <c r="C237" s="30" t="s">
        <v>457</v>
      </c>
      <c r="D237" s="30" t="s">
        <v>54</v>
      </c>
      <c r="E237" s="30" t="s">
        <v>149</v>
      </c>
      <c r="F237" s="30" t="s">
        <v>149</v>
      </c>
    </row>
    <row r="238">
      <c r="A238" s="30" t="s">
        <v>791</v>
      </c>
      <c r="B238" s="30" t="s">
        <v>792</v>
      </c>
      <c r="C238" s="30" t="s">
        <v>457</v>
      </c>
      <c r="D238" s="30" t="s">
        <v>54</v>
      </c>
      <c r="E238" s="30" t="s">
        <v>149</v>
      </c>
      <c r="F238" s="30" t="s">
        <v>149</v>
      </c>
    </row>
    <row r="239">
      <c r="A239" s="30" t="s">
        <v>793</v>
      </c>
      <c r="B239" s="30" t="s">
        <v>794</v>
      </c>
      <c r="C239" s="30" t="s">
        <v>457</v>
      </c>
      <c r="D239" s="30" t="s">
        <v>54</v>
      </c>
      <c r="E239" s="30" t="s">
        <v>149</v>
      </c>
      <c r="F239" s="30" t="s">
        <v>149</v>
      </c>
    </row>
    <row r="240">
      <c r="A240" s="30" t="s">
        <v>796</v>
      </c>
      <c r="B240" s="30" t="s">
        <v>797</v>
      </c>
      <c r="C240" s="30" t="s">
        <v>457</v>
      </c>
      <c r="D240" s="30" t="s">
        <v>54</v>
      </c>
      <c r="E240" s="30" t="s">
        <v>149</v>
      </c>
      <c r="F240" s="30" t="s">
        <v>149</v>
      </c>
    </row>
    <row r="241">
      <c r="A241" s="30" t="s">
        <v>798</v>
      </c>
      <c r="B241" s="30" t="s">
        <v>799</v>
      </c>
      <c r="C241" s="30" t="s">
        <v>457</v>
      </c>
      <c r="D241" s="30" t="s">
        <v>54</v>
      </c>
      <c r="E241" s="30" t="s">
        <v>149</v>
      </c>
      <c r="F241" s="30" t="s">
        <v>149</v>
      </c>
    </row>
    <row r="242">
      <c r="A242" s="30" t="s">
        <v>800</v>
      </c>
      <c r="B242" s="30" t="s">
        <v>801</v>
      </c>
      <c r="C242" s="30" t="s">
        <v>457</v>
      </c>
      <c r="D242" s="30" t="s">
        <v>54</v>
      </c>
      <c r="E242" s="30" t="s">
        <v>149</v>
      </c>
      <c r="F242" s="30" t="s">
        <v>149</v>
      </c>
    </row>
    <row r="243">
      <c r="A243" s="30" t="s">
        <v>802</v>
      </c>
      <c r="B243" s="30" t="s">
        <v>803</v>
      </c>
      <c r="C243" s="30" t="s">
        <v>457</v>
      </c>
      <c r="D243" s="30" t="s">
        <v>54</v>
      </c>
      <c r="E243" s="30" t="s">
        <v>149</v>
      </c>
      <c r="F243" s="30" t="s">
        <v>149</v>
      </c>
    </row>
    <row r="244">
      <c r="A244" s="30" t="s">
        <v>804</v>
      </c>
      <c r="B244" s="30" t="s">
        <v>805</v>
      </c>
      <c r="C244" s="30" t="s">
        <v>457</v>
      </c>
      <c r="D244" s="30" t="s">
        <v>54</v>
      </c>
      <c r="E244" s="30" t="s">
        <v>149</v>
      </c>
      <c r="F244" s="30" t="s">
        <v>149</v>
      </c>
    </row>
    <row r="245">
      <c r="A245" s="30" t="s">
        <v>806</v>
      </c>
      <c r="B245" s="30" t="s">
        <v>807</v>
      </c>
      <c r="C245" s="30" t="s">
        <v>457</v>
      </c>
      <c r="D245" s="30" t="s">
        <v>54</v>
      </c>
      <c r="E245" s="30" t="s">
        <v>149</v>
      </c>
      <c r="F245" s="30" t="s">
        <v>149</v>
      </c>
    </row>
    <row r="246">
      <c r="A246" s="30" t="s">
        <v>809</v>
      </c>
      <c r="B246" s="30" t="s">
        <v>810</v>
      </c>
      <c r="C246" s="30" t="s">
        <v>466</v>
      </c>
      <c r="D246" s="30" t="s">
        <v>54</v>
      </c>
      <c r="E246" s="30" t="s">
        <v>149</v>
      </c>
      <c r="F246" s="30" t="s">
        <v>149</v>
      </c>
    </row>
    <row r="247">
      <c r="A247" s="30" t="s">
        <v>811</v>
      </c>
      <c r="B247" s="30" t="s">
        <v>812</v>
      </c>
      <c r="C247" s="30" t="s">
        <v>457</v>
      </c>
      <c r="D247" s="30" t="s">
        <v>54</v>
      </c>
      <c r="E247" s="30" t="s">
        <v>149</v>
      </c>
      <c r="F247" s="30" t="s">
        <v>149</v>
      </c>
    </row>
    <row r="248">
      <c r="A248" s="30" t="s">
        <v>814</v>
      </c>
      <c r="B248" s="30" t="s">
        <v>816</v>
      </c>
      <c r="C248" s="30" t="s">
        <v>457</v>
      </c>
      <c r="D248" s="30" t="s">
        <v>54</v>
      </c>
      <c r="E248" s="30" t="s">
        <v>149</v>
      </c>
      <c r="F248" s="30" t="s">
        <v>149</v>
      </c>
    </row>
    <row r="249">
      <c r="A249" s="30" t="s">
        <v>817</v>
      </c>
      <c r="B249" s="30" t="s">
        <v>818</v>
      </c>
      <c r="C249" s="30" t="s">
        <v>457</v>
      </c>
      <c r="D249" s="30" t="s">
        <v>44</v>
      </c>
      <c r="E249" s="29"/>
      <c r="F249" s="29"/>
    </row>
    <row r="250">
      <c r="A250" s="30" t="s">
        <v>820</v>
      </c>
      <c r="B250" s="30" t="s">
        <v>821</v>
      </c>
      <c r="C250" s="30" t="s">
        <v>457</v>
      </c>
      <c r="D250" s="30" t="s">
        <v>54</v>
      </c>
      <c r="E250" s="30" t="s">
        <v>149</v>
      </c>
      <c r="F250" s="30" t="s">
        <v>149</v>
      </c>
    </row>
    <row r="251">
      <c r="A251" s="30" t="s">
        <v>822</v>
      </c>
      <c r="B251" s="30" t="s">
        <v>823</v>
      </c>
      <c r="C251" s="30" t="s">
        <v>457</v>
      </c>
      <c r="D251" s="30" t="s">
        <v>54</v>
      </c>
      <c r="E251" s="30" t="s">
        <v>149</v>
      </c>
      <c r="F251" s="30" t="s">
        <v>149</v>
      </c>
    </row>
    <row r="252">
      <c r="A252" s="30" t="s">
        <v>824</v>
      </c>
      <c r="B252" s="30" t="s">
        <v>826</v>
      </c>
      <c r="C252" s="30" t="s">
        <v>457</v>
      </c>
      <c r="D252" s="30" t="s">
        <v>54</v>
      </c>
      <c r="E252" s="30" t="s">
        <v>149</v>
      </c>
      <c r="F252" s="30" t="s">
        <v>149</v>
      </c>
    </row>
    <row r="253">
      <c r="A253" s="30" t="s">
        <v>827</v>
      </c>
      <c r="B253" s="30" t="s">
        <v>828</v>
      </c>
      <c r="C253" s="30" t="s">
        <v>457</v>
      </c>
      <c r="D253" s="30" t="s">
        <v>54</v>
      </c>
      <c r="E253" s="30" t="s">
        <v>149</v>
      </c>
      <c r="F253" s="30" t="s">
        <v>149</v>
      </c>
    </row>
    <row r="254">
      <c r="A254" s="30" t="s">
        <v>829</v>
      </c>
      <c r="B254" s="30" t="s">
        <v>830</v>
      </c>
      <c r="C254" s="30" t="s">
        <v>457</v>
      </c>
      <c r="D254" s="30" t="s">
        <v>54</v>
      </c>
      <c r="E254" s="30" t="s">
        <v>149</v>
      </c>
      <c r="F254" s="30" t="s">
        <v>149</v>
      </c>
    </row>
    <row r="255">
      <c r="A255" s="30" t="s">
        <v>832</v>
      </c>
      <c r="B255" s="30" t="s">
        <v>833</v>
      </c>
      <c r="C255" s="30" t="s">
        <v>457</v>
      </c>
      <c r="D255" s="30" t="s">
        <v>54</v>
      </c>
      <c r="E255" s="30" t="s">
        <v>149</v>
      </c>
      <c r="F255" s="30" t="s">
        <v>149</v>
      </c>
    </row>
    <row r="256">
      <c r="A256" s="30" t="s">
        <v>835</v>
      </c>
      <c r="B256" s="30" t="s">
        <v>836</v>
      </c>
      <c r="C256" s="30" t="s">
        <v>457</v>
      </c>
      <c r="D256" s="30" t="s">
        <v>54</v>
      </c>
      <c r="E256" s="30" t="s">
        <v>149</v>
      </c>
      <c r="F256" s="30" t="s">
        <v>149</v>
      </c>
    </row>
    <row r="257">
      <c r="A257" s="30" t="s">
        <v>838</v>
      </c>
      <c r="B257" s="30" t="s">
        <v>839</v>
      </c>
      <c r="C257" s="30" t="s">
        <v>457</v>
      </c>
      <c r="D257" s="30" t="s">
        <v>54</v>
      </c>
      <c r="E257" s="30" t="s">
        <v>149</v>
      </c>
      <c r="F257" s="30" t="s">
        <v>149</v>
      </c>
    </row>
    <row r="258">
      <c r="A258" s="30" t="s">
        <v>840</v>
      </c>
      <c r="B258" s="30" t="s">
        <v>841</v>
      </c>
      <c r="C258" s="30" t="s">
        <v>457</v>
      </c>
      <c r="D258" s="30" t="s">
        <v>54</v>
      </c>
      <c r="E258" s="30" t="s">
        <v>149</v>
      </c>
      <c r="F258" s="30" t="s">
        <v>149</v>
      </c>
    </row>
    <row r="259">
      <c r="A259" s="30" t="s">
        <v>843</v>
      </c>
      <c r="B259" s="30" t="s">
        <v>844</v>
      </c>
      <c r="C259" s="30" t="s">
        <v>457</v>
      </c>
      <c r="D259" s="30" t="s">
        <v>54</v>
      </c>
      <c r="E259" s="30" t="s">
        <v>149</v>
      </c>
      <c r="F259" s="30" t="s">
        <v>149</v>
      </c>
    </row>
    <row r="260">
      <c r="A260" s="30" t="s">
        <v>845</v>
      </c>
      <c r="B260" s="30" t="s">
        <v>846</v>
      </c>
      <c r="C260" s="30" t="s">
        <v>457</v>
      </c>
      <c r="D260" s="30" t="s">
        <v>54</v>
      </c>
      <c r="E260" s="30" t="s">
        <v>149</v>
      </c>
      <c r="F260" s="30" t="s">
        <v>149</v>
      </c>
    </row>
    <row r="261">
      <c r="A261" s="30" t="s">
        <v>849</v>
      </c>
      <c r="B261" s="30" t="s">
        <v>850</v>
      </c>
      <c r="C261" s="30" t="s">
        <v>457</v>
      </c>
      <c r="D261" s="30" t="s">
        <v>54</v>
      </c>
      <c r="E261" s="30" t="s">
        <v>149</v>
      </c>
      <c r="F261" s="30" t="s">
        <v>149</v>
      </c>
    </row>
    <row r="262">
      <c r="A262" s="30" t="s">
        <v>853</v>
      </c>
      <c r="B262" s="30" t="s">
        <v>854</v>
      </c>
      <c r="C262" s="30" t="s">
        <v>457</v>
      </c>
      <c r="D262" s="30" t="s">
        <v>54</v>
      </c>
      <c r="E262" s="30" t="s">
        <v>149</v>
      </c>
      <c r="F262" s="30" t="s">
        <v>149</v>
      </c>
    </row>
    <row r="263">
      <c r="A263" s="30" t="s">
        <v>856</v>
      </c>
      <c r="B263" s="30" t="s">
        <v>858</v>
      </c>
      <c r="C263" s="30" t="s">
        <v>457</v>
      </c>
      <c r="D263" s="30" t="s">
        <v>54</v>
      </c>
      <c r="E263" s="30" t="s">
        <v>149</v>
      </c>
      <c r="F263" s="30" t="s">
        <v>149</v>
      </c>
    </row>
    <row r="264">
      <c r="A264" s="30" t="s">
        <v>859</v>
      </c>
      <c r="B264" s="30" t="s">
        <v>860</v>
      </c>
      <c r="C264" s="30" t="s">
        <v>466</v>
      </c>
      <c r="D264" s="30" t="s">
        <v>54</v>
      </c>
      <c r="E264" s="30" t="s">
        <v>149</v>
      </c>
      <c r="F264" s="30" t="s">
        <v>149</v>
      </c>
    </row>
    <row r="265">
      <c r="A265" s="30" t="s">
        <v>861</v>
      </c>
      <c r="B265" s="30" t="s">
        <v>862</v>
      </c>
      <c r="C265" s="30" t="s">
        <v>457</v>
      </c>
      <c r="D265" s="30" t="s">
        <v>54</v>
      </c>
      <c r="E265" s="30" t="s">
        <v>149</v>
      </c>
      <c r="F265" s="30" t="s">
        <v>149</v>
      </c>
    </row>
    <row r="266">
      <c r="A266" s="30" t="s">
        <v>864</v>
      </c>
      <c r="B266" s="30" t="s">
        <v>865</v>
      </c>
      <c r="C266" s="30" t="s">
        <v>457</v>
      </c>
      <c r="D266" s="30" t="s">
        <v>54</v>
      </c>
      <c r="E266" s="30" t="s">
        <v>149</v>
      </c>
      <c r="F266" s="30" t="s">
        <v>149</v>
      </c>
    </row>
    <row r="267">
      <c r="A267" s="30" t="s">
        <v>866</v>
      </c>
      <c r="B267" s="30" t="s">
        <v>867</v>
      </c>
      <c r="C267" s="30" t="s">
        <v>457</v>
      </c>
      <c r="D267" s="30" t="s">
        <v>54</v>
      </c>
      <c r="E267" s="30" t="s">
        <v>149</v>
      </c>
      <c r="F267" s="30" t="s">
        <v>149</v>
      </c>
    </row>
    <row r="268">
      <c r="A268" s="30" t="s">
        <v>869</v>
      </c>
      <c r="B268" s="30" t="s">
        <v>870</v>
      </c>
      <c r="C268" s="30" t="s">
        <v>466</v>
      </c>
      <c r="D268" s="30" t="s">
        <v>44</v>
      </c>
      <c r="E268" s="29"/>
      <c r="F268" s="29"/>
    </row>
    <row r="269">
      <c r="A269" s="30" t="s">
        <v>871</v>
      </c>
      <c r="B269" s="30" t="s">
        <v>872</v>
      </c>
      <c r="C269" s="30" t="s">
        <v>457</v>
      </c>
      <c r="D269" s="30" t="s">
        <v>54</v>
      </c>
      <c r="E269" s="30" t="s">
        <v>149</v>
      </c>
      <c r="F269" s="30" t="s">
        <v>149</v>
      </c>
    </row>
    <row r="270">
      <c r="A270" s="30" t="s">
        <v>873</v>
      </c>
      <c r="B270" s="30" t="s">
        <v>874</v>
      </c>
      <c r="C270" s="30" t="s">
        <v>457</v>
      </c>
      <c r="D270" s="30" t="s">
        <v>44</v>
      </c>
      <c r="E270" s="29"/>
      <c r="F270" s="29"/>
    </row>
    <row r="271">
      <c r="A271" s="30" t="s">
        <v>876</v>
      </c>
      <c r="B271" s="30" t="s">
        <v>877</v>
      </c>
      <c r="C271" s="30" t="s">
        <v>457</v>
      </c>
      <c r="D271" s="30" t="s">
        <v>54</v>
      </c>
      <c r="E271" s="30" t="s">
        <v>149</v>
      </c>
      <c r="F271" s="30" t="s">
        <v>149</v>
      </c>
    </row>
    <row r="272">
      <c r="A272" s="30" t="s">
        <v>878</v>
      </c>
      <c r="B272" s="30" t="s">
        <v>879</v>
      </c>
      <c r="C272" s="30" t="s">
        <v>466</v>
      </c>
      <c r="D272" s="30" t="s">
        <v>54</v>
      </c>
      <c r="E272" s="30" t="s">
        <v>149</v>
      </c>
      <c r="F272" s="30" t="s">
        <v>149</v>
      </c>
    </row>
    <row r="273">
      <c r="A273" s="30" t="s">
        <v>881</v>
      </c>
      <c r="B273" s="30" t="s">
        <v>882</v>
      </c>
      <c r="C273" s="30" t="s">
        <v>457</v>
      </c>
      <c r="D273" s="30" t="s">
        <v>54</v>
      </c>
      <c r="E273" s="30" t="s">
        <v>149</v>
      </c>
      <c r="F273" s="30" t="s">
        <v>149</v>
      </c>
    </row>
    <row r="274">
      <c r="A274" s="30" t="s">
        <v>883</v>
      </c>
      <c r="B274" s="30" t="s">
        <v>884</v>
      </c>
      <c r="C274" s="30" t="s">
        <v>457</v>
      </c>
      <c r="D274" s="30" t="s">
        <v>44</v>
      </c>
      <c r="E274" s="29"/>
      <c r="F274" s="29"/>
    </row>
    <row r="275">
      <c r="A275" s="30" t="s">
        <v>885</v>
      </c>
      <c r="B275" s="30" t="s">
        <v>886</v>
      </c>
      <c r="C275" s="30" t="s">
        <v>457</v>
      </c>
      <c r="D275" s="30" t="s">
        <v>54</v>
      </c>
      <c r="E275" s="30" t="s">
        <v>149</v>
      </c>
      <c r="F275" s="30" t="s">
        <v>149</v>
      </c>
    </row>
    <row r="276">
      <c r="A276" s="30" t="s">
        <v>887</v>
      </c>
      <c r="B276" s="30" t="s">
        <v>888</v>
      </c>
      <c r="C276" s="30" t="s">
        <v>457</v>
      </c>
      <c r="D276" s="30" t="s">
        <v>54</v>
      </c>
      <c r="E276" s="30" t="s">
        <v>149</v>
      </c>
      <c r="F276" s="30" t="s">
        <v>149</v>
      </c>
    </row>
    <row r="277">
      <c r="A277" s="30" t="s">
        <v>889</v>
      </c>
      <c r="B277" s="30" t="s">
        <v>890</v>
      </c>
      <c r="C277" s="30" t="s">
        <v>457</v>
      </c>
      <c r="D277" s="30" t="s">
        <v>54</v>
      </c>
      <c r="E277" s="30" t="s">
        <v>149</v>
      </c>
      <c r="F277" s="30" t="s">
        <v>149</v>
      </c>
    </row>
    <row r="278">
      <c r="A278" s="30" t="s">
        <v>893</v>
      </c>
      <c r="B278" s="30" t="s">
        <v>894</v>
      </c>
      <c r="C278" s="30" t="s">
        <v>457</v>
      </c>
      <c r="D278" s="30" t="s">
        <v>54</v>
      </c>
      <c r="E278" s="30" t="s">
        <v>149</v>
      </c>
      <c r="F278" s="30" t="s">
        <v>149</v>
      </c>
    </row>
    <row r="279">
      <c r="A279" s="30" t="s">
        <v>895</v>
      </c>
      <c r="B279" s="30" t="s">
        <v>897</v>
      </c>
      <c r="C279" s="30" t="s">
        <v>457</v>
      </c>
      <c r="D279" s="30" t="s">
        <v>44</v>
      </c>
      <c r="E279" s="29"/>
      <c r="F279" s="29"/>
    </row>
    <row r="280">
      <c r="A280" s="30" t="s">
        <v>898</v>
      </c>
      <c r="B280" s="30" t="s">
        <v>900</v>
      </c>
      <c r="C280" s="30" t="s">
        <v>466</v>
      </c>
      <c r="D280" s="30" t="s">
        <v>54</v>
      </c>
      <c r="E280" s="30" t="s">
        <v>149</v>
      </c>
      <c r="F280" s="30" t="s">
        <v>149</v>
      </c>
    </row>
    <row r="281">
      <c r="A281" s="30" t="s">
        <v>901</v>
      </c>
      <c r="B281" s="30" t="s">
        <v>902</v>
      </c>
      <c r="C281" s="30" t="s">
        <v>457</v>
      </c>
      <c r="D281" s="30" t="s">
        <v>54</v>
      </c>
      <c r="E281" s="30" t="s">
        <v>149</v>
      </c>
      <c r="F281" s="30" t="s">
        <v>149</v>
      </c>
    </row>
    <row r="282">
      <c r="A282" s="30" t="s">
        <v>904</v>
      </c>
      <c r="B282" s="30" t="s">
        <v>905</v>
      </c>
      <c r="C282" s="30" t="s">
        <v>457</v>
      </c>
      <c r="D282" s="30" t="s">
        <v>54</v>
      </c>
      <c r="E282" s="30" t="s">
        <v>149</v>
      </c>
      <c r="F282" s="30" t="s">
        <v>149</v>
      </c>
    </row>
    <row r="283">
      <c r="A283" s="30" t="s">
        <v>906</v>
      </c>
      <c r="B283" s="30" t="s">
        <v>907</v>
      </c>
      <c r="C283" s="30" t="s">
        <v>457</v>
      </c>
      <c r="D283" s="30" t="s">
        <v>54</v>
      </c>
      <c r="E283" s="30" t="s">
        <v>149</v>
      </c>
      <c r="F283" s="30" t="s">
        <v>149</v>
      </c>
    </row>
    <row r="284">
      <c r="A284" s="30" t="s">
        <v>908</v>
      </c>
      <c r="B284" s="30" t="s">
        <v>909</v>
      </c>
      <c r="C284" s="30" t="s">
        <v>457</v>
      </c>
      <c r="D284" s="30" t="s">
        <v>54</v>
      </c>
      <c r="E284" s="30" t="s">
        <v>149</v>
      </c>
      <c r="F284" s="30" t="s">
        <v>149</v>
      </c>
    </row>
    <row r="285">
      <c r="A285" s="30" t="s">
        <v>910</v>
      </c>
      <c r="B285" s="30" t="s">
        <v>911</v>
      </c>
      <c r="C285" s="30" t="s">
        <v>457</v>
      </c>
      <c r="D285" s="30" t="s">
        <v>54</v>
      </c>
      <c r="E285" s="30" t="s">
        <v>149</v>
      </c>
      <c r="F285" s="30" t="s">
        <v>149</v>
      </c>
    </row>
    <row r="286">
      <c r="A286" s="30" t="s">
        <v>912</v>
      </c>
      <c r="B286" s="30" t="s">
        <v>913</v>
      </c>
      <c r="C286" s="30" t="s">
        <v>457</v>
      </c>
      <c r="D286" s="30" t="s">
        <v>54</v>
      </c>
      <c r="E286" s="30" t="s">
        <v>149</v>
      </c>
      <c r="F286" s="30" t="s">
        <v>149</v>
      </c>
    </row>
    <row r="287">
      <c r="A287" s="30" t="s">
        <v>915</v>
      </c>
      <c r="B287" s="30" t="s">
        <v>916</v>
      </c>
      <c r="C287" s="30" t="s">
        <v>457</v>
      </c>
      <c r="D287" s="30" t="s">
        <v>54</v>
      </c>
      <c r="E287" s="30" t="s">
        <v>149</v>
      </c>
      <c r="F287" s="30" t="s">
        <v>149</v>
      </c>
    </row>
    <row r="288">
      <c r="A288" s="30" t="s">
        <v>918</v>
      </c>
      <c r="B288" s="30" t="s">
        <v>919</v>
      </c>
      <c r="C288" s="30" t="s">
        <v>457</v>
      </c>
      <c r="D288" s="30" t="s">
        <v>54</v>
      </c>
      <c r="E288" s="30" t="s">
        <v>149</v>
      </c>
      <c r="F288" s="30" t="s">
        <v>149</v>
      </c>
    </row>
    <row r="289">
      <c r="A289" s="30" t="s">
        <v>922</v>
      </c>
      <c r="B289" s="30" t="s">
        <v>923</v>
      </c>
      <c r="C289" s="30" t="s">
        <v>457</v>
      </c>
      <c r="D289" s="30" t="s">
        <v>54</v>
      </c>
      <c r="E289" s="30" t="s">
        <v>149</v>
      </c>
      <c r="F289" s="30" t="s">
        <v>149</v>
      </c>
    </row>
    <row r="290">
      <c r="A290" s="30" t="s">
        <v>925</v>
      </c>
      <c r="B290" s="30" t="s">
        <v>926</v>
      </c>
      <c r="C290" s="30" t="s">
        <v>457</v>
      </c>
      <c r="D290" s="30" t="s">
        <v>54</v>
      </c>
      <c r="E290" s="30" t="s">
        <v>149</v>
      </c>
      <c r="F290" s="30" t="s">
        <v>149</v>
      </c>
    </row>
    <row r="291">
      <c r="A291" s="30" t="s">
        <v>927</v>
      </c>
      <c r="B291" s="30" t="s">
        <v>928</v>
      </c>
      <c r="C291" s="30" t="s">
        <v>457</v>
      </c>
      <c r="D291" s="30" t="s">
        <v>54</v>
      </c>
      <c r="E291" s="30" t="s">
        <v>149</v>
      </c>
      <c r="F291" s="30" t="s">
        <v>149</v>
      </c>
    </row>
    <row r="292">
      <c r="A292" s="30" t="s">
        <v>929</v>
      </c>
      <c r="B292" s="30" t="s">
        <v>931</v>
      </c>
      <c r="C292" s="30" t="s">
        <v>466</v>
      </c>
      <c r="D292" s="30" t="s">
        <v>54</v>
      </c>
      <c r="E292" s="30" t="s">
        <v>149</v>
      </c>
      <c r="F292" s="30" t="s">
        <v>149</v>
      </c>
    </row>
    <row r="293">
      <c r="A293" s="30" t="s">
        <v>932</v>
      </c>
      <c r="B293" s="30" t="s">
        <v>934</v>
      </c>
      <c r="C293" s="30" t="s">
        <v>466</v>
      </c>
      <c r="D293" s="30" t="s">
        <v>54</v>
      </c>
      <c r="E293" s="30" t="s">
        <v>149</v>
      </c>
      <c r="F293" s="30" t="s">
        <v>149</v>
      </c>
    </row>
    <row r="294">
      <c r="A294" s="30" t="s">
        <v>935</v>
      </c>
      <c r="B294" s="30" t="s">
        <v>936</v>
      </c>
      <c r="C294" s="30" t="s">
        <v>457</v>
      </c>
      <c r="D294" s="30" t="s">
        <v>54</v>
      </c>
      <c r="E294" s="30" t="s">
        <v>149</v>
      </c>
      <c r="F294" s="30" t="s">
        <v>149</v>
      </c>
    </row>
    <row r="295">
      <c r="A295" s="30" t="s">
        <v>937</v>
      </c>
      <c r="B295" s="30" t="s">
        <v>938</v>
      </c>
      <c r="C295" s="30" t="s">
        <v>457</v>
      </c>
      <c r="D295" s="30" t="s">
        <v>54</v>
      </c>
      <c r="E295" s="30" t="s">
        <v>149</v>
      </c>
      <c r="F295" s="30" t="s">
        <v>149</v>
      </c>
    </row>
    <row r="296">
      <c r="A296" s="30" t="s">
        <v>940</v>
      </c>
      <c r="B296" s="30" t="s">
        <v>941</v>
      </c>
      <c r="C296" s="30" t="s">
        <v>457</v>
      </c>
      <c r="D296" s="30" t="s">
        <v>54</v>
      </c>
      <c r="E296" s="30" t="s">
        <v>149</v>
      </c>
      <c r="F296" s="30" t="s">
        <v>149</v>
      </c>
    </row>
    <row r="297">
      <c r="A297" s="30" t="s">
        <v>942</v>
      </c>
      <c r="B297" s="30" t="s">
        <v>943</v>
      </c>
      <c r="C297" s="30" t="s">
        <v>457</v>
      </c>
      <c r="D297" s="30" t="s">
        <v>54</v>
      </c>
      <c r="E297" s="30" t="s">
        <v>149</v>
      </c>
      <c r="F297" s="30" t="s">
        <v>149</v>
      </c>
    </row>
    <row r="298">
      <c r="A298" s="30" t="s">
        <v>944</v>
      </c>
      <c r="B298" s="30" t="s">
        <v>945</v>
      </c>
      <c r="C298" s="30" t="s">
        <v>457</v>
      </c>
      <c r="D298" s="30" t="s">
        <v>54</v>
      </c>
      <c r="E298" s="30" t="s">
        <v>149</v>
      </c>
      <c r="F298" s="30" t="s">
        <v>149</v>
      </c>
    </row>
    <row r="299">
      <c r="A299" s="30" t="s">
        <v>946</v>
      </c>
      <c r="B299" s="30" t="s">
        <v>948</v>
      </c>
      <c r="C299" s="30" t="s">
        <v>457</v>
      </c>
      <c r="D299" s="30" t="s">
        <v>54</v>
      </c>
      <c r="E299" s="30" t="s">
        <v>149</v>
      </c>
      <c r="F299" s="30" t="s">
        <v>149</v>
      </c>
    </row>
    <row r="300">
      <c r="A300" s="30" t="s">
        <v>949</v>
      </c>
      <c r="B300" s="30" t="s">
        <v>950</v>
      </c>
      <c r="C300" s="30" t="s">
        <v>457</v>
      </c>
      <c r="D300" s="30" t="s">
        <v>54</v>
      </c>
      <c r="E300" s="30" t="s">
        <v>149</v>
      </c>
      <c r="F300" s="30" t="s">
        <v>149</v>
      </c>
    </row>
    <row r="301">
      <c r="A301" s="30" t="s">
        <v>951</v>
      </c>
      <c r="B301" s="30" t="s">
        <v>952</v>
      </c>
      <c r="C301" s="30" t="s">
        <v>466</v>
      </c>
      <c r="D301" s="30" t="s">
        <v>54</v>
      </c>
      <c r="E301" s="30" t="s">
        <v>149</v>
      </c>
      <c r="F301" s="30" t="s">
        <v>149</v>
      </c>
    </row>
    <row r="302">
      <c r="A302" s="30" t="s">
        <v>954</v>
      </c>
      <c r="B302" s="30" t="s">
        <v>956</v>
      </c>
      <c r="C302" s="30" t="s">
        <v>457</v>
      </c>
      <c r="D302" s="30" t="s">
        <v>54</v>
      </c>
      <c r="E302" s="30" t="s">
        <v>149</v>
      </c>
      <c r="F302" s="30" t="s">
        <v>149</v>
      </c>
    </row>
    <row r="303">
      <c r="A303" s="30" t="s">
        <v>959</v>
      </c>
      <c r="B303" s="30" t="s">
        <v>960</v>
      </c>
      <c r="C303" s="30" t="s">
        <v>457</v>
      </c>
      <c r="D303" s="30" t="s">
        <v>54</v>
      </c>
      <c r="E303" s="30" t="s">
        <v>149</v>
      </c>
      <c r="F303" s="30" t="s">
        <v>149</v>
      </c>
    </row>
    <row r="304">
      <c r="A304" s="30" t="s">
        <v>961</v>
      </c>
      <c r="B304" s="30" t="s">
        <v>962</v>
      </c>
      <c r="C304" s="30" t="s">
        <v>457</v>
      </c>
      <c r="D304" s="30" t="s">
        <v>54</v>
      </c>
      <c r="E304" s="30" t="s">
        <v>149</v>
      </c>
      <c r="F304" s="30" t="s">
        <v>149</v>
      </c>
    </row>
    <row r="305">
      <c r="A305" s="30" t="s">
        <v>963</v>
      </c>
      <c r="B305" s="30" t="s">
        <v>964</v>
      </c>
      <c r="C305" s="30" t="s">
        <v>457</v>
      </c>
      <c r="D305" s="30" t="s">
        <v>54</v>
      </c>
      <c r="E305" s="30" t="s">
        <v>149</v>
      </c>
      <c r="F305" s="30" t="s">
        <v>149</v>
      </c>
    </row>
    <row r="306">
      <c r="A306" s="30" t="s">
        <v>965</v>
      </c>
      <c r="B306" s="30" t="s">
        <v>966</v>
      </c>
      <c r="C306" s="30" t="s">
        <v>457</v>
      </c>
      <c r="D306" s="30" t="s">
        <v>54</v>
      </c>
      <c r="E306" s="30" t="s">
        <v>149</v>
      </c>
      <c r="F306" s="30" t="s">
        <v>149</v>
      </c>
    </row>
    <row r="307">
      <c r="A307" s="30" t="s">
        <v>968</v>
      </c>
      <c r="B307" s="30" t="s">
        <v>969</v>
      </c>
      <c r="C307" s="30" t="s">
        <v>457</v>
      </c>
      <c r="D307" s="30" t="s">
        <v>44</v>
      </c>
      <c r="E307" s="29"/>
      <c r="F307" s="29"/>
    </row>
    <row r="308">
      <c r="A308" s="30" t="s">
        <v>970</v>
      </c>
      <c r="B308" s="30" t="s">
        <v>971</v>
      </c>
      <c r="C308" s="30" t="s">
        <v>466</v>
      </c>
      <c r="D308" s="30" t="s">
        <v>54</v>
      </c>
      <c r="E308" s="30" t="s">
        <v>149</v>
      </c>
      <c r="F308" s="30" t="s">
        <v>149</v>
      </c>
    </row>
    <row r="309">
      <c r="A309" s="30" t="s">
        <v>972</v>
      </c>
      <c r="B309" s="30" t="s">
        <v>973</v>
      </c>
      <c r="C309" s="30" t="s">
        <v>457</v>
      </c>
      <c r="D309" s="30" t="s">
        <v>54</v>
      </c>
      <c r="E309" s="30" t="s">
        <v>149</v>
      </c>
      <c r="F309" s="30" t="s">
        <v>149</v>
      </c>
    </row>
    <row r="310">
      <c r="A310" s="30" t="s">
        <v>976</v>
      </c>
      <c r="B310" s="30" t="s">
        <v>977</v>
      </c>
      <c r="C310" s="30" t="s">
        <v>457</v>
      </c>
      <c r="D310" s="30" t="s">
        <v>54</v>
      </c>
      <c r="E310" s="30" t="s">
        <v>149</v>
      </c>
      <c r="F310" s="30" t="s">
        <v>149</v>
      </c>
    </row>
    <row r="311">
      <c r="A311" s="30" t="s">
        <v>978</v>
      </c>
      <c r="B311" s="30" t="s">
        <v>979</v>
      </c>
      <c r="C311" s="30" t="s">
        <v>457</v>
      </c>
      <c r="D311" s="30" t="s">
        <v>54</v>
      </c>
      <c r="E311" s="30" t="s">
        <v>149</v>
      </c>
      <c r="F311" s="30" t="s">
        <v>149</v>
      </c>
    </row>
    <row r="312">
      <c r="A312" s="30" t="s">
        <v>980</v>
      </c>
      <c r="B312" s="30" t="s">
        <v>981</v>
      </c>
      <c r="C312" s="30" t="s">
        <v>457</v>
      </c>
      <c r="D312" s="30" t="s">
        <v>54</v>
      </c>
      <c r="E312" s="30" t="s">
        <v>149</v>
      </c>
      <c r="F312" s="30" t="s">
        <v>149</v>
      </c>
    </row>
    <row r="313">
      <c r="A313" s="30" t="s">
        <v>983</v>
      </c>
      <c r="B313" s="30" t="s">
        <v>984</v>
      </c>
      <c r="C313" s="30" t="s">
        <v>457</v>
      </c>
      <c r="D313" s="30" t="s">
        <v>54</v>
      </c>
      <c r="E313" s="30" t="s">
        <v>149</v>
      </c>
      <c r="F313" s="30" t="s">
        <v>149</v>
      </c>
    </row>
    <row r="314">
      <c r="A314" s="30" t="s">
        <v>985</v>
      </c>
      <c r="B314" s="30" t="s">
        <v>986</v>
      </c>
      <c r="C314" s="30" t="s">
        <v>457</v>
      </c>
      <c r="D314" s="30" t="s">
        <v>54</v>
      </c>
      <c r="E314" s="30" t="s">
        <v>149</v>
      </c>
      <c r="F314" s="30" t="s">
        <v>149</v>
      </c>
    </row>
    <row r="315">
      <c r="A315" s="30" t="s">
        <v>988</v>
      </c>
      <c r="B315" s="30" t="s">
        <v>989</v>
      </c>
      <c r="C315" s="30" t="s">
        <v>457</v>
      </c>
      <c r="D315" s="30" t="s">
        <v>54</v>
      </c>
      <c r="E315" s="30" t="s">
        <v>149</v>
      </c>
      <c r="F315" s="30" t="s">
        <v>149</v>
      </c>
    </row>
    <row r="316">
      <c r="A316" s="30" t="s">
        <v>992</v>
      </c>
      <c r="B316" s="30" t="s">
        <v>993</v>
      </c>
      <c r="C316" s="30" t="s">
        <v>457</v>
      </c>
      <c r="D316" s="30" t="s">
        <v>54</v>
      </c>
      <c r="E316" s="30" t="s">
        <v>149</v>
      </c>
      <c r="F316" s="30" t="s">
        <v>149</v>
      </c>
    </row>
    <row r="317">
      <c r="A317" s="30" t="s">
        <v>996</v>
      </c>
      <c r="B317" s="30" t="s">
        <v>997</v>
      </c>
      <c r="C317" s="30" t="s">
        <v>457</v>
      </c>
      <c r="D317" s="30" t="s">
        <v>54</v>
      </c>
      <c r="E317" s="30" t="s">
        <v>149</v>
      </c>
      <c r="F317" s="30" t="s">
        <v>149</v>
      </c>
    </row>
    <row r="318">
      <c r="A318" s="30" t="s">
        <v>999</v>
      </c>
      <c r="B318" s="30" t="s">
        <v>1000</v>
      </c>
      <c r="C318" s="30" t="s">
        <v>466</v>
      </c>
      <c r="D318" s="30" t="s">
        <v>54</v>
      </c>
      <c r="E318" s="30" t="s">
        <v>149</v>
      </c>
      <c r="F318" s="30" t="s">
        <v>149</v>
      </c>
    </row>
    <row r="319">
      <c r="A319" s="30" t="s">
        <v>1001</v>
      </c>
      <c r="B319" s="30" t="s">
        <v>1002</v>
      </c>
      <c r="C319" s="30" t="s">
        <v>457</v>
      </c>
      <c r="D319" s="30" t="s">
        <v>44</v>
      </c>
      <c r="E319" s="29"/>
      <c r="F319" s="29"/>
    </row>
    <row r="320">
      <c r="A320" s="30" t="s">
        <v>1004</v>
      </c>
      <c r="B320" s="30" t="s">
        <v>1005</v>
      </c>
      <c r="C320" s="30" t="s">
        <v>457</v>
      </c>
      <c r="D320" s="30" t="s">
        <v>44</v>
      </c>
      <c r="E320" s="29"/>
      <c r="F320" s="29"/>
    </row>
    <row r="321">
      <c r="A321" s="30" t="s">
        <v>1007</v>
      </c>
      <c r="B321" s="30" t="s">
        <v>1008</v>
      </c>
      <c r="C321" s="30" t="s">
        <v>466</v>
      </c>
      <c r="D321" s="30" t="s">
        <v>54</v>
      </c>
      <c r="E321" s="30" t="s">
        <v>149</v>
      </c>
      <c r="F321" s="30" t="s">
        <v>149</v>
      </c>
    </row>
    <row r="322">
      <c r="A322" s="30" t="s">
        <v>1010</v>
      </c>
      <c r="B322" s="30" t="s">
        <v>1011</v>
      </c>
      <c r="C322" s="30" t="s">
        <v>457</v>
      </c>
      <c r="D322" s="30" t="s">
        <v>54</v>
      </c>
      <c r="E322" s="30" t="s">
        <v>149</v>
      </c>
      <c r="F322" s="30" t="s">
        <v>149</v>
      </c>
    </row>
    <row r="323">
      <c r="A323" s="30" t="s">
        <v>1012</v>
      </c>
      <c r="B323" s="30" t="s">
        <v>1013</v>
      </c>
      <c r="C323" s="30" t="s">
        <v>457</v>
      </c>
      <c r="D323" s="30" t="s">
        <v>54</v>
      </c>
      <c r="E323" s="30" t="s">
        <v>149</v>
      </c>
      <c r="F323" s="30" t="s">
        <v>149</v>
      </c>
    </row>
    <row r="324">
      <c r="A324" s="30" t="s">
        <v>1015</v>
      </c>
      <c r="B324" s="30" t="s">
        <v>1016</v>
      </c>
      <c r="C324" s="30" t="s">
        <v>457</v>
      </c>
      <c r="D324" s="30" t="s">
        <v>54</v>
      </c>
      <c r="E324" s="30" t="s">
        <v>149</v>
      </c>
      <c r="F324" s="30" t="s">
        <v>149</v>
      </c>
    </row>
    <row r="325">
      <c r="A325" s="30" t="s">
        <v>1018</v>
      </c>
      <c r="B325" s="30" t="s">
        <v>1019</v>
      </c>
      <c r="C325" s="30" t="s">
        <v>457</v>
      </c>
      <c r="D325" s="30" t="s">
        <v>54</v>
      </c>
      <c r="E325" s="30" t="s">
        <v>149</v>
      </c>
      <c r="F325" s="30" t="s">
        <v>149</v>
      </c>
    </row>
    <row r="326">
      <c r="A326" s="30" t="s">
        <v>1020</v>
      </c>
      <c r="B326" s="30" t="s">
        <v>1021</v>
      </c>
      <c r="C326" s="30" t="s">
        <v>457</v>
      </c>
      <c r="D326" s="30" t="s">
        <v>54</v>
      </c>
      <c r="E326" s="30" t="s">
        <v>149</v>
      </c>
      <c r="F326" s="30" t="s">
        <v>149</v>
      </c>
    </row>
    <row r="327">
      <c r="A327" s="30" t="s">
        <v>1023</v>
      </c>
      <c r="B327" s="30" t="s">
        <v>1024</v>
      </c>
      <c r="C327" s="30" t="s">
        <v>457</v>
      </c>
      <c r="D327" s="30" t="s">
        <v>54</v>
      </c>
      <c r="E327" s="30" t="s">
        <v>149</v>
      </c>
      <c r="F327" s="30" t="s">
        <v>149</v>
      </c>
    </row>
    <row r="328">
      <c r="A328" s="30" t="s">
        <v>1025</v>
      </c>
      <c r="B328" s="30" t="s">
        <v>1026</v>
      </c>
      <c r="C328" s="30" t="s">
        <v>457</v>
      </c>
      <c r="D328" s="30" t="s">
        <v>54</v>
      </c>
      <c r="E328" s="30" t="s">
        <v>149</v>
      </c>
      <c r="F328" s="30" t="s">
        <v>149</v>
      </c>
    </row>
    <row r="329">
      <c r="A329" s="30" t="s">
        <v>1027</v>
      </c>
      <c r="B329" s="30" t="s">
        <v>1028</v>
      </c>
      <c r="C329" s="30" t="s">
        <v>466</v>
      </c>
      <c r="D329" s="30" t="s">
        <v>54</v>
      </c>
      <c r="E329" s="30" t="s">
        <v>149</v>
      </c>
      <c r="F329" s="30" t="s">
        <v>149</v>
      </c>
    </row>
    <row r="330">
      <c r="A330" s="30" t="s">
        <v>1029</v>
      </c>
      <c r="B330" s="30" t="s">
        <v>1030</v>
      </c>
      <c r="C330" s="30" t="s">
        <v>457</v>
      </c>
      <c r="D330" s="30" t="s">
        <v>54</v>
      </c>
      <c r="E330" s="30" t="s">
        <v>149</v>
      </c>
      <c r="F330" s="30" t="s">
        <v>149</v>
      </c>
    </row>
    <row r="331">
      <c r="A331" s="30" t="s">
        <v>1031</v>
      </c>
      <c r="B331" s="30" t="s">
        <v>1032</v>
      </c>
      <c r="C331" s="30" t="s">
        <v>457</v>
      </c>
      <c r="D331" s="30" t="s">
        <v>44</v>
      </c>
      <c r="E331" s="29"/>
      <c r="F331" s="29"/>
    </row>
    <row r="332">
      <c r="A332" s="30" t="s">
        <v>1033</v>
      </c>
      <c r="B332" s="30" t="s">
        <v>1034</v>
      </c>
      <c r="C332" s="30" t="s">
        <v>457</v>
      </c>
      <c r="D332" s="30" t="s">
        <v>54</v>
      </c>
      <c r="E332" s="30" t="s">
        <v>149</v>
      </c>
      <c r="F332" s="30" t="s">
        <v>149</v>
      </c>
    </row>
    <row r="333">
      <c r="A333" s="30" t="s">
        <v>1036</v>
      </c>
      <c r="B333" s="30" t="s">
        <v>1037</v>
      </c>
      <c r="C333" s="30" t="s">
        <v>457</v>
      </c>
      <c r="D333" s="30" t="s">
        <v>54</v>
      </c>
      <c r="E333" s="30" t="s">
        <v>149</v>
      </c>
      <c r="F333" s="30" t="s">
        <v>149</v>
      </c>
    </row>
    <row r="334">
      <c r="A334" s="30" t="s">
        <v>1038</v>
      </c>
      <c r="B334" s="30" t="s">
        <v>1039</v>
      </c>
      <c r="C334" s="30" t="s">
        <v>457</v>
      </c>
      <c r="D334" s="30" t="s">
        <v>54</v>
      </c>
      <c r="E334" s="30" t="s">
        <v>149</v>
      </c>
      <c r="F334" s="30" t="s">
        <v>149</v>
      </c>
    </row>
    <row r="335">
      <c r="A335" s="30" t="s">
        <v>1040</v>
      </c>
      <c r="B335" s="30" t="s">
        <v>1041</v>
      </c>
      <c r="C335" s="30" t="s">
        <v>457</v>
      </c>
      <c r="D335" s="30" t="s">
        <v>54</v>
      </c>
      <c r="E335" s="30" t="s">
        <v>149</v>
      </c>
      <c r="F335" s="30" t="s">
        <v>149</v>
      </c>
    </row>
    <row r="336">
      <c r="A336" s="30" t="s">
        <v>1042</v>
      </c>
      <c r="B336" s="30" t="s">
        <v>1043</v>
      </c>
      <c r="C336" s="30" t="s">
        <v>466</v>
      </c>
      <c r="D336" s="30" t="s">
        <v>44</v>
      </c>
      <c r="E336" s="29"/>
      <c r="F336" s="29"/>
    </row>
    <row r="337">
      <c r="A337" s="30" t="s">
        <v>1044</v>
      </c>
      <c r="B337" s="30" t="s">
        <v>1045</v>
      </c>
      <c r="C337" s="30" t="s">
        <v>457</v>
      </c>
      <c r="D337" s="30" t="s">
        <v>54</v>
      </c>
      <c r="E337" s="30" t="s">
        <v>149</v>
      </c>
      <c r="F337" s="30" t="s">
        <v>149</v>
      </c>
    </row>
    <row r="338">
      <c r="A338" s="30" t="s">
        <v>1046</v>
      </c>
      <c r="B338" s="30" t="s">
        <v>1047</v>
      </c>
      <c r="C338" s="30" t="s">
        <v>466</v>
      </c>
      <c r="D338" s="30" t="s">
        <v>54</v>
      </c>
      <c r="E338" s="30" t="s">
        <v>149</v>
      </c>
      <c r="F338" s="30" t="s">
        <v>149</v>
      </c>
    </row>
    <row r="339">
      <c r="A339" s="30" t="s">
        <v>1050</v>
      </c>
      <c r="B339" s="30" t="s">
        <v>1051</v>
      </c>
      <c r="C339" s="30" t="s">
        <v>457</v>
      </c>
      <c r="D339" s="30" t="s">
        <v>54</v>
      </c>
      <c r="E339" s="30" t="s">
        <v>149</v>
      </c>
      <c r="F339" s="30" t="s">
        <v>149</v>
      </c>
    </row>
    <row r="340">
      <c r="A340" s="30" t="s">
        <v>1054</v>
      </c>
      <c r="B340" s="30" t="s">
        <v>1055</v>
      </c>
      <c r="C340" s="30" t="s">
        <v>457</v>
      </c>
      <c r="D340" s="30" t="s">
        <v>54</v>
      </c>
      <c r="E340" s="30" t="s">
        <v>149</v>
      </c>
      <c r="F340" s="30" t="s">
        <v>149</v>
      </c>
    </row>
    <row r="341">
      <c r="A341" s="30" t="s">
        <v>1056</v>
      </c>
      <c r="B341" s="30" t="s">
        <v>1057</v>
      </c>
      <c r="C341" s="30" t="s">
        <v>466</v>
      </c>
      <c r="D341" s="30" t="s">
        <v>54</v>
      </c>
      <c r="E341" s="30" t="s">
        <v>149</v>
      </c>
      <c r="F341" s="30" t="s">
        <v>149</v>
      </c>
    </row>
    <row r="342">
      <c r="A342" s="30" t="s">
        <v>1059</v>
      </c>
      <c r="B342" s="30" t="s">
        <v>1060</v>
      </c>
      <c r="C342" s="30" t="s">
        <v>457</v>
      </c>
      <c r="D342" s="30" t="s">
        <v>54</v>
      </c>
      <c r="E342" s="30" t="s">
        <v>149</v>
      </c>
      <c r="F342" s="30" t="s">
        <v>149</v>
      </c>
    </row>
    <row r="343">
      <c r="A343" s="30" t="s">
        <v>1061</v>
      </c>
      <c r="B343" s="30" t="s">
        <v>1063</v>
      </c>
      <c r="C343" s="30" t="s">
        <v>466</v>
      </c>
      <c r="D343" s="30" t="s">
        <v>54</v>
      </c>
      <c r="E343" s="30" t="s">
        <v>149</v>
      </c>
      <c r="F343" s="30" t="s">
        <v>149</v>
      </c>
    </row>
    <row r="344">
      <c r="A344" s="30" t="s">
        <v>1066</v>
      </c>
      <c r="B344" s="30" t="s">
        <v>1067</v>
      </c>
      <c r="C344" s="30" t="s">
        <v>457</v>
      </c>
      <c r="D344" s="30" t="s">
        <v>54</v>
      </c>
      <c r="E344" s="30" t="s">
        <v>149</v>
      </c>
      <c r="F344" s="30" t="s">
        <v>149</v>
      </c>
    </row>
    <row r="345">
      <c r="A345" s="30" t="s">
        <v>1068</v>
      </c>
      <c r="B345" s="30" t="s">
        <v>1069</v>
      </c>
      <c r="C345" s="30" t="s">
        <v>457</v>
      </c>
      <c r="D345" s="30" t="s">
        <v>54</v>
      </c>
      <c r="E345" s="30" t="s">
        <v>149</v>
      </c>
      <c r="F345" s="30" t="s">
        <v>149</v>
      </c>
    </row>
    <row r="346">
      <c r="A346" s="30" t="s">
        <v>1070</v>
      </c>
      <c r="B346" s="30" t="s">
        <v>1072</v>
      </c>
      <c r="C346" s="30" t="s">
        <v>457</v>
      </c>
      <c r="D346" s="30" t="s">
        <v>54</v>
      </c>
      <c r="E346" s="30" t="s">
        <v>149</v>
      </c>
      <c r="F346" s="30" t="s">
        <v>149</v>
      </c>
    </row>
    <row r="347">
      <c r="A347" s="30" t="s">
        <v>1074</v>
      </c>
      <c r="B347" s="30" t="s">
        <v>1075</v>
      </c>
      <c r="C347" s="30" t="s">
        <v>457</v>
      </c>
      <c r="D347" s="30" t="s">
        <v>44</v>
      </c>
      <c r="E347" s="29"/>
      <c r="F347" s="29"/>
    </row>
    <row r="348">
      <c r="A348" s="30" t="s">
        <v>1077</v>
      </c>
      <c r="B348" s="30" t="s">
        <v>1078</v>
      </c>
      <c r="C348" s="30" t="s">
        <v>466</v>
      </c>
      <c r="D348" s="30" t="s">
        <v>54</v>
      </c>
      <c r="E348" s="30" t="s">
        <v>149</v>
      </c>
      <c r="F348" s="30" t="s">
        <v>149</v>
      </c>
    </row>
    <row r="349">
      <c r="A349" s="30" t="s">
        <v>1079</v>
      </c>
      <c r="B349" s="30" t="s">
        <v>1080</v>
      </c>
      <c r="C349" s="30" t="s">
        <v>466</v>
      </c>
      <c r="D349" s="30" t="s">
        <v>54</v>
      </c>
      <c r="E349" s="30" t="s">
        <v>149</v>
      </c>
      <c r="F349" s="30" t="s">
        <v>149</v>
      </c>
    </row>
    <row r="350">
      <c r="A350" s="30" t="s">
        <v>1081</v>
      </c>
      <c r="B350" s="30" t="s">
        <v>1082</v>
      </c>
      <c r="C350" s="30" t="s">
        <v>466</v>
      </c>
      <c r="D350" s="30" t="s">
        <v>54</v>
      </c>
      <c r="E350" s="30" t="s">
        <v>149</v>
      </c>
      <c r="F350" s="30" t="s">
        <v>149</v>
      </c>
    </row>
    <row r="351">
      <c r="A351" s="30" t="s">
        <v>1083</v>
      </c>
      <c r="B351" s="30" t="s">
        <v>1084</v>
      </c>
      <c r="C351" s="30" t="s">
        <v>457</v>
      </c>
      <c r="D351" s="30" t="s">
        <v>54</v>
      </c>
      <c r="E351" s="30" t="s">
        <v>149</v>
      </c>
      <c r="F351" s="30" t="s">
        <v>149</v>
      </c>
    </row>
    <row r="352">
      <c r="A352" s="30" t="s">
        <v>1085</v>
      </c>
      <c r="B352" s="30" t="s">
        <v>1086</v>
      </c>
      <c r="C352" s="30" t="s">
        <v>457</v>
      </c>
      <c r="D352" s="30" t="s">
        <v>44</v>
      </c>
      <c r="E352" s="29"/>
      <c r="F352" s="29"/>
    </row>
    <row r="353">
      <c r="A353" s="30" t="s">
        <v>1089</v>
      </c>
      <c r="B353" s="30" t="s">
        <v>1090</v>
      </c>
      <c r="C353" s="30" t="s">
        <v>457</v>
      </c>
      <c r="D353" s="30" t="s">
        <v>54</v>
      </c>
      <c r="E353" s="30" t="s">
        <v>149</v>
      </c>
      <c r="F353" s="30" t="s">
        <v>149</v>
      </c>
    </row>
    <row r="354">
      <c r="A354" s="30" t="s">
        <v>1091</v>
      </c>
      <c r="B354" s="30" t="s">
        <v>1092</v>
      </c>
      <c r="C354" s="30" t="s">
        <v>457</v>
      </c>
      <c r="D354" s="30" t="s">
        <v>54</v>
      </c>
      <c r="E354" s="30" t="s">
        <v>149</v>
      </c>
      <c r="F354" s="30" t="s">
        <v>149</v>
      </c>
    </row>
    <row r="355">
      <c r="A355" s="30" t="s">
        <v>1093</v>
      </c>
      <c r="B355" s="30" t="s">
        <v>1094</v>
      </c>
      <c r="C355" s="30" t="s">
        <v>457</v>
      </c>
      <c r="D355" s="30" t="s">
        <v>54</v>
      </c>
      <c r="E355" s="30" t="s">
        <v>149</v>
      </c>
      <c r="F355" s="30" t="s">
        <v>149</v>
      </c>
    </row>
    <row r="356">
      <c r="A356" s="30" t="s">
        <v>1096</v>
      </c>
      <c r="B356" s="30" t="s">
        <v>1097</v>
      </c>
      <c r="C356" s="30" t="s">
        <v>466</v>
      </c>
      <c r="D356" s="30" t="s">
        <v>54</v>
      </c>
      <c r="E356" s="30" t="s">
        <v>149</v>
      </c>
      <c r="F356" s="30" t="s">
        <v>149</v>
      </c>
    </row>
    <row r="357">
      <c r="A357" s="30" t="s">
        <v>1098</v>
      </c>
      <c r="B357" s="30" t="s">
        <v>1099</v>
      </c>
      <c r="C357" s="30" t="s">
        <v>457</v>
      </c>
      <c r="D357" s="30" t="s">
        <v>54</v>
      </c>
      <c r="E357" s="30" t="s">
        <v>149</v>
      </c>
      <c r="F357" s="30" t="s">
        <v>149</v>
      </c>
    </row>
    <row r="358">
      <c r="A358" s="30" t="s">
        <v>1101</v>
      </c>
      <c r="B358" s="30" t="s">
        <v>1102</v>
      </c>
      <c r="C358" s="30" t="s">
        <v>457</v>
      </c>
      <c r="D358" s="30" t="s">
        <v>54</v>
      </c>
      <c r="E358" s="30" t="s">
        <v>149</v>
      </c>
      <c r="F358" s="30" t="s">
        <v>149</v>
      </c>
    </row>
    <row r="359">
      <c r="A359" s="30" t="s">
        <v>1103</v>
      </c>
      <c r="B359" s="30" t="s">
        <v>1104</v>
      </c>
      <c r="C359" s="30" t="s">
        <v>466</v>
      </c>
      <c r="D359" s="30" t="s">
        <v>44</v>
      </c>
      <c r="E359" s="29"/>
      <c r="F359" s="29"/>
    </row>
    <row r="360">
      <c r="A360" s="30" t="s">
        <v>1105</v>
      </c>
      <c r="B360" s="30" t="s">
        <v>1106</v>
      </c>
      <c r="C360" s="30" t="s">
        <v>457</v>
      </c>
      <c r="D360" s="30" t="s">
        <v>44</v>
      </c>
      <c r="E360" s="29"/>
      <c r="F360" s="29"/>
    </row>
    <row r="361">
      <c r="A361" s="30" t="s">
        <v>1107</v>
      </c>
      <c r="B361" s="30" t="s">
        <v>1108</v>
      </c>
      <c r="C361" s="30" t="s">
        <v>457</v>
      </c>
      <c r="D361" s="30" t="s">
        <v>54</v>
      </c>
      <c r="E361" s="30" t="s">
        <v>149</v>
      </c>
      <c r="F361" s="30" t="s">
        <v>149</v>
      </c>
    </row>
    <row r="362">
      <c r="A362" s="30" t="s">
        <v>1109</v>
      </c>
      <c r="B362" s="30" t="s">
        <v>1110</v>
      </c>
      <c r="C362" s="30" t="s">
        <v>457</v>
      </c>
      <c r="D362" s="30" t="s">
        <v>54</v>
      </c>
      <c r="E362" s="30" t="s">
        <v>149</v>
      </c>
      <c r="F362" s="30" t="s">
        <v>149</v>
      </c>
    </row>
    <row r="363">
      <c r="A363" s="30" t="s">
        <v>1112</v>
      </c>
      <c r="B363" s="30" t="s">
        <v>1113</v>
      </c>
      <c r="C363" s="30" t="s">
        <v>457</v>
      </c>
      <c r="D363" s="30" t="s">
        <v>54</v>
      </c>
      <c r="E363" s="30" t="s">
        <v>149</v>
      </c>
      <c r="F363" s="30" t="s">
        <v>149</v>
      </c>
    </row>
    <row r="364">
      <c r="A364" s="30" t="s">
        <v>1114</v>
      </c>
      <c r="B364" s="30" t="s">
        <v>1115</v>
      </c>
      <c r="C364" s="30" t="s">
        <v>457</v>
      </c>
      <c r="D364" s="30" t="s">
        <v>54</v>
      </c>
      <c r="E364" s="30" t="s">
        <v>149</v>
      </c>
      <c r="F364" s="30" t="s">
        <v>149</v>
      </c>
    </row>
    <row r="365">
      <c r="A365" s="30" t="s">
        <v>1116</v>
      </c>
      <c r="B365" s="30" t="s">
        <v>1117</v>
      </c>
      <c r="C365" s="30" t="s">
        <v>457</v>
      </c>
      <c r="D365" s="30" t="s">
        <v>54</v>
      </c>
      <c r="E365" s="30" t="s">
        <v>149</v>
      </c>
      <c r="F365" s="30" t="s">
        <v>149</v>
      </c>
    </row>
    <row r="366">
      <c r="A366" s="30" t="s">
        <v>1118</v>
      </c>
      <c r="B366" s="30" t="s">
        <v>1119</v>
      </c>
      <c r="C366" s="30" t="s">
        <v>457</v>
      </c>
      <c r="D366" s="30" t="s">
        <v>54</v>
      </c>
      <c r="E366" s="30" t="s">
        <v>149</v>
      </c>
      <c r="F366" s="30" t="s">
        <v>149</v>
      </c>
    </row>
    <row r="367">
      <c r="A367" s="30" t="s">
        <v>1121</v>
      </c>
      <c r="B367" s="30" t="s">
        <v>1122</v>
      </c>
      <c r="C367" s="30" t="s">
        <v>457</v>
      </c>
      <c r="D367" s="30" t="s">
        <v>54</v>
      </c>
      <c r="E367" s="30" t="s">
        <v>149</v>
      </c>
      <c r="F367" s="30" t="s">
        <v>149</v>
      </c>
    </row>
    <row r="368">
      <c r="A368" s="30" t="s">
        <v>1123</v>
      </c>
      <c r="B368" s="30" t="s">
        <v>1124</v>
      </c>
      <c r="C368" s="30" t="s">
        <v>466</v>
      </c>
      <c r="D368" s="30" t="s">
        <v>54</v>
      </c>
      <c r="E368" s="30" t="s">
        <v>149</v>
      </c>
      <c r="F368" s="30" t="s">
        <v>149</v>
      </c>
    </row>
    <row r="369">
      <c r="A369" s="30" t="s">
        <v>1125</v>
      </c>
      <c r="B369" s="30" t="s">
        <v>1126</v>
      </c>
      <c r="C369" s="30" t="s">
        <v>466</v>
      </c>
      <c r="D369" s="30" t="s">
        <v>54</v>
      </c>
      <c r="E369" s="30" t="s">
        <v>149</v>
      </c>
      <c r="F369" s="30" t="s">
        <v>149</v>
      </c>
    </row>
    <row r="370">
      <c r="A370" s="30" t="s">
        <v>1127</v>
      </c>
      <c r="B370" s="30" t="s">
        <v>1128</v>
      </c>
      <c r="C370" s="30" t="s">
        <v>457</v>
      </c>
      <c r="D370" s="30" t="s">
        <v>54</v>
      </c>
      <c r="E370" s="30" t="s">
        <v>149</v>
      </c>
      <c r="F370" s="30" t="s">
        <v>149</v>
      </c>
    </row>
    <row r="371">
      <c r="A371" s="30" t="s">
        <v>1129</v>
      </c>
      <c r="B371" s="30" t="s">
        <v>879</v>
      </c>
      <c r="C371" s="30" t="s">
        <v>466</v>
      </c>
      <c r="D371" s="30" t="s">
        <v>54</v>
      </c>
      <c r="E371" s="30" t="s">
        <v>149</v>
      </c>
      <c r="F371" s="30" t="s">
        <v>149</v>
      </c>
    </row>
    <row r="372">
      <c r="A372" s="30" t="s">
        <v>1130</v>
      </c>
      <c r="B372" s="30" t="s">
        <v>1131</v>
      </c>
      <c r="C372" s="30" t="s">
        <v>466</v>
      </c>
      <c r="D372" s="30" t="s">
        <v>44</v>
      </c>
      <c r="E372" s="29"/>
      <c r="F372" s="29"/>
    </row>
    <row r="373">
      <c r="A373" s="30" t="s">
        <v>1132</v>
      </c>
      <c r="B373" s="30" t="s">
        <v>1133</v>
      </c>
      <c r="C373" s="30" t="s">
        <v>457</v>
      </c>
      <c r="D373" s="30" t="s">
        <v>54</v>
      </c>
      <c r="E373" s="30" t="s">
        <v>149</v>
      </c>
      <c r="F373" s="30" t="s">
        <v>149</v>
      </c>
    </row>
    <row r="374">
      <c r="A374" s="30" t="s">
        <v>1135</v>
      </c>
      <c r="B374" s="30" t="s">
        <v>1136</v>
      </c>
      <c r="C374" s="30" t="s">
        <v>457</v>
      </c>
      <c r="D374" s="30" t="s">
        <v>54</v>
      </c>
      <c r="E374" s="30" t="s">
        <v>149</v>
      </c>
      <c r="F374" s="30" t="s">
        <v>149</v>
      </c>
    </row>
    <row r="375">
      <c r="A375" s="30" t="s">
        <v>1137</v>
      </c>
      <c r="B375" s="30" t="s">
        <v>1138</v>
      </c>
      <c r="C375" s="30" t="s">
        <v>457</v>
      </c>
      <c r="D375" s="30" t="s">
        <v>54</v>
      </c>
      <c r="E375" s="30" t="s">
        <v>149</v>
      </c>
      <c r="F375" s="30" t="s">
        <v>149</v>
      </c>
    </row>
    <row r="376">
      <c r="A376" s="30" t="s">
        <v>1140</v>
      </c>
      <c r="B376" s="30" t="s">
        <v>1141</v>
      </c>
      <c r="C376" s="30" t="s">
        <v>457</v>
      </c>
      <c r="D376" s="30" t="s">
        <v>54</v>
      </c>
      <c r="E376" s="30" t="s">
        <v>149</v>
      </c>
      <c r="F376" s="30" t="s">
        <v>149</v>
      </c>
    </row>
    <row r="377">
      <c r="A377" s="30" t="s">
        <v>1142</v>
      </c>
      <c r="B377" s="30" t="s">
        <v>1144</v>
      </c>
      <c r="C377" s="30" t="s">
        <v>457</v>
      </c>
      <c r="D377" s="30" t="s">
        <v>44</v>
      </c>
      <c r="E377" s="29"/>
      <c r="F377" s="29"/>
    </row>
    <row r="378">
      <c r="A378" s="30" t="s">
        <v>1145</v>
      </c>
      <c r="B378" s="30" t="s">
        <v>1146</v>
      </c>
      <c r="C378" s="30" t="s">
        <v>457</v>
      </c>
      <c r="D378" s="30" t="s">
        <v>54</v>
      </c>
      <c r="E378" s="30" t="s">
        <v>149</v>
      </c>
      <c r="F378" s="30" t="s">
        <v>149</v>
      </c>
    </row>
    <row r="379">
      <c r="A379" s="30" t="s">
        <v>1147</v>
      </c>
      <c r="B379" s="30" t="s">
        <v>1148</v>
      </c>
      <c r="C379" s="30" t="s">
        <v>457</v>
      </c>
      <c r="D379" s="30" t="s">
        <v>54</v>
      </c>
      <c r="E379" s="30" t="s">
        <v>149</v>
      </c>
      <c r="F379" s="30" t="s">
        <v>149</v>
      </c>
    </row>
    <row r="380">
      <c r="A380" s="30" t="s">
        <v>1149</v>
      </c>
      <c r="B380" s="30" t="s">
        <v>1150</v>
      </c>
      <c r="C380" s="30" t="s">
        <v>466</v>
      </c>
      <c r="D380" s="30" t="s">
        <v>54</v>
      </c>
      <c r="E380" s="30" t="s">
        <v>149</v>
      </c>
      <c r="F380" s="30" t="s">
        <v>149</v>
      </c>
    </row>
    <row r="381">
      <c r="A381" s="30" t="s">
        <v>1151</v>
      </c>
      <c r="B381" s="30" t="s">
        <v>1152</v>
      </c>
      <c r="C381" s="30" t="s">
        <v>466</v>
      </c>
      <c r="D381" s="30" t="s">
        <v>54</v>
      </c>
      <c r="E381" s="30" t="s">
        <v>149</v>
      </c>
      <c r="F381" s="30" t="s">
        <v>149</v>
      </c>
    </row>
    <row r="382">
      <c r="A382" s="30" t="s">
        <v>1153</v>
      </c>
      <c r="B382" s="30" t="s">
        <v>1154</v>
      </c>
      <c r="C382" s="30" t="s">
        <v>466</v>
      </c>
      <c r="D382" s="30" t="s">
        <v>54</v>
      </c>
      <c r="E382" s="30" t="s">
        <v>149</v>
      </c>
      <c r="F382" s="30" t="s">
        <v>149</v>
      </c>
    </row>
    <row r="383">
      <c r="A383" s="30" t="s">
        <v>1155</v>
      </c>
      <c r="B383" s="30" t="s">
        <v>1156</v>
      </c>
      <c r="C383" s="30" t="s">
        <v>457</v>
      </c>
      <c r="D383" s="30" t="s">
        <v>54</v>
      </c>
      <c r="E383" s="30" t="s">
        <v>149</v>
      </c>
      <c r="F383" s="30" t="s">
        <v>149</v>
      </c>
    </row>
    <row r="384">
      <c r="A384" s="30" t="s">
        <v>1157</v>
      </c>
      <c r="B384" s="30" t="s">
        <v>1158</v>
      </c>
      <c r="C384" s="30" t="s">
        <v>457</v>
      </c>
      <c r="D384" s="30" t="s">
        <v>54</v>
      </c>
      <c r="E384" s="30" t="s">
        <v>149</v>
      </c>
      <c r="F384" s="30" t="s">
        <v>149</v>
      </c>
    </row>
    <row r="385">
      <c r="A385" s="30" t="s">
        <v>1159</v>
      </c>
      <c r="B385" s="30" t="s">
        <v>1160</v>
      </c>
      <c r="C385" s="30" t="s">
        <v>457</v>
      </c>
      <c r="D385" s="30" t="s">
        <v>44</v>
      </c>
      <c r="E385" s="29"/>
      <c r="F385" s="29"/>
    </row>
    <row r="386">
      <c r="A386" s="30" t="s">
        <v>1161</v>
      </c>
      <c r="B386" s="30" t="s">
        <v>1162</v>
      </c>
      <c r="C386" s="30" t="s">
        <v>457</v>
      </c>
      <c r="D386" s="30" t="s">
        <v>54</v>
      </c>
      <c r="E386" s="30" t="s">
        <v>149</v>
      </c>
      <c r="F386" s="30" t="s">
        <v>149</v>
      </c>
    </row>
    <row r="387">
      <c r="A387" s="30" t="s">
        <v>1163</v>
      </c>
      <c r="B387" s="30" t="s">
        <v>1164</v>
      </c>
      <c r="C387" s="30" t="s">
        <v>457</v>
      </c>
      <c r="D387" s="30" t="s">
        <v>54</v>
      </c>
      <c r="E387" s="30" t="s">
        <v>149</v>
      </c>
      <c r="F387" s="30" t="s">
        <v>149</v>
      </c>
    </row>
    <row r="388">
      <c r="A388" s="30" t="s">
        <v>1165</v>
      </c>
      <c r="B388" s="30" t="s">
        <v>1166</v>
      </c>
      <c r="C388" s="30" t="s">
        <v>457</v>
      </c>
      <c r="D388" s="30" t="s">
        <v>54</v>
      </c>
      <c r="E388" s="30" t="s">
        <v>149</v>
      </c>
      <c r="F388" s="30" t="s">
        <v>149</v>
      </c>
    </row>
    <row r="389">
      <c r="A389" s="30" t="s">
        <v>1168</v>
      </c>
      <c r="B389" s="30" t="s">
        <v>1169</v>
      </c>
      <c r="C389" s="30" t="s">
        <v>466</v>
      </c>
      <c r="D389" s="30" t="s">
        <v>54</v>
      </c>
      <c r="E389" s="30" t="s">
        <v>149</v>
      </c>
      <c r="F389" s="30" t="s">
        <v>149</v>
      </c>
    </row>
    <row r="390">
      <c r="A390" s="30" t="s">
        <v>1172</v>
      </c>
      <c r="B390" s="30" t="s">
        <v>1173</v>
      </c>
      <c r="C390" s="30" t="s">
        <v>457</v>
      </c>
      <c r="D390" s="30" t="s">
        <v>54</v>
      </c>
      <c r="E390" s="30" t="s">
        <v>149</v>
      </c>
      <c r="F390" s="30" t="s">
        <v>149</v>
      </c>
    </row>
    <row r="391">
      <c r="A391" s="30" t="s">
        <v>1174</v>
      </c>
      <c r="B391" s="30" t="s">
        <v>1175</v>
      </c>
      <c r="C391" s="30" t="s">
        <v>466</v>
      </c>
      <c r="D391" s="30" t="s">
        <v>54</v>
      </c>
      <c r="E391" s="30" t="s">
        <v>149</v>
      </c>
      <c r="F391" s="30" t="s">
        <v>149</v>
      </c>
    </row>
    <row r="392">
      <c r="A392" s="30" t="s">
        <v>1177</v>
      </c>
      <c r="B392" s="30" t="s">
        <v>1178</v>
      </c>
      <c r="C392" s="30" t="s">
        <v>457</v>
      </c>
      <c r="D392" s="30" t="s">
        <v>54</v>
      </c>
      <c r="E392" s="30" t="s">
        <v>149</v>
      </c>
      <c r="F392" s="30" t="s">
        <v>149</v>
      </c>
    </row>
    <row r="393">
      <c r="A393" s="30" t="s">
        <v>1180</v>
      </c>
      <c r="B393" s="30" t="s">
        <v>1181</v>
      </c>
      <c r="C393" s="30" t="s">
        <v>466</v>
      </c>
      <c r="D393" s="30" t="s">
        <v>44</v>
      </c>
      <c r="E393" s="29"/>
      <c r="F393" s="29"/>
    </row>
    <row r="394">
      <c r="A394" s="30" t="s">
        <v>1182</v>
      </c>
      <c r="B394" s="30" t="s">
        <v>1183</v>
      </c>
      <c r="C394" s="30" t="s">
        <v>466</v>
      </c>
      <c r="D394" s="30" t="s">
        <v>54</v>
      </c>
      <c r="E394" s="30" t="s">
        <v>149</v>
      </c>
      <c r="F394" s="30" t="s">
        <v>149</v>
      </c>
    </row>
    <row r="395">
      <c r="A395" s="30" t="s">
        <v>1184</v>
      </c>
      <c r="B395" s="30" t="s">
        <v>1185</v>
      </c>
      <c r="C395" s="30" t="s">
        <v>457</v>
      </c>
      <c r="D395" s="30" t="s">
        <v>54</v>
      </c>
      <c r="E395" s="30" t="s">
        <v>149</v>
      </c>
      <c r="F395" s="30" t="s">
        <v>149</v>
      </c>
    </row>
    <row r="396">
      <c r="A396" s="30" t="s">
        <v>1187</v>
      </c>
      <c r="B396" s="30" t="s">
        <v>1188</v>
      </c>
      <c r="C396" s="30" t="s">
        <v>457</v>
      </c>
      <c r="D396" s="30" t="s">
        <v>54</v>
      </c>
      <c r="E396" s="30" t="s">
        <v>149</v>
      </c>
      <c r="F396" s="30" t="s">
        <v>149</v>
      </c>
    </row>
    <row r="397">
      <c r="A397" s="30" t="s">
        <v>1193</v>
      </c>
      <c r="B397" s="30" t="s">
        <v>1194</v>
      </c>
      <c r="C397" s="30" t="s">
        <v>466</v>
      </c>
      <c r="D397" s="30" t="s">
        <v>54</v>
      </c>
      <c r="E397" s="30" t="s">
        <v>149</v>
      </c>
      <c r="F397" s="30" t="s">
        <v>149</v>
      </c>
    </row>
    <row r="398">
      <c r="A398" s="30" t="s">
        <v>1195</v>
      </c>
      <c r="B398" s="30" t="s">
        <v>1196</v>
      </c>
      <c r="C398" s="30" t="s">
        <v>457</v>
      </c>
      <c r="D398" s="30" t="s">
        <v>54</v>
      </c>
      <c r="E398" s="30" t="s">
        <v>149</v>
      </c>
      <c r="F398" s="30" t="s">
        <v>149</v>
      </c>
    </row>
    <row r="399">
      <c r="A399" s="30" t="s">
        <v>1197</v>
      </c>
      <c r="B399" s="30" t="s">
        <v>1198</v>
      </c>
      <c r="C399" s="30" t="s">
        <v>466</v>
      </c>
      <c r="D399" s="30" t="s">
        <v>54</v>
      </c>
      <c r="E399" s="30" t="s">
        <v>149</v>
      </c>
      <c r="F399" s="30" t="s">
        <v>149</v>
      </c>
    </row>
    <row r="400">
      <c r="A400" s="30" t="s">
        <v>1199</v>
      </c>
      <c r="B400" s="30" t="s">
        <v>1200</v>
      </c>
      <c r="C400" s="30" t="s">
        <v>457</v>
      </c>
      <c r="D400" s="30" t="s">
        <v>54</v>
      </c>
      <c r="E400" s="30" t="s">
        <v>149</v>
      </c>
      <c r="F400" s="30" t="s">
        <v>149</v>
      </c>
    </row>
    <row r="401">
      <c r="A401" s="30" t="s">
        <v>1201</v>
      </c>
      <c r="B401" s="30" t="s">
        <v>1203</v>
      </c>
      <c r="C401" s="30" t="s">
        <v>457</v>
      </c>
      <c r="D401" s="30" t="s">
        <v>54</v>
      </c>
      <c r="E401" s="30" t="s">
        <v>149</v>
      </c>
      <c r="F401" s="30" t="s">
        <v>149</v>
      </c>
    </row>
    <row r="402">
      <c r="A402" s="30" t="s">
        <v>1205</v>
      </c>
      <c r="B402" s="30" t="s">
        <v>1206</v>
      </c>
      <c r="C402" s="30" t="s">
        <v>457</v>
      </c>
      <c r="D402" s="30" t="s">
        <v>54</v>
      </c>
      <c r="E402" s="30" t="s">
        <v>149</v>
      </c>
      <c r="F402" s="30" t="s">
        <v>149</v>
      </c>
    </row>
    <row r="403">
      <c r="A403" s="30" t="s">
        <v>1207</v>
      </c>
      <c r="B403" s="30" t="s">
        <v>1208</v>
      </c>
      <c r="C403" s="30" t="s">
        <v>466</v>
      </c>
      <c r="D403" s="30" t="s">
        <v>54</v>
      </c>
      <c r="E403" s="30" t="s">
        <v>149</v>
      </c>
      <c r="F403" s="30" t="s">
        <v>149</v>
      </c>
    </row>
    <row r="404">
      <c r="A404" s="30" t="s">
        <v>1210</v>
      </c>
      <c r="B404" s="30" t="s">
        <v>1212</v>
      </c>
      <c r="C404" s="30" t="s">
        <v>466</v>
      </c>
      <c r="D404" s="30" t="s">
        <v>54</v>
      </c>
      <c r="E404" s="30" t="s">
        <v>149</v>
      </c>
      <c r="F404" s="30" t="s">
        <v>149</v>
      </c>
    </row>
    <row r="405">
      <c r="A405" s="30" t="s">
        <v>1214</v>
      </c>
      <c r="B405" s="30" t="s">
        <v>1216</v>
      </c>
      <c r="C405" s="30" t="s">
        <v>457</v>
      </c>
      <c r="D405" s="30" t="s">
        <v>54</v>
      </c>
      <c r="E405" s="30" t="s">
        <v>149</v>
      </c>
      <c r="F405" s="30" t="s">
        <v>149</v>
      </c>
    </row>
    <row r="406">
      <c r="A406" s="30" t="s">
        <v>1217</v>
      </c>
      <c r="B406" s="30" t="s">
        <v>1218</v>
      </c>
      <c r="C406" s="30" t="s">
        <v>457</v>
      </c>
      <c r="D406" s="30" t="s">
        <v>54</v>
      </c>
      <c r="E406" s="30" t="s">
        <v>149</v>
      </c>
      <c r="F406" s="30" t="s">
        <v>149</v>
      </c>
    </row>
    <row r="407">
      <c r="A407" s="30" t="s">
        <v>1220</v>
      </c>
      <c r="B407" s="30" t="s">
        <v>1221</v>
      </c>
      <c r="C407" s="30" t="s">
        <v>457</v>
      </c>
      <c r="D407" s="30" t="s">
        <v>54</v>
      </c>
      <c r="E407" s="30" t="s">
        <v>149</v>
      </c>
      <c r="F407" s="30" t="s">
        <v>149</v>
      </c>
    </row>
    <row r="408">
      <c r="A408" s="30" t="s">
        <v>1222</v>
      </c>
      <c r="B408" s="30" t="s">
        <v>1223</v>
      </c>
      <c r="C408" s="30" t="s">
        <v>466</v>
      </c>
      <c r="D408" s="30" t="s">
        <v>54</v>
      </c>
      <c r="E408" s="30" t="s">
        <v>149</v>
      </c>
      <c r="F408" s="30" t="s">
        <v>149</v>
      </c>
    </row>
    <row r="409">
      <c r="A409" s="30" t="s">
        <v>1224</v>
      </c>
      <c r="B409" s="30" t="s">
        <v>1225</v>
      </c>
      <c r="C409" s="30" t="s">
        <v>457</v>
      </c>
      <c r="D409" s="30" t="s">
        <v>44</v>
      </c>
      <c r="E409" s="29"/>
      <c r="F409" s="29"/>
    </row>
    <row r="410">
      <c r="A410" s="30" t="s">
        <v>1227</v>
      </c>
      <c r="B410" s="30" t="s">
        <v>1228</v>
      </c>
      <c r="C410" s="30" t="s">
        <v>457</v>
      </c>
      <c r="D410" s="30" t="s">
        <v>54</v>
      </c>
      <c r="E410" s="30" t="s">
        <v>149</v>
      </c>
      <c r="F410" s="30" t="s">
        <v>149</v>
      </c>
    </row>
    <row r="411">
      <c r="A411" s="30" t="s">
        <v>1229</v>
      </c>
      <c r="B411" s="30" t="s">
        <v>1230</v>
      </c>
      <c r="C411" s="30" t="s">
        <v>457</v>
      </c>
      <c r="D411" s="30" t="s">
        <v>54</v>
      </c>
      <c r="E411" s="30" t="s">
        <v>149</v>
      </c>
      <c r="F411" s="30" t="s">
        <v>149</v>
      </c>
    </row>
    <row r="412">
      <c r="A412" s="30" t="s">
        <v>1231</v>
      </c>
      <c r="B412" s="30" t="s">
        <v>1233</v>
      </c>
      <c r="C412" s="30" t="s">
        <v>466</v>
      </c>
      <c r="D412" s="30" t="s">
        <v>54</v>
      </c>
      <c r="E412" s="30" t="s">
        <v>149</v>
      </c>
      <c r="F412" s="30" t="s">
        <v>149</v>
      </c>
    </row>
    <row r="413">
      <c r="A413" s="30" t="s">
        <v>1235</v>
      </c>
      <c r="B413" s="30" t="s">
        <v>1236</v>
      </c>
      <c r="C413" s="30" t="s">
        <v>466</v>
      </c>
      <c r="D413" s="30" t="s">
        <v>54</v>
      </c>
      <c r="E413" s="30" t="s">
        <v>149</v>
      </c>
      <c r="F413" s="30" t="s">
        <v>149</v>
      </c>
    </row>
    <row r="414">
      <c r="A414" s="30" t="s">
        <v>1239</v>
      </c>
      <c r="B414" s="30" t="s">
        <v>1240</v>
      </c>
      <c r="C414" s="30" t="s">
        <v>457</v>
      </c>
      <c r="D414" s="30" t="s">
        <v>54</v>
      </c>
      <c r="E414" s="30" t="s">
        <v>149</v>
      </c>
      <c r="F414" s="30" t="s">
        <v>149</v>
      </c>
    </row>
    <row r="415">
      <c r="A415" s="30" t="s">
        <v>1241</v>
      </c>
      <c r="B415" s="30" t="s">
        <v>1242</v>
      </c>
      <c r="C415" s="30" t="s">
        <v>466</v>
      </c>
      <c r="D415" s="30" t="s">
        <v>54</v>
      </c>
      <c r="E415" s="30" t="s">
        <v>149</v>
      </c>
      <c r="F415" s="30" t="s">
        <v>149</v>
      </c>
    </row>
    <row r="416">
      <c r="A416" s="30" t="s">
        <v>1243</v>
      </c>
      <c r="B416" s="30" t="s">
        <v>1244</v>
      </c>
      <c r="C416" s="30" t="s">
        <v>466</v>
      </c>
      <c r="D416" s="30" t="s">
        <v>44</v>
      </c>
      <c r="E416" s="29"/>
      <c r="F416" s="29"/>
    </row>
    <row r="417">
      <c r="A417" s="30" t="s">
        <v>1245</v>
      </c>
      <c r="B417" s="30" t="s">
        <v>1246</v>
      </c>
      <c r="C417" s="30" t="s">
        <v>457</v>
      </c>
      <c r="D417" s="30" t="s">
        <v>54</v>
      </c>
      <c r="E417" s="30" t="s">
        <v>149</v>
      </c>
      <c r="F417" s="30" t="s">
        <v>149</v>
      </c>
    </row>
    <row r="418">
      <c r="A418" s="30" t="s">
        <v>1247</v>
      </c>
      <c r="B418" s="30" t="s">
        <v>1248</v>
      </c>
      <c r="C418" s="30" t="s">
        <v>457</v>
      </c>
      <c r="D418" s="30" t="s">
        <v>54</v>
      </c>
      <c r="E418" s="30" t="s">
        <v>149</v>
      </c>
      <c r="F418" s="30" t="s">
        <v>149</v>
      </c>
    </row>
    <row r="419">
      <c r="A419" s="30" t="s">
        <v>1249</v>
      </c>
      <c r="B419" s="30" t="s">
        <v>1250</v>
      </c>
      <c r="C419" s="30" t="s">
        <v>457</v>
      </c>
      <c r="D419" s="30" t="s">
        <v>44</v>
      </c>
      <c r="E419" s="29"/>
      <c r="F419" s="29"/>
    </row>
    <row r="420">
      <c r="A420" s="30" t="s">
        <v>1251</v>
      </c>
      <c r="B420" s="30" t="s">
        <v>1252</v>
      </c>
      <c r="C420" s="30" t="s">
        <v>457</v>
      </c>
      <c r="D420" s="30" t="s">
        <v>44</v>
      </c>
      <c r="E420" s="29"/>
      <c r="F420" s="29"/>
    </row>
    <row r="421">
      <c r="A421" s="30" t="s">
        <v>1253</v>
      </c>
      <c r="B421" s="30" t="s">
        <v>1254</v>
      </c>
      <c r="C421" s="30" t="s">
        <v>466</v>
      </c>
      <c r="D421" s="30" t="s">
        <v>54</v>
      </c>
      <c r="E421" s="30" t="s">
        <v>149</v>
      </c>
      <c r="F421" s="30" t="s">
        <v>149</v>
      </c>
    </row>
    <row r="422">
      <c r="A422" s="30" t="s">
        <v>1255</v>
      </c>
      <c r="B422" s="30" t="s">
        <v>1256</v>
      </c>
      <c r="C422" s="30" t="s">
        <v>457</v>
      </c>
      <c r="D422" s="30" t="s">
        <v>54</v>
      </c>
      <c r="E422" s="30" t="s">
        <v>149</v>
      </c>
      <c r="F422" s="30" t="s">
        <v>149</v>
      </c>
    </row>
    <row r="423">
      <c r="A423" s="30" t="s">
        <v>1257</v>
      </c>
      <c r="B423" s="30" t="s">
        <v>1258</v>
      </c>
      <c r="C423" s="30" t="s">
        <v>457</v>
      </c>
      <c r="D423" s="30" t="s">
        <v>54</v>
      </c>
      <c r="E423" s="30" t="s">
        <v>149</v>
      </c>
      <c r="F423" s="30" t="s">
        <v>149</v>
      </c>
    </row>
    <row r="424">
      <c r="A424" s="30" t="s">
        <v>1259</v>
      </c>
      <c r="B424" s="30" t="s">
        <v>1260</v>
      </c>
      <c r="C424" s="30" t="s">
        <v>457</v>
      </c>
      <c r="D424" s="30" t="s">
        <v>54</v>
      </c>
      <c r="E424" s="30" t="s">
        <v>149</v>
      </c>
      <c r="F424" s="30" t="s">
        <v>149</v>
      </c>
    </row>
    <row r="425">
      <c r="A425" s="30" t="s">
        <v>1261</v>
      </c>
      <c r="B425" s="30" t="s">
        <v>1262</v>
      </c>
      <c r="C425" s="30" t="s">
        <v>457</v>
      </c>
      <c r="D425" s="30" t="s">
        <v>44</v>
      </c>
      <c r="E425" s="29"/>
      <c r="F425" s="29"/>
    </row>
    <row r="426">
      <c r="A426" s="30" t="s">
        <v>1263</v>
      </c>
      <c r="B426" s="30" t="s">
        <v>1264</v>
      </c>
      <c r="C426" s="30" t="s">
        <v>457</v>
      </c>
      <c r="D426" s="30" t="s">
        <v>54</v>
      </c>
      <c r="E426" s="30" t="s">
        <v>149</v>
      </c>
      <c r="F426" s="30" t="s">
        <v>149</v>
      </c>
    </row>
    <row r="427">
      <c r="A427" s="30" t="s">
        <v>1265</v>
      </c>
      <c r="B427" s="30" t="s">
        <v>1266</v>
      </c>
      <c r="C427" s="30" t="s">
        <v>457</v>
      </c>
      <c r="D427" s="30" t="s">
        <v>44</v>
      </c>
      <c r="E427" s="29"/>
      <c r="F427" s="29"/>
    </row>
    <row r="428">
      <c r="A428" s="30" t="s">
        <v>1267</v>
      </c>
      <c r="B428" s="30" t="s">
        <v>1268</v>
      </c>
      <c r="C428" s="30" t="s">
        <v>466</v>
      </c>
      <c r="D428" s="30" t="s">
        <v>54</v>
      </c>
      <c r="E428" s="30" t="s">
        <v>149</v>
      </c>
      <c r="F428" s="30" t="s">
        <v>149</v>
      </c>
    </row>
    <row r="429">
      <c r="A429" s="30" t="s">
        <v>1269</v>
      </c>
      <c r="B429" s="30" t="s">
        <v>1270</v>
      </c>
      <c r="C429" s="30" t="s">
        <v>457</v>
      </c>
      <c r="D429" s="30" t="s">
        <v>54</v>
      </c>
      <c r="E429" s="30" t="s">
        <v>149</v>
      </c>
      <c r="F429" s="30" t="s">
        <v>149</v>
      </c>
    </row>
    <row r="430">
      <c r="A430" s="30" t="s">
        <v>1271</v>
      </c>
      <c r="B430" s="30" t="s">
        <v>1272</v>
      </c>
      <c r="C430" s="30" t="s">
        <v>457</v>
      </c>
      <c r="D430" s="30" t="s">
        <v>54</v>
      </c>
      <c r="E430" s="30" t="s">
        <v>149</v>
      </c>
      <c r="F430" s="30" t="s">
        <v>149</v>
      </c>
    </row>
    <row r="431">
      <c r="A431" s="30" t="s">
        <v>1273</v>
      </c>
      <c r="B431" s="30" t="s">
        <v>1274</v>
      </c>
      <c r="C431" s="30" t="s">
        <v>457</v>
      </c>
      <c r="D431" s="30" t="s">
        <v>44</v>
      </c>
      <c r="E431" s="29"/>
      <c r="F431" s="29"/>
    </row>
    <row r="432">
      <c r="A432" s="30" t="s">
        <v>1275</v>
      </c>
      <c r="B432" s="30" t="s">
        <v>1276</v>
      </c>
      <c r="C432" s="30" t="s">
        <v>466</v>
      </c>
      <c r="D432" s="30" t="s">
        <v>54</v>
      </c>
      <c r="E432" s="30" t="s">
        <v>149</v>
      </c>
      <c r="F432" s="30" t="s">
        <v>149</v>
      </c>
    </row>
    <row r="433">
      <c r="A433" s="30" t="s">
        <v>1277</v>
      </c>
      <c r="B433" s="30" t="s">
        <v>1279</v>
      </c>
      <c r="C433" s="30" t="s">
        <v>466</v>
      </c>
      <c r="D433" s="30" t="s">
        <v>44</v>
      </c>
      <c r="E433" s="29"/>
      <c r="F433" s="29"/>
    </row>
    <row r="434">
      <c r="A434" s="30" t="s">
        <v>1280</v>
      </c>
      <c r="B434" s="30" t="s">
        <v>1281</v>
      </c>
      <c r="C434" s="30" t="s">
        <v>457</v>
      </c>
      <c r="D434" s="30" t="s">
        <v>54</v>
      </c>
      <c r="E434" s="30" t="s">
        <v>149</v>
      </c>
      <c r="F434" s="30" t="s">
        <v>149</v>
      </c>
    </row>
    <row r="435">
      <c r="A435" s="30" t="s">
        <v>1282</v>
      </c>
      <c r="B435" s="30" t="s">
        <v>1283</v>
      </c>
      <c r="C435" s="30" t="s">
        <v>457</v>
      </c>
      <c r="D435" s="30" t="s">
        <v>54</v>
      </c>
      <c r="E435" s="30" t="s">
        <v>149</v>
      </c>
      <c r="F435" s="30" t="s">
        <v>149</v>
      </c>
    </row>
    <row r="436">
      <c r="A436" s="30" t="s">
        <v>1285</v>
      </c>
      <c r="B436" s="30" t="s">
        <v>1286</v>
      </c>
      <c r="C436" s="30" t="s">
        <v>466</v>
      </c>
      <c r="D436" s="30" t="s">
        <v>54</v>
      </c>
      <c r="E436" s="30" t="s">
        <v>149</v>
      </c>
      <c r="F436" s="30" t="s">
        <v>149</v>
      </c>
    </row>
    <row r="437">
      <c r="A437" s="30" t="s">
        <v>1288</v>
      </c>
      <c r="B437" s="30" t="s">
        <v>1289</v>
      </c>
      <c r="C437" s="30" t="s">
        <v>457</v>
      </c>
      <c r="D437" s="30" t="s">
        <v>54</v>
      </c>
      <c r="E437" s="30" t="s">
        <v>149</v>
      </c>
      <c r="F437" s="30" t="s">
        <v>149</v>
      </c>
    </row>
    <row r="438">
      <c r="A438" s="30" t="s">
        <v>1290</v>
      </c>
      <c r="B438" s="30" t="s">
        <v>1291</v>
      </c>
      <c r="C438" s="30" t="s">
        <v>457</v>
      </c>
      <c r="D438" s="30" t="s">
        <v>54</v>
      </c>
      <c r="E438" s="30" t="s">
        <v>149</v>
      </c>
      <c r="F438" s="30" t="s">
        <v>149</v>
      </c>
    </row>
    <row r="439">
      <c r="A439" s="30" t="s">
        <v>1292</v>
      </c>
      <c r="B439" s="30" t="s">
        <v>1293</v>
      </c>
      <c r="C439" s="30" t="s">
        <v>457</v>
      </c>
      <c r="D439" s="30" t="s">
        <v>54</v>
      </c>
      <c r="E439" s="30" t="s">
        <v>149</v>
      </c>
      <c r="F439" s="30" t="s">
        <v>149</v>
      </c>
    </row>
    <row r="440">
      <c r="A440" s="30" t="s">
        <v>1295</v>
      </c>
      <c r="B440" s="30" t="s">
        <v>1296</v>
      </c>
      <c r="C440" s="30" t="s">
        <v>457</v>
      </c>
      <c r="D440" s="30" t="s">
        <v>54</v>
      </c>
      <c r="E440" s="30" t="s">
        <v>149</v>
      </c>
      <c r="F440" s="30" t="s">
        <v>149</v>
      </c>
    </row>
    <row r="441">
      <c r="A441" s="30" t="s">
        <v>1297</v>
      </c>
      <c r="B441" s="30" t="s">
        <v>1298</v>
      </c>
      <c r="C441" s="30" t="s">
        <v>457</v>
      </c>
      <c r="D441" s="30" t="s">
        <v>54</v>
      </c>
      <c r="E441" s="30" t="s">
        <v>149</v>
      </c>
      <c r="F441" s="30" t="s">
        <v>149</v>
      </c>
    </row>
    <row r="442">
      <c r="A442" s="30" t="s">
        <v>1299</v>
      </c>
      <c r="B442" s="30" t="s">
        <v>1300</v>
      </c>
      <c r="C442" s="30" t="s">
        <v>457</v>
      </c>
      <c r="D442" s="30" t="s">
        <v>54</v>
      </c>
      <c r="E442" s="30" t="s">
        <v>149</v>
      </c>
      <c r="F442" s="30" t="s">
        <v>149</v>
      </c>
    </row>
    <row r="443">
      <c r="A443" s="30" t="s">
        <v>1301</v>
      </c>
      <c r="B443" s="30" t="s">
        <v>1302</v>
      </c>
      <c r="C443" s="30" t="s">
        <v>457</v>
      </c>
      <c r="D443" s="30" t="s">
        <v>54</v>
      </c>
      <c r="E443" s="30" t="s">
        <v>149</v>
      </c>
      <c r="F443" s="30" t="s">
        <v>149</v>
      </c>
    </row>
    <row r="444">
      <c r="A444" s="30" t="s">
        <v>1303</v>
      </c>
      <c r="B444" s="30" t="s">
        <v>1304</v>
      </c>
      <c r="C444" s="30" t="s">
        <v>457</v>
      </c>
      <c r="D444" s="30" t="s">
        <v>54</v>
      </c>
      <c r="E444" s="30" t="s">
        <v>149</v>
      </c>
      <c r="F444" s="30" t="s">
        <v>149</v>
      </c>
    </row>
    <row r="445">
      <c r="A445" s="30" t="s">
        <v>1305</v>
      </c>
      <c r="B445" s="30" t="s">
        <v>1306</v>
      </c>
      <c r="C445" s="30" t="s">
        <v>466</v>
      </c>
      <c r="D445" s="30" t="s">
        <v>54</v>
      </c>
      <c r="E445" s="30" t="s">
        <v>149</v>
      </c>
      <c r="F445" s="30" t="s">
        <v>149</v>
      </c>
    </row>
    <row r="446">
      <c r="A446" s="30" t="s">
        <v>1307</v>
      </c>
      <c r="B446" s="30" t="s">
        <v>1308</v>
      </c>
      <c r="C446" s="30" t="s">
        <v>457</v>
      </c>
      <c r="D446" s="30" t="s">
        <v>54</v>
      </c>
      <c r="E446" s="30" t="s">
        <v>149</v>
      </c>
      <c r="F446" s="30" t="s">
        <v>149</v>
      </c>
    </row>
    <row r="447">
      <c r="A447" s="30" t="s">
        <v>1309</v>
      </c>
      <c r="B447" s="30" t="s">
        <v>1310</v>
      </c>
      <c r="C447" s="30" t="s">
        <v>457</v>
      </c>
      <c r="D447" s="30" t="s">
        <v>54</v>
      </c>
      <c r="E447" s="30" t="s">
        <v>149</v>
      </c>
      <c r="F447" s="30" t="s">
        <v>149</v>
      </c>
    </row>
    <row r="448">
      <c r="A448" s="30" t="s">
        <v>1311</v>
      </c>
      <c r="B448" s="30" t="s">
        <v>1312</v>
      </c>
      <c r="C448" s="30" t="s">
        <v>457</v>
      </c>
      <c r="D448" s="30" t="s">
        <v>54</v>
      </c>
      <c r="E448" s="30" t="s">
        <v>149</v>
      </c>
      <c r="F448" s="30" t="s">
        <v>149</v>
      </c>
    </row>
    <row r="449">
      <c r="A449" s="30" t="s">
        <v>1313</v>
      </c>
      <c r="B449" s="30" t="s">
        <v>1314</v>
      </c>
      <c r="C449" s="30" t="s">
        <v>457</v>
      </c>
      <c r="D449" s="30" t="s">
        <v>54</v>
      </c>
      <c r="E449" s="30" t="s">
        <v>149</v>
      </c>
      <c r="F449" s="30" t="s">
        <v>149</v>
      </c>
    </row>
    <row r="450">
      <c r="A450" s="30" t="s">
        <v>1315</v>
      </c>
      <c r="B450" s="30" t="s">
        <v>1316</v>
      </c>
      <c r="C450" s="30" t="s">
        <v>457</v>
      </c>
      <c r="D450" s="30" t="s">
        <v>54</v>
      </c>
      <c r="E450" s="30" t="s">
        <v>149</v>
      </c>
      <c r="F450" s="30" t="s">
        <v>149</v>
      </c>
    </row>
    <row r="451">
      <c r="A451" s="30" t="s">
        <v>1317</v>
      </c>
      <c r="B451" s="30" t="s">
        <v>1318</v>
      </c>
      <c r="C451" s="30" t="s">
        <v>466</v>
      </c>
      <c r="D451" s="30" t="s">
        <v>54</v>
      </c>
      <c r="E451" s="30" t="s">
        <v>149</v>
      </c>
      <c r="F451" s="30" t="s">
        <v>149</v>
      </c>
    </row>
    <row r="452">
      <c r="A452" s="30" t="s">
        <v>1320</v>
      </c>
      <c r="B452" s="30" t="s">
        <v>1321</v>
      </c>
      <c r="C452" s="30" t="s">
        <v>457</v>
      </c>
      <c r="D452" s="30" t="s">
        <v>54</v>
      </c>
      <c r="E452" s="30" t="s">
        <v>149</v>
      </c>
      <c r="F452" s="30" t="s">
        <v>149</v>
      </c>
    </row>
    <row r="453">
      <c r="A453" s="30" t="s">
        <v>1322</v>
      </c>
      <c r="B453" s="30" t="s">
        <v>1324</v>
      </c>
      <c r="C453" s="30" t="s">
        <v>457</v>
      </c>
      <c r="D453" s="30" t="s">
        <v>54</v>
      </c>
      <c r="E453" s="30" t="s">
        <v>149</v>
      </c>
      <c r="F453" s="30" t="s">
        <v>149</v>
      </c>
    </row>
    <row r="454">
      <c r="A454" s="30" t="s">
        <v>1326</v>
      </c>
      <c r="B454" s="30" t="s">
        <v>1327</v>
      </c>
      <c r="C454" s="30" t="s">
        <v>457</v>
      </c>
      <c r="D454" s="30" t="s">
        <v>54</v>
      </c>
      <c r="E454" s="30" t="s">
        <v>149</v>
      </c>
      <c r="F454" s="30" t="s">
        <v>149</v>
      </c>
    </row>
    <row r="455">
      <c r="A455" s="30" t="s">
        <v>1328</v>
      </c>
      <c r="B455" s="30" t="s">
        <v>1329</v>
      </c>
      <c r="C455" s="30" t="s">
        <v>457</v>
      </c>
      <c r="D455" s="30" t="s">
        <v>54</v>
      </c>
      <c r="E455" s="30" t="s">
        <v>149</v>
      </c>
      <c r="F455" s="30" t="s">
        <v>149</v>
      </c>
    </row>
    <row r="456">
      <c r="A456" s="30" t="s">
        <v>1331</v>
      </c>
      <c r="B456" s="30" t="s">
        <v>1332</v>
      </c>
      <c r="C456" s="30" t="s">
        <v>466</v>
      </c>
      <c r="D456" s="30" t="s">
        <v>44</v>
      </c>
      <c r="E456" s="29"/>
      <c r="F456" s="29"/>
    </row>
    <row r="457">
      <c r="A457" s="30" t="s">
        <v>1333</v>
      </c>
      <c r="B457" s="30" t="s">
        <v>1334</v>
      </c>
      <c r="C457" s="30" t="s">
        <v>457</v>
      </c>
      <c r="D457" s="30" t="s">
        <v>54</v>
      </c>
      <c r="E457" s="30" t="s">
        <v>149</v>
      </c>
      <c r="F457" s="30" t="s">
        <v>149</v>
      </c>
    </row>
    <row r="458">
      <c r="A458" s="30" t="s">
        <v>1335</v>
      </c>
      <c r="B458" s="30" t="s">
        <v>1336</v>
      </c>
      <c r="C458" s="30" t="s">
        <v>466</v>
      </c>
      <c r="D458" s="30" t="s">
        <v>54</v>
      </c>
      <c r="E458" s="30" t="s">
        <v>149</v>
      </c>
      <c r="F458" s="30" t="s">
        <v>149</v>
      </c>
    </row>
    <row r="459">
      <c r="A459" s="30" t="s">
        <v>1337</v>
      </c>
      <c r="B459" s="30" t="s">
        <v>1338</v>
      </c>
      <c r="C459" s="30" t="s">
        <v>457</v>
      </c>
      <c r="D459" s="30" t="s">
        <v>54</v>
      </c>
      <c r="E459" s="30" t="s">
        <v>149</v>
      </c>
      <c r="F459" s="30" t="s">
        <v>149</v>
      </c>
    </row>
    <row r="460">
      <c r="A460" s="30" t="s">
        <v>1339</v>
      </c>
      <c r="B460" s="30" t="s">
        <v>1340</v>
      </c>
      <c r="C460" s="30" t="s">
        <v>457</v>
      </c>
      <c r="D460" s="30" t="s">
        <v>54</v>
      </c>
      <c r="E460" s="30" t="s">
        <v>149</v>
      </c>
      <c r="F460" s="30" t="s">
        <v>149</v>
      </c>
    </row>
    <row r="461">
      <c r="A461" s="30" t="s">
        <v>1341</v>
      </c>
      <c r="B461" s="30" t="s">
        <v>1342</v>
      </c>
      <c r="C461" s="30" t="s">
        <v>466</v>
      </c>
      <c r="D461" s="30" t="s">
        <v>44</v>
      </c>
      <c r="E461" s="29"/>
      <c r="F461" s="29"/>
    </row>
    <row r="462">
      <c r="A462" s="30" t="s">
        <v>1344</v>
      </c>
      <c r="B462" s="30" t="s">
        <v>1345</v>
      </c>
      <c r="C462" s="30" t="s">
        <v>457</v>
      </c>
      <c r="D462" s="30" t="s">
        <v>54</v>
      </c>
      <c r="E462" s="30" t="s">
        <v>149</v>
      </c>
      <c r="F462" s="30" t="s">
        <v>149</v>
      </c>
    </row>
    <row r="463">
      <c r="A463" s="30" t="s">
        <v>1346</v>
      </c>
      <c r="B463" s="30" t="s">
        <v>1347</v>
      </c>
      <c r="C463" s="30" t="s">
        <v>457</v>
      </c>
      <c r="D463" s="30" t="s">
        <v>54</v>
      </c>
      <c r="E463" s="30" t="s">
        <v>149</v>
      </c>
      <c r="F463" s="30" t="s">
        <v>149</v>
      </c>
    </row>
    <row r="464">
      <c r="A464" s="30" t="s">
        <v>1348</v>
      </c>
      <c r="B464" s="30" t="s">
        <v>1349</v>
      </c>
      <c r="C464" s="30" t="s">
        <v>457</v>
      </c>
      <c r="D464" s="30" t="s">
        <v>54</v>
      </c>
      <c r="E464" s="30" t="s">
        <v>149</v>
      </c>
      <c r="F464" s="30" t="s">
        <v>149</v>
      </c>
    </row>
    <row r="465">
      <c r="A465" s="30" t="s">
        <v>1351</v>
      </c>
      <c r="B465" s="30" t="s">
        <v>1352</v>
      </c>
      <c r="C465" s="30" t="s">
        <v>466</v>
      </c>
      <c r="D465" s="30" t="s">
        <v>54</v>
      </c>
      <c r="E465" s="30" t="s">
        <v>149</v>
      </c>
      <c r="F465" s="30" t="s">
        <v>149</v>
      </c>
    </row>
    <row r="466">
      <c r="A466" s="30" t="s">
        <v>1354</v>
      </c>
      <c r="B466" s="30" t="s">
        <v>1356</v>
      </c>
      <c r="C466" s="30" t="s">
        <v>457</v>
      </c>
      <c r="D466" s="30" t="s">
        <v>54</v>
      </c>
      <c r="E466" s="30" t="s">
        <v>149</v>
      </c>
      <c r="F466" s="30" t="s">
        <v>149</v>
      </c>
    </row>
    <row r="467">
      <c r="A467" s="30" t="s">
        <v>1359</v>
      </c>
      <c r="B467" s="30" t="s">
        <v>1360</v>
      </c>
      <c r="C467" s="30" t="s">
        <v>457</v>
      </c>
      <c r="D467" s="30" t="s">
        <v>54</v>
      </c>
      <c r="E467" s="30" t="s">
        <v>149</v>
      </c>
      <c r="F467" s="30" t="s">
        <v>149</v>
      </c>
    </row>
    <row r="468">
      <c r="A468" s="30" t="s">
        <v>1361</v>
      </c>
      <c r="B468" s="30" t="s">
        <v>1362</v>
      </c>
      <c r="C468" s="30" t="s">
        <v>457</v>
      </c>
      <c r="D468" s="30" t="s">
        <v>54</v>
      </c>
      <c r="E468" s="30" t="s">
        <v>149</v>
      </c>
      <c r="F468" s="30" t="s">
        <v>149</v>
      </c>
    </row>
    <row r="469">
      <c r="A469" s="30" t="s">
        <v>1363</v>
      </c>
      <c r="B469" s="30" t="s">
        <v>1364</v>
      </c>
      <c r="C469" s="30" t="s">
        <v>457</v>
      </c>
      <c r="D469" s="30" t="s">
        <v>44</v>
      </c>
      <c r="E469" s="29"/>
      <c r="F469" s="29"/>
    </row>
    <row r="470">
      <c r="A470" s="30" t="s">
        <v>1366</v>
      </c>
      <c r="B470" s="30" t="s">
        <v>1367</v>
      </c>
      <c r="C470" s="30" t="s">
        <v>457</v>
      </c>
      <c r="D470" s="30" t="s">
        <v>54</v>
      </c>
      <c r="E470" s="30" t="s">
        <v>149</v>
      </c>
      <c r="F470" s="30" t="s">
        <v>149</v>
      </c>
    </row>
    <row r="471">
      <c r="A471" s="30" t="s">
        <v>1368</v>
      </c>
      <c r="B471" s="30" t="s">
        <v>1369</v>
      </c>
      <c r="C471" s="30" t="s">
        <v>457</v>
      </c>
      <c r="D471" s="30" t="s">
        <v>54</v>
      </c>
      <c r="E471" s="30" t="s">
        <v>149</v>
      </c>
      <c r="F471" s="30" t="s">
        <v>149</v>
      </c>
    </row>
    <row r="472">
      <c r="A472" s="30" t="s">
        <v>1370</v>
      </c>
      <c r="B472" s="30" t="s">
        <v>1371</v>
      </c>
      <c r="C472" s="30" t="s">
        <v>466</v>
      </c>
      <c r="D472" s="30" t="s">
        <v>54</v>
      </c>
      <c r="E472" s="30" t="s">
        <v>149</v>
      </c>
      <c r="F472" s="30" t="s">
        <v>149</v>
      </c>
    </row>
    <row r="473">
      <c r="A473" s="30" t="s">
        <v>1375</v>
      </c>
      <c r="B473" s="30" t="s">
        <v>1376</v>
      </c>
      <c r="C473" s="30" t="s">
        <v>466</v>
      </c>
      <c r="D473" s="30" t="s">
        <v>54</v>
      </c>
      <c r="E473" s="30" t="s">
        <v>149</v>
      </c>
      <c r="F473" s="30" t="s">
        <v>149</v>
      </c>
    </row>
    <row r="474">
      <c r="A474" s="30" t="s">
        <v>1379</v>
      </c>
      <c r="B474" s="30" t="s">
        <v>1380</v>
      </c>
      <c r="C474" s="30" t="s">
        <v>457</v>
      </c>
      <c r="D474" s="30" t="s">
        <v>44</v>
      </c>
      <c r="E474" s="29"/>
      <c r="F474" s="29"/>
    </row>
    <row r="475">
      <c r="A475" s="30" t="s">
        <v>1381</v>
      </c>
      <c r="B475" s="30" t="s">
        <v>1382</v>
      </c>
      <c r="C475" s="30" t="s">
        <v>457</v>
      </c>
      <c r="D475" s="30" t="s">
        <v>54</v>
      </c>
      <c r="E475" s="30" t="s">
        <v>149</v>
      </c>
      <c r="F475" s="30" t="s">
        <v>149</v>
      </c>
    </row>
    <row r="476">
      <c r="A476" s="30" t="s">
        <v>1384</v>
      </c>
      <c r="B476" s="30" t="s">
        <v>1385</v>
      </c>
      <c r="C476" s="30" t="s">
        <v>466</v>
      </c>
      <c r="D476" s="30" t="s">
        <v>44</v>
      </c>
      <c r="E476" s="29"/>
      <c r="F476" s="29"/>
    </row>
    <row r="477">
      <c r="A477" s="30" t="s">
        <v>1386</v>
      </c>
      <c r="B477" s="30" t="s">
        <v>1387</v>
      </c>
      <c r="C477" s="30" t="s">
        <v>466</v>
      </c>
      <c r="D477" s="30" t="s">
        <v>54</v>
      </c>
      <c r="E477" s="30" t="s">
        <v>149</v>
      </c>
      <c r="F477" s="30" t="s">
        <v>149</v>
      </c>
    </row>
    <row r="478">
      <c r="A478" s="30" t="s">
        <v>1388</v>
      </c>
      <c r="B478" s="30" t="s">
        <v>1389</v>
      </c>
      <c r="C478" s="30" t="s">
        <v>466</v>
      </c>
      <c r="D478" s="30" t="s">
        <v>54</v>
      </c>
      <c r="E478" s="30" t="s">
        <v>149</v>
      </c>
      <c r="F478" s="30" t="s">
        <v>149</v>
      </c>
    </row>
    <row r="479">
      <c r="A479" s="30" t="s">
        <v>1391</v>
      </c>
      <c r="B479" s="30" t="s">
        <v>1392</v>
      </c>
      <c r="C479" s="30" t="s">
        <v>466</v>
      </c>
      <c r="D479" s="30" t="s">
        <v>54</v>
      </c>
      <c r="E479" s="30" t="s">
        <v>149</v>
      </c>
      <c r="F479" s="30" t="s">
        <v>149</v>
      </c>
    </row>
    <row r="480">
      <c r="A480" s="30" t="s">
        <v>1393</v>
      </c>
      <c r="B480" s="30" t="s">
        <v>1394</v>
      </c>
      <c r="C480" s="30" t="s">
        <v>457</v>
      </c>
      <c r="D480" s="30" t="s">
        <v>54</v>
      </c>
      <c r="E480" s="30" t="s">
        <v>149</v>
      </c>
      <c r="F480" s="30" t="s">
        <v>149</v>
      </c>
    </row>
    <row r="481">
      <c r="A481" s="30" t="s">
        <v>1395</v>
      </c>
      <c r="B481" s="30" t="s">
        <v>1396</v>
      </c>
      <c r="C481" s="30" t="s">
        <v>457</v>
      </c>
      <c r="D481" s="30" t="s">
        <v>44</v>
      </c>
      <c r="E481" s="29"/>
      <c r="F481" s="29"/>
    </row>
    <row r="482">
      <c r="A482" s="30" t="s">
        <v>1397</v>
      </c>
      <c r="B482" s="30" t="s">
        <v>1399</v>
      </c>
      <c r="C482" s="30" t="s">
        <v>466</v>
      </c>
      <c r="D482" s="30" t="s">
        <v>54</v>
      </c>
      <c r="E482" s="30" t="s">
        <v>149</v>
      </c>
      <c r="F482" s="30" t="s">
        <v>149</v>
      </c>
    </row>
    <row r="483">
      <c r="A483" s="30" t="s">
        <v>1400</v>
      </c>
      <c r="B483" s="30" t="s">
        <v>1401</v>
      </c>
      <c r="C483" s="30" t="s">
        <v>457</v>
      </c>
      <c r="D483" s="30" t="s">
        <v>54</v>
      </c>
      <c r="E483" s="30" t="s">
        <v>149</v>
      </c>
      <c r="F483" s="30" t="s">
        <v>149</v>
      </c>
    </row>
    <row r="484">
      <c r="A484" s="30" t="s">
        <v>1404</v>
      </c>
      <c r="B484" s="30" t="s">
        <v>1405</v>
      </c>
      <c r="C484" s="30" t="s">
        <v>466</v>
      </c>
      <c r="D484" s="30" t="s">
        <v>54</v>
      </c>
      <c r="E484" s="30" t="s">
        <v>149</v>
      </c>
      <c r="F484" s="30" t="s">
        <v>149</v>
      </c>
    </row>
    <row r="485">
      <c r="A485" s="30" t="s">
        <v>1406</v>
      </c>
      <c r="B485" s="30" t="s">
        <v>1407</v>
      </c>
      <c r="C485" s="30" t="s">
        <v>466</v>
      </c>
      <c r="D485" s="30" t="s">
        <v>54</v>
      </c>
      <c r="E485" s="30" t="s">
        <v>149</v>
      </c>
      <c r="F485" s="30" t="s">
        <v>149</v>
      </c>
    </row>
    <row r="486">
      <c r="A486" s="30" t="s">
        <v>1408</v>
      </c>
      <c r="B486" s="30" t="s">
        <v>1409</v>
      </c>
      <c r="C486" s="30" t="s">
        <v>466</v>
      </c>
      <c r="D486" s="30" t="s">
        <v>54</v>
      </c>
      <c r="E486" s="30" t="s">
        <v>149</v>
      </c>
      <c r="F486" s="30" t="s">
        <v>149</v>
      </c>
    </row>
    <row r="487">
      <c r="A487" s="30" t="s">
        <v>1410</v>
      </c>
      <c r="B487" s="30" t="s">
        <v>1411</v>
      </c>
      <c r="C487" s="30" t="s">
        <v>457</v>
      </c>
      <c r="D487" s="30" t="s">
        <v>54</v>
      </c>
      <c r="E487" s="30" t="s">
        <v>149</v>
      </c>
      <c r="F487" s="30" t="s">
        <v>149</v>
      </c>
    </row>
    <row r="488">
      <c r="A488" s="30" t="s">
        <v>1412</v>
      </c>
      <c r="B488" s="30" t="s">
        <v>1414</v>
      </c>
      <c r="C488" s="30" t="s">
        <v>466</v>
      </c>
      <c r="D488" s="30" t="s">
        <v>54</v>
      </c>
      <c r="E488" s="30" t="s">
        <v>149</v>
      </c>
      <c r="F488" s="30" t="s">
        <v>149</v>
      </c>
    </row>
    <row r="489">
      <c r="A489" s="30" t="s">
        <v>1416</v>
      </c>
      <c r="B489" s="30" t="s">
        <v>1417</v>
      </c>
      <c r="C489" s="30" t="s">
        <v>457</v>
      </c>
      <c r="D489" s="30" t="s">
        <v>54</v>
      </c>
      <c r="E489" s="30" t="s">
        <v>149</v>
      </c>
      <c r="F489" s="30" t="s">
        <v>149</v>
      </c>
    </row>
    <row r="490">
      <c r="A490" s="30" t="s">
        <v>1418</v>
      </c>
      <c r="B490" s="30" t="s">
        <v>1419</v>
      </c>
      <c r="C490" s="30" t="s">
        <v>466</v>
      </c>
      <c r="D490" s="30" t="s">
        <v>54</v>
      </c>
      <c r="E490" s="30" t="s">
        <v>149</v>
      </c>
      <c r="F490" s="30" t="s">
        <v>149</v>
      </c>
    </row>
    <row r="491">
      <c r="A491" s="30" t="s">
        <v>1421</v>
      </c>
      <c r="B491" s="30" t="s">
        <v>1422</v>
      </c>
      <c r="C491" s="30" t="s">
        <v>457</v>
      </c>
      <c r="D491" s="30" t="s">
        <v>44</v>
      </c>
      <c r="E491" s="29"/>
      <c r="F491" s="29"/>
    </row>
    <row r="492">
      <c r="A492" s="30" t="s">
        <v>1424</v>
      </c>
      <c r="B492" s="30" t="s">
        <v>1426</v>
      </c>
      <c r="C492" s="30" t="s">
        <v>457</v>
      </c>
      <c r="D492" s="30" t="s">
        <v>54</v>
      </c>
      <c r="E492" s="30" t="s">
        <v>149</v>
      </c>
      <c r="F492" s="30" t="s">
        <v>149</v>
      </c>
    </row>
    <row r="493">
      <c r="A493" s="30" t="s">
        <v>1428</v>
      </c>
      <c r="B493" s="30" t="s">
        <v>1429</v>
      </c>
      <c r="C493" s="30" t="s">
        <v>457</v>
      </c>
      <c r="D493" s="30" t="s">
        <v>54</v>
      </c>
      <c r="E493" s="30" t="s">
        <v>149</v>
      </c>
      <c r="F493" s="30" t="s">
        <v>149</v>
      </c>
    </row>
    <row r="494">
      <c r="A494" s="30" t="s">
        <v>1430</v>
      </c>
      <c r="B494" s="30" t="s">
        <v>1431</v>
      </c>
      <c r="C494" s="30" t="s">
        <v>466</v>
      </c>
      <c r="D494" s="30" t="s">
        <v>54</v>
      </c>
      <c r="E494" s="30" t="s">
        <v>149</v>
      </c>
      <c r="F494" s="30" t="s">
        <v>149</v>
      </c>
    </row>
    <row r="495">
      <c r="A495" s="30" t="s">
        <v>1432</v>
      </c>
      <c r="B495" s="30" t="s">
        <v>1433</v>
      </c>
      <c r="C495" s="30" t="s">
        <v>457</v>
      </c>
      <c r="D495" s="30" t="s">
        <v>54</v>
      </c>
      <c r="E495" s="30" t="s">
        <v>149</v>
      </c>
      <c r="F495" s="30" t="s">
        <v>149</v>
      </c>
    </row>
    <row r="496">
      <c r="A496" s="30" t="s">
        <v>1434</v>
      </c>
      <c r="B496" s="30" t="s">
        <v>1435</v>
      </c>
      <c r="C496" s="30" t="s">
        <v>457</v>
      </c>
      <c r="D496" s="30" t="s">
        <v>54</v>
      </c>
      <c r="E496" s="30" t="s">
        <v>149</v>
      </c>
      <c r="F496" s="30" t="s">
        <v>149</v>
      </c>
    </row>
    <row r="497">
      <c r="A497" s="30" t="s">
        <v>1436</v>
      </c>
      <c r="B497" s="30" t="s">
        <v>1437</v>
      </c>
      <c r="C497" s="30" t="s">
        <v>466</v>
      </c>
      <c r="D497" s="30" t="s">
        <v>54</v>
      </c>
      <c r="E497" s="30" t="s">
        <v>149</v>
      </c>
      <c r="F497" s="30" t="s">
        <v>149</v>
      </c>
    </row>
    <row r="498">
      <c r="A498" s="30" t="s">
        <v>1438</v>
      </c>
      <c r="B498" s="30" t="s">
        <v>1440</v>
      </c>
      <c r="C498" s="30" t="s">
        <v>457</v>
      </c>
      <c r="D498" s="30" t="s">
        <v>54</v>
      </c>
      <c r="E498" s="30" t="s">
        <v>149</v>
      </c>
      <c r="F498" s="30" t="s">
        <v>149</v>
      </c>
    </row>
    <row r="499">
      <c r="A499" s="30" t="s">
        <v>1441</v>
      </c>
      <c r="B499" s="30" t="s">
        <v>1442</v>
      </c>
      <c r="C499" s="30" t="s">
        <v>466</v>
      </c>
      <c r="D499" s="30" t="s">
        <v>44</v>
      </c>
      <c r="E499" s="29"/>
      <c r="F499" s="29"/>
    </row>
    <row r="500">
      <c r="A500" s="30" t="s">
        <v>1443</v>
      </c>
      <c r="B500" s="30" t="s">
        <v>1444</v>
      </c>
      <c r="C500" s="30" t="s">
        <v>457</v>
      </c>
      <c r="D500" s="30" t="s">
        <v>54</v>
      </c>
      <c r="E500" s="30" t="s">
        <v>149</v>
      </c>
      <c r="F500" s="30" t="s">
        <v>149</v>
      </c>
    </row>
    <row r="501">
      <c r="A501" s="30" t="s">
        <v>1445</v>
      </c>
      <c r="B501" s="30" t="s">
        <v>1447</v>
      </c>
      <c r="C501" s="30" t="s">
        <v>466</v>
      </c>
      <c r="D501" s="30" t="s">
        <v>54</v>
      </c>
      <c r="E501" s="30" t="s">
        <v>149</v>
      </c>
      <c r="F501" s="30" t="s">
        <v>149</v>
      </c>
    </row>
    <row r="502">
      <c r="A502" s="30" t="s">
        <v>1449</v>
      </c>
      <c r="B502" s="30" t="s">
        <v>1450</v>
      </c>
      <c r="C502" s="30" t="s">
        <v>466</v>
      </c>
      <c r="D502" s="30" t="s">
        <v>54</v>
      </c>
      <c r="E502" s="30" t="s">
        <v>149</v>
      </c>
      <c r="F502" s="30" t="s">
        <v>149</v>
      </c>
    </row>
    <row r="503">
      <c r="A503" s="30" t="s">
        <v>1452</v>
      </c>
      <c r="B503" s="30" t="s">
        <v>1453</v>
      </c>
      <c r="C503" s="30" t="s">
        <v>466</v>
      </c>
      <c r="D503" s="30" t="s">
        <v>54</v>
      </c>
      <c r="E503" s="30" t="s">
        <v>149</v>
      </c>
      <c r="F503" s="30" t="s">
        <v>149</v>
      </c>
    </row>
    <row r="504">
      <c r="A504" s="30" t="s">
        <v>1455</v>
      </c>
      <c r="B504" s="30" t="s">
        <v>1456</v>
      </c>
      <c r="C504" s="30" t="s">
        <v>466</v>
      </c>
      <c r="D504" s="30" t="s">
        <v>54</v>
      </c>
      <c r="E504" s="30" t="s">
        <v>149</v>
      </c>
      <c r="F504" s="30" t="s">
        <v>149</v>
      </c>
    </row>
    <row r="505">
      <c r="A505" s="30" t="s">
        <v>1457</v>
      </c>
      <c r="B505" s="30" t="s">
        <v>1458</v>
      </c>
      <c r="C505" s="30" t="s">
        <v>457</v>
      </c>
      <c r="D505" s="30" t="s">
        <v>54</v>
      </c>
      <c r="E505" s="30" t="s">
        <v>149</v>
      </c>
      <c r="F505" s="30" t="s">
        <v>149</v>
      </c>
    </row>
    <row r="506">
      <c r="A506" s="30" t="s">
        <v>1459</v>
      </c>
      <c r="B506" s="30" t="s">
        <v>1460</v>
      </c>
      <c r="C506" s="30" t="s">
        <v>457</v>
      </c>
      <c r="D506" s="30" t="s">
        <v>54</v>
      </c>
      <c r="E506" s="30" t="s">
        <v>149</v>
      </c>
      <c r="F506" s="30" t="s">
        <v>149</v>
      </c>
    </row>
    <row r="507">
      <c r="A507" s="30" t="s">
        <v>1461</v>
      </c>
      <c r="B507" s="30" t="s">
        <v>1462</v>
      </c>
      <c r="C507" s="30" t="s">
        <v>457</v>
      </c>
      <c r="D507" s="30" t="s">
        <v>54</v>
      </c>
      <c r="E507" s="30" t="s">
        <v>149</v>
      </c>
      <c r="F507" s="30" t="s">
        <v>149</v>
      </c>
    </row>
    <row r="508">
      <c r="A508" s="30" t="s">
        <v>1463</v>
      </c>
      <c r="B508" s="30" t="s">
        <v>1465</v>
      </c>
      <c r="C508" s="30" t="s">
        <v>457</v>
      </c>
      <c r="D508" s="30" t="s">
        <v>54</v>
      </c>
      <c r="E508" s="30" t="s">
        <v>149</v>
      </c>
      <c r="F508" s="30" t="s">
        <v>149</v>
      </c>
    </row>
    <row r="509">
      <c r="A509" s="30" t="s">
        <v>1466</v>
      </c>
      <c r="B509" s="30" t="s">
        <v>1467</v>
      </c>
      <c r="C509" s="30" t="s">
        <v>466</v>
      </c>
      <c r="D509" s="30" t="s">
        <v>54</v>
      </c>
      <c r="E509" s="30" t="s">
        <v>149</v>
      </c>
      <c r="F509" s="30" t="s">
        <v>149</v>
      </c>
    </row>
    <row r="510">
      <c r="A510" s="30" t="s">
        <v>1468</v>
      </c>
      <c r="B510" s="30" t="s">
        <v>1469</v>
      </c>
      <c r="C510" s="30" t="s">
        <v>457</v>
      </c>
      <c r="D510" s="30" t="s">
        <v>54</v>
      </c>
      <c r="E510" s="30" t="s">
        <v>149</v>
      </c>
      <c r="F510" s="30" t="s">
        <v>149</v>
      </c>
    </row>
    <row r="511">
      <c r="A511" s="30" t="s">
        <v>1471</v>
      </c>
      <c r="B511" s="30" t="s">
        <v>1472</v>
      </c>
      <c r="C511" s="30" t="s">
        <v>457</v>
      </c>
      <c r="D511" s="30" t="s">
        <v>54</v>
      </c>
      <c r="E511" s="30" t="s">
        <v>149</v>
      </c>
      <c r="F511" s="30" t="s">
        <v>149</v>
      </c>
    </row>
    <row r="512">
      <c r="A512" s="30" t="s">
        <v>1474</v>
      </c>
      <c r="B512" s="30" t="s">
        <v>1475</v>
      </c>
      <c r="C512" s="30" t="s">
        <v>457</v>
      </c>
      <c r="D512" s="30" t="s">
        <v>54</v>
      </c>
      <c r="E512" s="30" t="s">
        <v>149</v>
      </c>
      <c r="F512" s="30" t="s">
        <v>149</v>
      </c>
    </row>
    <row r="513">
      <c r="A513" s="30" t="s">
        <v>1478</v>
      </c>
      <c r="B513" s="30" t="s">
        <v>1479</v>
      </c>
      <c r="C513" s="30" t="s">
        <v>466</v>
      </c>
      <c r="D513" s="30" t="s">
        <v>54</v>
      </c>
      <c r="E513" s="30" t="s">
        <v>149</v>
      </c>
      <c r="F513" s="30" t="s">
        <v>149</v>
      </c>
    </row>
    <row r="514">
      <c r="A514" s="30" t="s">
        <v>1480</v>
      </c>
      <c r="B514" s="30" t="s">
        <v>1481</v>
      </c>
      <c r="C514" s="30" t="s">
        <v>457</v>
      </c>
      <c r="D514" s="30" t="s">
        <v>54</v>
      </c>
      <c r="E514" s="30" t="s">
        <v>149</v>
      </c>
      <c r="F514" s="30" t="s">
        <v>149</v>
      </c>
    </row>
    <row r="515">
      <c r="A515" s="30" t="s">
        <v>1482</v>
      </c>
      <c r="B515" s="30" t="s">
        <v>1483</v>
      </c>
      <c r="C515" s="30" t="s">
        <v>457</v>
      </c>
      <c r="D515" s="30" t="s">
        <v>54</v>
      </c>
      <c r="E515" s="30" t="s">
        <v>149</v>
      </c>
      <c r="F515" s="30" t="s">
        <v>149</v>
      </c>
    </row>
    <row r="516">
      <c r="A516" s="30" t="s">
        <v>1484</v>
      </c>
      <c r="B516" s="30" t="s">
        <v>1485</v>
      </c>
      <c r="C516" s="30" t="s">
        <v>466</v>
      </c>
      <c r="D516" s="30" t="s">
        <v>54</v>
      </c>
      <c r="E516" s="30" t="s">
        <v>149</v>
      </c>
      <c r="F516" s="30" t="s">
        <v>149</v>
      </c>
    </row>
    <row r="517">
      <c r="A517" s="30" t="s">
        <v>1487</v>
      </c>
      <c r="B517" s="30" t="s">
        <v>1488</v>
      </c>
      <c r="C517" s="30" t="s">
        <v>457</v>
      </c>
      <c r="D517" s="30" t="s">
        <v>54</v>
      </c>
      <c r="E517" s="30" t="s">
        <v>149</v>
      </c>
      <c r="F517" s="30" t="s">
        <v>149</v>
      </c>
    </row>
    <row r="518">
      <c r="A518" s="30" t="s">
        <v>1490</v>
      </c>
      <c r="B518" s="30" t="s">
        <v>1491</v>
      </c>
      <c r="C518" s="30" t="s">
        <v>457</v>
      </c>
      <c r="D518" s="30" t="s">
        <v>54</v>
      </c>
      <c r="E518" s="30" t="s">
        <v>149</v>
      </c>
      <c r="F518" s="30" t="s">
        <v>149</v>
      </c>
    </row>
    <row r="519">
      <c r="A519" s="30" t="s">
        <v>1492</v>
      </c>
      <c r="B519" s="30" t="s">
        <v>1493</v>
      </c>
      <c r="C519" s="30" t="s">
        <v>466</v>
      </c>
      <c r="D519" s="30" t="s">
        <v>54</v>
      </c>
      <c r="E519" s="30" t="s">
        <v>149</v>
      </c>
      <c r="F519" s="30" t="s">
        <v>149</v>
      </c>
    </row>
    <row r="520">
      <c r="A520" s="30" t="s">
        <v>1496</v>
      </c>
      <c r="B520" s="30" t="s">
        <v>1497</v>
      </c>
      <c r="C520" s="30" t="s">
        <v>466</v>
      </c>
      <c r="D520" s="30" t="s">
        <v>54</v>
      </c>
      <c r="E520" s="30" t="s">
        <v>149</v>
      </c>
      <c r="F520" s="30" t="s">
        <v>149</v>
      </c>
    </row>
    <row r="521">
      <c r="A521" s="30" t="s">
        <v>1499</v>
      </c>
      <c r="B521" s="30" t="s">
        <v>1500</v>
      </c>
      <c r="C521" s="30" t="s">
        <v>457</v>
      </c>
      <c r="D521" s="30" t="s">
        <v>54</v>
      </c>
      <c r="E521" s="30" t="s">
        <v>149</v>
      </c>
      <c r="F521" s="30" t="s">
        <v>149</v>
      </c>
    </row>
    <row r="522">
      <c r="A522" s="30" t="s">
        <v>1502</v>
      </c>
      <c r="B522" s="30" t="s">
        <v>1503</v>
      </c>
      <c r="C522" s="30" t="s">
        <v>466</v>
      </c>
      <c r="D522" s="30" t="s">
        <v>54</v>
      </c>
      <c r="E522" s="30" t="s">
        <v>149</v>
      </c>
      <c r="F522" s="30" t="s">
        <v>149</v>
      </c>
    </row>
    <row r="523">
      <c r="A523" s="30" t="s">
        <v>1504</v>
      </c>
      <c r="B523" s="30" t="s">
        <v>1505</v>
      </c>
      <c r="C523" s="30" t="s">
        <v>457</v>
      </c>
      <c r="D523" s="30" t="s">
        <v>54</v>
      </c>
      <c r="E523" s="30" t="s">
        <v>149</v>
      </c>
      <c r="F523" s="30" t="s">
        <v>149</v>
      </c>
    </row>
    <row r="524">
      <c r="A524" s="30" t="s">
        <v>1507</v>
      </c>
      <c r="B524" s="30" t="s">
        <v>1508</v>
      </c>
      <c r="C524" s="30" t="s">
        <v>466</v>
      </c>
      <c r="D524" s="30" t="s">
        <v>54</v>
      </c>
      <c r="E524" s="30" t="s">
        <v>149</v>
      </c>
      <c r="F524" s="30" t="s">
        <v>149</v>
      </c>
    </row>
    <row r="525">
      <c r="A525" s="30" t="s">
        <v>1509</v>
      </c>
      <c r="B525" s="30" t="s">
        <v>1510</v>
      </c>
      <c r="C525" s="30" t="s">
        <v>457</v>
      </c>
      <c r="D525" s="30" t="s">
        <v>54</v>
      </c>
      <c r="E525" s="30" t="s">
        <v>149</v>
      </c>
      <c r="F525" s="30" t="s">
        <v>149</v>
      </c>
    </row>
    <row r="526">
      <c r="A526" s="30" t="s">
        <v>1511</v>
      </c>
      <c r="B526" s="30" t="s">
        <v>1512</v>
      </c>
      <c r="C526" s="30" t="s">
        <v>457</v>
      </c>
      <c r="D526" s="30" t="s">
        <v>54</v>
      </c>
      <c r="E526" s="30" t="s">
        <v>149</v>
      </c>
      <c r="F526" s="30" t="s">
        <v>149</v>
      </c>
    </row>
    <row r="527">
      <c r="A527" s="30" t="s">
        <v>1514</v>
      </c>
      <c r="B527" s="30" t="s">
        <v>1515</v>
      </c>
      <c r="C527" s="30" t="s">
        <v>457</v>
      </c>
      <c r="D527" s="30" t="s">
        <v>54</v>
      </c>
      <c r="E527" s="30" t="s">
        <v>149</v>
      </c>
      <c r="F527" s="30" t="s">
        <v>149</v>
      </c>
    </row>
    <row r="528">
      <c r="A528" s="30" t="s">
        <v>1516</v>
      </c>
      <c r="B528" s="30" t="s">
        <v>1517</v>
      </c>
      <c r="C528" s="30" t="s">
        <v>457</v>
      </c>
      <c r="D528" s="30" t="s">
        <v>54</v>
      </c>
      <c r="E528" s="30" t="s">
        <v>149</v>
      </c>
      <c r="F528" s="30" t="s">
        <v>149</v>
      </c>
    </row>
    <row r="529">
      <c r="A529" s="30" t="s">
        <v>1518</v>
      </c>
      <c r="B529" s="30" t="s">
        <v>1519</v>
      </c>
      <c r="C529" s="30" t="s">
        <v>457</v>
      </c>
      <c r="D529" s="30" t="s">
        <v>54</v>
      </c>
      <c r="E529" s="30" t="s">
        <v>149</v>
      </c>
      <c r="F529" s="30" t="s">
        <v>149</v>
      </c>
    </row>
    <row r="530">
      <c r="A530" s="30" t="s">
        <v>1522</v>
      </c>
      <c r="B530" s="30" t="s">
        <v>1523</v>
      </c>
      <c r="C530" s="30" t="s">
        <v>457</v>
      </c>
      <c r="D530" s="30" t="s">
        <v>54</v>
      </c>
      <c r="E530" s="30" t="s">
        <v>149</v>
      </c>
      <c r="F530" s="30" t="s">
        <v>149</v>
      </c>
    </row>
    <row r="531">
      <c r="A531" s="30" t="s">
        <v>1524</v>
      </c>
      <c r="B531" s="30" t="s">
        <v>1526</v>
      </c>
      <c r="C531" s="30" t="s">
        <v>466</v>
      </c>
      <c r="D531" s="30" t="s">
        <v>54</v>
      </c>
      <c r="E531" s="30" t="s">
        <v>149</v>
      </c>
      <c r="F531" s="30" t="s">
        <v>149</v>
      </c>
    </row>
    <row r="532">
      <c r="A532" s="30" t="s">
        <v>1527</v>
      </c>
      <c r="B532" s="30" t="s">
        <v>1528</v>
      </c>
      <c r="C532" s="30" t="s">
        <v>457</v>
      </c>
      <c r="D532" s="30" t="s">
        <v>54</v>
      </c>
      <c r="E532" s="30" t="s">
        <v>149</v>
      </c>
      <c r="F532" s="30" t="s">
        <v>149</v>
      </c>
    </row>
    <row r="533">
      <c r="A533" s="30" t="s">
        <v>1529</v>
      </c>
      <c r="B533" s="30" t="s">
        <v>1530</v>
      </c>
      <c r="C533" s="30" t="s">
        <v>466</v>
      </c>
      <c r="D533" s="30" t="s">
        <v>54</v>
      </c>
      <c r="E533" s="30" t="s">
        <v>149</v>
      </c>
      <c r="F533" s="30" t="s">
        <v>149</v>
      </c>
    </row>
    <row r="534">
      <c r="A534" s="30" t="s">
        <v>1531</v>
      </c>
      <c r="B534" s="30" t="s">
        <v>1532</v>
      </c>
      <c r="C534" s="30" t="s">
        <v>457</v>
      </c>
      <c r="D534" s="30" t="s">
        <v>54</v>
      </c>
      <c r="E534" s="30" t="s">
        <v>149</v>
      </c>
      <c r="F534" s="30" t="s">
        <v>149</v>
      </c>
    </row>
    <row r="535">
      <c r="A535" s="30" t="s">
        <v>1534</v>
      </c>
      <c r="B535" s="30" t="s">
        <v>1536</v>
      </c>
      <c r="C535" s="30" t="s">
        <v>457</v>
      </c>
      <c r="D535" s="30" t="s">
        <v>44</v>
      </c>
      <c r="E535" s="29"/>
      <c r="F535" s="29"/>
    </row>
    <row r="536">
      <c r="A536" s="30" t="s">
        <v>1537</v>
      </c>
      <c r="B536" s="30" t="s">
        <v>1538</v>
      </c>
      <c r="C536" s="30" t="s">
        <v>457</v>
      </c>
      <c r="D536" s="30" t="s">
        <v>54</v>
      </c>
      <c r="E536" s="30" t="s">
        <v>149</v>
      </c>
      <c r="F536" s="30" t="s">
        <v>149</v>
      </c>
    </row>
    <row r="537">
      <c r="A537" s="30" t="s">
        <v>1539</v>
      </c>
      <c r="B537" s="30" t="s">
        <v>1540</v>
      </c>
      <c r="C537" s="30" t="s">
        <v>457</v>
      </c>
      <c r="D537" s="30" t="s">
        <v>54</v>
      </c>
      <c r="E537" s="30" t="s">
        <v>149</v>
      </c>
      <c r="F537" s="30" t="s">
        <v>149</v>
      </c>
    </row>
    <row r="538">
      <c r="A538" s="30" t="s">
        <v>1541</v>
      </c>
      <c r="B538" s="30" t="s">
        <v>1543</v>
      </c>
      <c r="C538" s="30" t="s">
        <v>466</v>
      </c>
      <c r="D538" s="30" t="s">
        <v>54</v>
      </c>
      <c r="E538" s="30" t="s">
        <v>149</v>
      </c>
      <c r="F538" s="30" t="s">
        <v>149</v>
      </c>
    </row>
    <row r="539">
      <c r="A539" s="30" t="s">
        <v>1544</v>
      </c>
      <c r="B539" s="30" t="s">
        <v>1545</v>
      </c>
      <c r="C539" s="30" t="s">
        <v>457</v>
      </c>
      <c r="D539" s="30" t="s">
        <v>44</v>
      </c>
      <c r="E539" s="29"/>
      <c r="F539" s="29"/>
    </row>
    <row r="540">
      <c r="A540" s="30" t="s">
        <v>1547</v>
      </c>
      <c r="B540" s="30" t="s">
        <v>1548</v>
      </c>
      <c r="C540" s="30" t="s">
        <v>457</v>
      </c>
      <c r="D540" s="30" t="s">
        <v>54</v>
      </c>
      <c r="E540" s="30" t="s">
        <v>149</v>
      </c>
      <c r="F540" s="30" t="s">
        <v>149</v>
      </c>
    </row>
    <row r="541">
      <c r="A541" s="30" t="s">
        <v>1550</v>
      </c>
      <c r="B541" s="30" t="s">
        <v>1551</v>
      </c>
      <c r="C541" s="30" t="s">
        <v>457</v>
      </c>
      <c r="D541" s="30" t="s">
        <v>54</v>
      </c>
      <c r="E541" s="30" t="s">
        <v>149</v>
      </c>
      <c r="F541" s="30" t="s">
        <v>149</v>
      </c>
    </row>
    <row r="542">
      <c r="A542" s="30" t="s">
        <v>1552</v>
      </c>
      <c r="B542" s="30" t="s">
        <v>1553</v>
      </c>
      <c r="C542" s="30" t="s">
        <v>457</v>
      </c>
      <c r="D542" s="30" t="s">
        <v>54</v>
      </c>
      <c r="E542" s="30" t="s">
        <v>149</v>
      </c>
      <c r="F542" s="30" t="s">
        <v>149</v>
      </c>
    </row>
    <row r="543">
      <c r="A543" s="30" t="s">
        <v>1554</v>
      </c>
      <c r="B543" s="30" t="s">
        <v>1555</v>
      </c>
      <c r="C543" s="30" t="s">
        <v>457</v>
      </c>
      <c r="D543" s="30" t="s">
        <v>54</v>
      </c>
      <c r="E543" s="30" t="s">
        <v>149</v>
      </c>
      <c r="F543" s="30" t="s">
        <v>149</v>
      </c>
    </row>
    <row r="544">
      <c r="A544" s="30" t="s">
        <v>1556</v>
      </c>
      <c r="B544" s="30" t="s">
        <v>1557</v>
      </c>
      <c r="C544" s="30" t="s">
        <v>457</v>
      </c>
      <c r="D544" s="30" t="s">
        <v>54</v>
      </c>
      <c r="E544" s="30" t="s">
        <v>149</v>
      </c>
      <c r="F544" s="30" t="s">
        <v>149</v>
      </c>
    </row>
    <row r="545">
      <c r="A545" s="30" t="s">
        <v>1558</v>
      </c>
      <c r="B545" s="30" t="s">
        <v>1559</v>
      </c>
      <c r="C545" s="30" t="s">
        <v>457</v>
      </c>
      <c r="D545" s="30" t="s">
        <v>54</v>
      </c>
      <c r="E545" s="30" t="s">
        <v>149</v>
      </c>
      <c r="F545" s="30" t="s">
        <v>149</v>
      </c>
    </row>
    <row r="546">
      <c r="A546" s="30" t="s">
        <v>1560</v>
      </c>
      <c r="B546" s="30" t="s">
        <v>1561</v>
      </c>
      <c r="C546" s="30" t="s">
        <v>457</v>
      </c>
      <c r="D546" s="30" t="s">
        <v>54</v>
      </c>
      <c r="E546" s="30" t="s">
        <v>149</v>
      </c>
      <c r="F546" s="30" t="s">
        <v>149</v>
      </c>
    </row>
    <row r="547">
      <c r="A547" s="30" t="s">
        <v>1562</v>
      </c>
      <c r="B547" s="30" t="s">
        <v>1563</v>
      </c>
      <c r="C547" s="30" t="s">
        <v>457</v>
      </c>
      <c r="D547" s="30" t="s">
        <v>54</v>
      </c>
      <c r="E547" s="30" t="s">
        <v>149</v>
      </c>
      <c r="F547" s="30" t="s">
        <v>149</v>
      </c>
    </row>
    <row r="548">
      <c r="A548" s="30" t="s">
        <v>1564</v>
      </c>
      <c r="B548" s="30" t="s">
        <v>1566</v>
      </c>
      <c r="C548" s="30" t="s">
        <v>457</v>
      </c>
      <c r="D548" s="30" t="s">
        <v>54</v>
      </c>
      <c r="E548" s="30" t="s">
        <v>149</v>
      </c>
      <c r="F548" s="30" t="s">
        <v>149</v>
      </c>
    </row>
    <row r="549">
      <c r="A549" s="30" t="s">
        <v>1567</v>
      </c>
      <c r="B549" s="30" t="s">
        <v>1568</v>
      </c>
      <c r="C549" s="30" t="s">
        <v>457</v>
      </c>
      <c r="D549" s="30" t="s">
        <v>44</v>
      </c>
      <c r="E549" s="29"/>
      <c r="F549" s="29"/>
    </row>
    <row r="550">
      <c r="A550" s="30" t="s">
        <v>1569</v>
      </c>
      <c r="B550" s="30" t="s">
        <v>1570</v>
      </c>
      <c r="C550" s="30" t="s">
        <v>457</v>
      </c>
      <c r="D550" s="30" t="s">
        <v>54</v>
      </c>
      <c r="E550" s="30" t="s">
        <v>149</v>
      </c>
      <c r="F550" s="30" t="s">
        <v>149</v>
      </c>
    </row>
    <row r="551">
      <c r="A551" s="30" t="s">
        <v>1571</v>
      </c>
      <c r="B551" s="30" t="s">
        <v>1572</v>
      </c>
      <c r="C551" s="30" t="s">
        <v>457</v>
      </c>
      <c r="D551" s="30" t="s">
        <v>44</v>
      </c>
      <c r="E551" s="29"/>
      <c r="F551" s="29"/>
    </row>
    <row r="552">
      <c r="A552" s="30" t="s">
        <v>1574</v>
      </c>
      <c r="B552" s="30" t="s">
        <v>1575</v>
      </c>
      <c r="C552" s="30" t="s">
        <v>457</v>
      </c>
      <c r="D552" s="30" t="s">
        <v>54</v>
      </c>
      <c r="E552" s="30" t="s">
        <v>149</v>
      </c>
      <c r="F552" s="30" t="s">
        <v>149</v>
      </c>
    </row>
    <row r="553">
      <c r="A553" s="30" t="s">
        <v>1576</v>
      </c>
      <c r="B553" s="30" t="s">
        <v>1577</v>
      </c>
      <c r="C553" s="30" t="s">
        <v>466</v>
      </c>
      <c r="D553" s="30" t="s">
        <v>54</v>
      </c>
      <c r="E553" s="30" t="s">
        <v>149</v>
      </c>
      <c r="F553" s="30" t="s">
        <v>149</v>
      </c>
    </row>
    <row r="554">
      <c r="A554" s="30" t="s">
        <v>1579</v>
      </c>
      <c r="B554" s="30" t="s">
        <v>1580</v>
      </c>
      <c r="C554" s="30" t="s">
        <v>457</v>
      </c>
      <c r="D554" s="30" t="s">
        <v>44</v>
      </c>
      <c r="E554" s="29"/>
      <c r="F554" s="29"/>
    </row>
    <row r="555">
      <c r="A555" s="30" t="s">
        <v>1582</v>
      </c>
      <c r="B555" s="30" t="s">
        <v>1583</v>
      </c>
      <c r="C555" s="30" t="s">
        <v>457</v>
      </c>
      <c r="D555" s="30" t="s">
        <v>54</v>
      </c>
      <c r="E555" s="30" t="s">
        <v>149</v>
      </c>
      <c r="F555" s="30" t="s">
        <v>149</v>
      </c>
    </row>
    <row r="556">
      <c r="A556" s="30" t="s">
        <v>1585</v>
      </c>
      <c r="B556" s="30" t="s">
        <v>1586</v>
      </c>
      <c r="C556" s="30" t="s">
        <v>457</v>
      </c>
      <c r="D556" s="30" t="s">
        <v>54</v>
      </c>
      <c r="E556" s="30" t="s">
        <v>149</v>
      </c>
      <c r="F556" s="30" t="s">
        <v>149</v>
      </c>
    </row>
    <row r="557">
      <c r="A557" s="30" t="s">
        <v>1590</v>
      </c>
      <c r="B557" s="30" t="s">
        <v>1591</v>
      </c>
      <c r="C557" s="30" t="s">
        <v>457</v>
      </c>
      <c r="D557" s="30" t="s">
        <v>54</v>
      </c>
      <c r="E557" s="30" t="s">
        <v>149</v>
      </c>
      <c r="F557" s="30" t="s">
        <v>149</v>
      </c>
    </row>
    <row r="558">
      <c r="A558" s="30" t="s">
        <v>1592</v>
      </c>
      <c r="B558" s="30" t="s">
        <v>1593</v>
      </c>
      <c r="C558" s="30" t="s">
        <v>457</v>
      </c>
      <c r="D558" s="30" t="s">
        <v>54</v>
      </c>
      <c r="E558" s="30" t="s">
        <v>149</v>
      </c>
      <c r="F558" s="30" t="s">
        <v>149</v>
      </c>
    </row>
    <row r="559">
      <c r="A559" s="30" t="s">
        <v>1594</v>
      </c>
      <c r="B559" s="30" t="s">
        <v>1595</v>
      </c>
      <c r="C559" s="30" t="s">
        <v>457</v>
      </c>
      <c r="D559" s="30" t="s">
        <v>54</v>
      </c>
      <c r="E559" s="30" t="s">
        <v>149</v>
      </c>
      <c r="F559" s="30" t="s">
        <v>149</v>
      </c>
    </row>
    <row r="560">
      <c r="A560" s="30" t="s">
        <v>1596</v>
      </c>
      <c r="B560" s="30" t="s">
        <v>1597</v>
      </c>
      <c r="C560" s="30" t="s">
        <v>457</v>
      </c>
      <c r="D560" s="30" t="s">
        <v>54</v>
      </c>
      <c r="E560" s="30" t="s">
        <v>149</v>
      </c>
      <c r="F560" s="30" t="s">
        <v>149</v>
      </c>
    </row>
    <row r="561">
      <c r="A561" s="30" t="s">
        <v>1598</v>
      </c>
      <c r="B561" s="30" t="s">
        <v>1599</v>
      </c>
      <c r="C561" s="30" t="s">
        <v>457</v>
      </c>
      <c r="D561" s="30" t="s">
        <v>54</v>
      </c>
      <c r="E561" s="30" t="s">
        <v>149</v>
      </c>
      <c r="F561" s="30" t="s">
        <v>149</v>
      </c>
    </row>
    <row r="562">
      <c r="A562" s="30" t="s">
        <v>1600</v>
      </c>
      <c r="B562" s="30" t="s">
        <v>1601</v>
      </c>
      <c r="C562" s="30" t="s">
        <v>457</v>
      </c>
      <c r="D562" s="30" t="s">
        <v>54</v>
      </c>
      <c r="E562" s="30" t="s">
        <v>149</v>
      </c>
      <c r="F562" s="30" t="s">
        <v>149</v>
      </c>
    </row>
    <row r="563">
      <c r="A563" s="30" t="s">
        <v>1603</v>
      </c>
      <c r="B563" s="30" t="s">
        <v>1605</v>
      </c>
      <c r="C563" s="30" t="s">
        <v>457</v>
      </c>
      <c r="D563" s="30" t="s">
        <v>54</v>
      </c>
      <c r="E563" s="30" t="s">
        <v>149</v>
      </c>
      <c r="F563" s="30" t="s">
        <v>149</v>
      </c>
    </row>
    <row r="564">
      <c r="A564" s="30" t="s">
        <v>1606</v>
      </c>
      <c r="B564" s="30" t="s">
        <v>1607</v>
      </c>
      <c r="C564" s="30" t="s">
        <v>466</v>
      </c>
      <c r="D564" s="30" t="s">
        <v>54</v>
      </c>
      <c r="E564" s="30" t="s">
        <v>149</v>
      </c>
      <c r="F564" s="30" t="s">
        <v>149</v>
      </c>
    </row>
    <row r="565">
      <c r="A565" s="30" t="s">
        <v>1608</v>
      </c>
      <c r="B565" s="30" t="s">
        <v>1609</v>
      </c>
      <c r="C565" s="30" t="s">
        <v>457</v>
      </c>
      <c r="D565" s="30" t="s">
        <v>54</v>
      </c>
      <c r="E565" s="30" t="s">
        <v>149</v>
      </c>
      <c r="F565" s="30" t="s">
        <v>149</v>
      </c>
    </row>
    <row r="566">
      <c r="A566" s="30" t="s">
        <v>1610</v>
      </c>
      <c r="B566" s="30" t="s">
        <v>1611</v>
      </c>
      <c r="C566" s="30" t="s">
        <v>457</v>
      </c>
      <c r="D566" s="30" t="s">
        <v>54</v>
      </c>
      <c r="E566" s="30" t="s">
        <v>149</v>
      </c>
      <c r="F566" s="30" t="s">
        <v>149</v>
      </c>
    </row>
    <row r="567">
      <c r="A567" s="30" t="s">
        <v>1612</v>
      </c>
      <c r="B567" s="30" t="s">
        <v>1613</v>
      </c>
      <c r="C567" s="30" t="s">
        <v>457</v>
      </c>
      <c r="D567" s="30" t="s">
        <v>44</v>
      </c>
      <c r="E567" s="29"/>
      <c r="F567" s="29"/>
    </row>
    <row r="568">
      <c r="A568" s="30" t="s">
        <v>1615</v>
      </c>
      <c r="B568" s="30" t="s">
        <v>1616</v>
      </c>
      <c r="C568" s="30" t="s">
        <v>457</v>
      </c>
      <c r="D568" s="30" t="s">
        <v>54</v>
      </c>
      <c r="E568" s="30" t="s">
        <v>149</v>
      </c>
      <c r="F568" s="30" t="s">
        <v>149</v>
      </c>
    </row>
    <row r="569">
      <c r="A569" s="30" t="s">
        <v>1618</v>
      </c>
      <c r="B569" s="30" t="s">
        <v>1619</v>
      </c>
      <c r="C569" s="30" t="s">
        <v>457</v>
      </c>
      <c r="D569" s="30" t="s">
        <v>44</v>
      </c>
      <c r="E569" s="29"/>
      <c r="F569" s="29"/>
    </row>
    <row r="570">
      <c r="A570" s="30" t="s">
        <v>1622</v>
      </c>
      <c r="B570" s="30" t="s">
        <v>1623</v>
      </c>
      <c r="C570" s="30" t="s">
        <v>457</v>
      </c>
      <c r="D570" s="30" t="s">
        <v>54</v>
      </c>
      <c r="E570" s="30" t="s">
        <v>149</v>
      </c>
      <c r="F570" s="30" t="s">
        <v>149</v>
      </c>
    </row>
    <row r="571">
      <c r="A571" s="30" t="s">
        <v>1624</v>
      </c>
      <c r="B571" s="30" t="s">
        <v>1625</v>
      </c>
      <c r="C571" s="30" t="s">
        <v>457</v>
      </c>
      <c r="D571" s="30" t="s">
        <v>54</v>
      </c>
      <c r="E571" s="30" t="s">
        <v>149</v>
      </c>
      <c r="F571" s="30" t="s">
        <v>149</v>
      </c>
    </row>
    <row r="572">
      <c r="A572" s="30" t="s">
        <v>1627</v>
      </c>
      <c r="B572" s="30" t="s">
        <v>1628</v>
      </c>
      <c r="C572" s="30" t="s">
        <v>466</v>
      </c>
      <c r="D572" s="30" t="s">
        <v>44</v>
      </c>
      <c r="E572" s="29"/>
      <c r="F572" s="29"/>
    </row>
    <row r="573">
      <c r="A573" s="30" t="s">
        <v>1629</v>
      </c>
      <c r="B573" s="30" t="s">
        <v>1630</v>
      </c>
      <c r="C573" s="30" t="s">
        <v>466</v>
      </c>
      <c r="D573" s="30" t="s">
        <v>54</v>
      </c>
      <c r="E573" s="30" t="s">
        <v>149</v>
      </c>
      <c r="F573" s="30" t="s">
        <v>149</v>
      </c>
    </row>
    <row r="574">
      <c r="A574" s="30" t="s">
        <v>1631</v>
      </c>
      <c r="B574" s="30" t="s">
        <v>1632</v>
      </c>
      <c r="C574" s="30" t="s">
        <v>457</v>
      </c>
      <c r="D574" s="30" t="s">
        <v>54</v>
      </c>
      <c r="E574" s="30" t="s">
        <v>149</v>
      </c>
      <c r="F574" s="30" t="s">
        <v>149</v>
      </c>
    </row>
    <row r="575">
      <c r="A575" s="30" t="s">
        <v>1633</v>
      </c>
      <c r="B575" s="30" t="s">
        <v>1634</v>
      </c>
      <c r="C575" s="30" t="s">
        <v>457</v>
      </c>
      <c r="D575" s="30" t="s">
        <v>54</v>
      </c>
      <c r="E575" s="30" t="s">
        <v>149</v>
      </c>
      <c r="F575" s="30" t="s">
        <v>149</v>
      </c>
    </row>
    <row r="576">
      <c r="A576" s="30" t="s">
        <v>1635</v>
      </c>
      <c r="B576" s="30" t="s">
        <v>1636</v>
      </c>
      <c r="C576" s="30" t="s">
        <v>457</v>
      </c>
      <c r="D576" s="30" t="s">
        <v>54</v>
      </c>
      <c r="E576" s="30" t="s">
        <v>149</v>
      </c>
      <c r="F576" s="30" t="s">
        <v>149</v>
      </c>
    </row>
    <row r="577">
      <c r="A577" s="30" t="s">
        <v>1637</v>
      </c>
      <c r="B577" s="30" t="s">
        <v>1638</v>
      </c>
      <c r="C577" s="30" t="s">
        <v>466</v>
      </c>
      <c r="D577" s="30" t="s">
        <v>54</v>
      </c>
      <c r="E577" s="30" t="s">
        <v>149</v>
      </c>
      <c r="F577" s="30" t="s">
        <v>149</v>
      </c>
    </row>
    <row r="578">
      <c r="A578" s="30" t="s">
        <v>1639</v>
      </c>
      <c r="B578" s="30" t="s">
        <v>1640</v>
      </c>
      <c r="C578" s="30" t="s">
        <v>457</v>
      </c>
      <c r="D578" s="30" t="s">
        <v>54</v>
      </c>
      <c r="E578" s="30" t="s">
        <v>149</v>
      </c>
      <c r="F578" s="30" t="s">
        <v>149</v>
      </c>
    </row>
    <row r="579">
      <c r="A579" s="30" t="s">
        <v>1641</v>
      </c>
      <c r="B579" s="30" t="s">
        <v>1643</v>
      </c>
      <c r="C579" s="30" t="s">
        <v>457</v>
      </c>
      <c r="D579" s="30" t="s">
        <v>54</v>
      </c>
      <c r="E579" s="30" t="s">
        <v>149</v>
      </c>
      <c r="F579" s="30" t="s">
        <v>149</v>
      </c>
    </row>
    <row r="580">
      <c r="A580" s="30" t="s">
        <v>1644</v>
      </c>
      <c r="B580" s="30" t="s">
        <v>1645</v>
      </c>
      <c r="C580" s="30" t="s">
        <v>457</v>
      </c>
      <c r="D580" s="30" t="s">
        <v>54</v>
      </c>
      <c r="E580" s="30" t="s">
        <v>149</v>
      </c>
      <c r="F580" s="30" t="s">
        <v>149</v>
      </c>
    </row>
    <row r="581">
      <c r="A581" s="30" t="s">
        <v>1646</v>
      </c>
      <c r="B581" s="30" t="s">
        <v>1647</v>
      </c>
      <c r="C581" s="30" t="s">
        <v>457</v>
      </c>
      <c r="D581" s="30" t="s">
        <v>44</v>
      </c>
      <c r="E581" s="29"/>
      <c r="F581" s="29"/>
    </row>
    <row r="582">
      <c r="A582" s="30" t="s">
        <v>1648</v>
      </c>
      <c r="B582" s="30" t="s">
        <v>1649</v>
      </c>
      <c r="C582" s="30" t="s">
        <v>457</v>
      </c>
      <c r="D582" s="30" t="s">
        <v>54</v>
      </c>
      <c r="E582" s="30" t="s">
        <v>149</v>
      </c>
      <c r="F582" s="30" t="s">
        <v>149</v>
      </c>
    </row>
    <row r="583">
      <c r="A583" s="30" t="s">
        <v>1651</v>
      </c>
      <c r="B583" s="30" t="s">
        <v>1653</v>
      </c>
      <c r="C583" s="30" t="s">
        <v>457</v>
      </c>
      <c r="D583" s="30" t="s">
        <v>54</v>
      </c>
      <c r="E583" s="30" t="s">
        <v>149</v>
      </c>
      <c r="F583" s="30" t="s">
        <v>149</v>
      </c>
    </row>
    <row r="584">
      <c r="A584" s="30" t="s">
        <v>1657</v>
      </c>
      <c r="B584" s="30" t="s">
        <v>1658</v>
      </c>
      <c r="C584" s="30" t="s">
        <v>457</v>
      </c>
      <c r="D584" s="30" t="s">
        <v>54</v>
      </c>
      <c r="E584" s="30" t="s">
        <v>149</v>
      </c>
      <c r="F584" s="30" t="s">
        <v>149</v>
      </c>
    </row>
    <row r="585">
      <c r="A585" s="30" t="s">
        <v>1659</v>
      </c>
      <c r="B585" s="30" t="s">
        <v>1660</v>
      </c>
      <c r="C585" s="30" t="s">
        <v>457</v>
      </c>
      <c r="D585" s="30" t="s">
        <v>54</v>
      </c>
      <c r="E585" s="30" t="s">
        <v>149</v>
      </c>
      <c r="F585" s="30" t="s">
        <v>149</v>
      </c>
    </row>
    <row r="586">
      <c r="A586" s="30" t="s">
        <v>1661</v>
      </c>
      <c r="B586" s="30" t="s">
        <v>1662</v>
      </c>
      <c r="C586" s="30" t="s">
        <v>457</v>
      </c>
      <c r="D586" s="30" t="s">
        <v>54</v>
      </c>
      <c r="E586" s="30" t="s">
        <v>149</v>
      </c>
      <c r="F586" s="30" t="s">
        <v>149</v>
      </c>
    </row>
    <row r="587">
      <c r="A587" s="30" t="s">
        <v>1663</v>
      </c>
      <c r="B587" s="30" t="s">
        <v>1664</v>
      </c>
      <c r="C587" s="30" t="s">
        <v>466</v>
      </c>
      <c r="D587" s="30" t="s">
        <v>54</v>
      </c>
      <c r="E587" s="30" t="s">
        <v>149</v>
      </c>
      <c r="F587" s="30" t="s">
        <v>149</v>
      </c>
    </row>
    <row r="588">
      <c r="A588" s="30" t="s">
        <v>1665</v>
      </c>
      <c r="B588" s="30" t="s">
        <v>1666</v>
      </c>
      <c r="C588" s="30" t="s">
        <v>457</v>
      </c>
      <c r="D588" s="30" t="s">
        <v>54</v>
      </c>
      <c r="E588" s="30" t="s">
        <v>149</v>
      </c>
      <c r="F588" s="30" t="s">
        <v>149</v>
      </c>
    </row>
    <row r="589">
      <c r="A589" s="30" t="s">
        <v>1667</v>
      </c>
      <c r="B589" s="30" t="s">
        <v>1668</v>
      </c>
      <c r="C589" s="30" t="s">
        <v>466</v>
      </c>
      <c r="D589" s="30" t="s">
        <v>54</v>
      </c>
      <c r="E589" s="30" t="s">
        <v>149</v>
      </c>
      <c r="F589" s="30" t="s">
        <v>149</v>
      </c>
    </row>
    <row r="590">
      <c r="A590" s="30" t="s">
        <v>1669</v>
      </c>
      <c r="B590" s="30" t="s">
        <v>1670</v>
      </c>
      <c r="C590" s="30" t="s">
        <v>457</v>
      </c>
      <c r="D590" s="30" t="s">
        <v>54</v>
      </c>
      <c r="E590" s="30" t="s">
        <v>149</v>
      </c>
      <c r="F590" s="30" t="s">
        <v>149</v>
      </c>
    </row>
    <row r="591">
      <c r="A591" s="30" t="s">
        <v>1671</v>
      </c>
      <c r="B591" s="30" t="s">
        <v>1672</v>
      </c>
      <c r="C591" s="30" t="s">
        <v>457</v>
      </c>
      <c r="D591" s="30" t="s">
        <v>54</v>
      </c>
      <c r="E591" s="30" t="s">
        <v>149</v>
      </c>
      <c r="F591" s="30" t="s">
        <v>149</v>
      </c>
    </row>
    <row r="592">
      <c r="A592" s="30" t="s">
        <v>1673</v>
      </c>
      <c r="B592" s="30" t="s">
        <v>1674</v>
      </c>
      <c r="C592" s="30" t="s">
        <v>457</v>
      </c>
      <c r="D592" s="30" t="s">
        <v>54</v>
      </c>
      <c r="E592" s="30" t="s">
        <v>149</v>
      </c>
      <c r="F592" s="30" t="s">
        <v>149</v>
      </c>
    </row>
    <row r="593">
      <c r="A593" s="30" t="s">
        <v>1676</v>
      </c>
      <c r="B593" s="30" t="s">
        <v>1677</v>
      </c>
      <c r="C593" s="30" t="s">
        <v>457</v>
      </c>
      <c r="D593" s="30" t="s">
        <v>54</v>
      </c>
      <c r="E593" s="30" t="s">
        <v>149</v>
      </c>
      <c r="F593" s="30" t="s">
        <v>149</v>
      </c>
    </row>
    <row r="594">
      <c r="A594" s="30" t="s">
        <v>1679</v>
      </c>
      <c r="B594" s="30" t="s">
        <v>1680</v>
      </c>
      <c r="C594" s="30" t="s">
        <v>457</v>
      </c>
      <c r="D594" s="30" t="s">
        <v>54</v>
      </c>
      <c r="E594" s="30" t="s">
        <v>149</v>
      </c>
      <c r="F594" s="30" t="s">
        <v>149</v>
      </c>
    </row>
    <row r="595">
      <c r="A595" s="30" t="s">
        <v>1681</v>
      </c>
      <c r="B595" s="30" t="s">
        <v>1683</v>
      </c>
      <c r="C595" s="30" t="s">
        <v>457</v>
      </c>
      <c r="D595" s="30" t="s">
        <v>54</v>
      </c>
      <c r="E595" s="30" t="s">
        <v>149</v>
      </c>
      <c r="F595" s="30" t="s">
        <v>149</v>
      </c>
    </row>
    <row r="596">
      <c r="A596" s="30" t="s">
        <v>1686</v>
      </c>
      <c r="B596" s="30" t="s">
        <v>1688</v>
      </c>
      <c r="C596" s="30" t="s">
        <v>457</v>
      </c>
      <c r="D596" s="30" t="s">
        <v>54</v>
      </c>
      <c r="E596" s="30" t="s">
        <v>149</v>
      </c>
      <c r="F596" s="30" t="s">
        <v>149</v>
      </c>
    </row>
    <row r="597">
      <c r="A597" s="30" t="s">
        <v>1689</v>
      </c>
      <c r="B597" s="30" t="s">
        <v>1690</v>
      </c>
      <c r="C597" s="30" t="s">
        <v>466</v>
      </c>
      <c r="D597" s="30" t="s">
        <v>54</v>
      </c>
      <c r="E597" s="30" t="s">
        <v>149</v>
      </c>
      <c r="F597" s="30" t="s">
        <v>149</v>
      </c>
    </row>
    <row r="598">
      <c r="A598" s="30" t="s">
        <v>1691</v>
      </c>
      <c r="B598" s="30" t="s">
        <v>1692</v>
      </c>
      <c r="C598" s="30" t="s">
        <v>457</v>
      </c>
      <c r="D598" s="30" t="s">
        <v>54</v>
      </c>
      <c r="E598" s="30" t="s">
        <v>149</v>
      </c>
      <c r="F598" s="30" t="s">
        <v>149</v>
      </c>
    </row>
    <row r="599">
      <c r="A599" s="30" t="s">
        <v>1693</v>
      </c>
      <c r="B599" s="30" t="s">
        <v>1694</v>
      </c>
      <c r="C599" s="30" t="s">
        <v>457</v>
      </c>
      <c r="D599" s="30" t="s">
        <v>54</v>
      </c>
      <c r="E599" s="30" t="s">
        <v>149</v>
      </c>
      <c r="F599" s="30" t="s">
        <v>149</v>
      </c>
    </row>
    <row r="600">
      <c r="A600" s="30" t="s">
        <v>1695</v>
      </c>
      <c r="B600" s="30" t="s">
        <v>1696</v>
      </c>
      <c r="C600" s="30" t="s">
        <v>457</v>
      </c>
      <c r="D600" s="30" t="s">
        <v>54</v>
      </c>
      <c r="E600" s="30" t="s">
        <v>149</v>
      </c>
      <c r="F600" s="30" t="s">
        <v>149</v>
      </c>
    </row>
    <row r="601">
      <c r="A601" s="30" t="s">
        <v>1698</v>
      </c>
      <c r="B601" s="30" t="s">
        <v>1699</v>
      </c>
      <c r="C601" s="30" t="s">
        <v>457</v>
      </c>
      <c r="D601" s="30" t="s">
        <v>54</v>
      </c>
      <c r="E601" s="30" t="s">
        <v>149</v>
      </c>
      <c r="F601" s="30" t="s">
        <v>149</v>
      </c>
    </row>
    <row r="602">
      <c r="A602" s="30" t="s">
        <v>1700</v>
      </c>
      <c r="B602" s="30" t="s">
        <v>1702</v>
      </c>
      <c r="C602" s="30" t="s">
        <v>466</v>
      </c>
      <c r="D602" s="30" t="s">
        <v>54</v>
      </c>
      <c r="E602" s="30" t="s">
        <v>149</v>
      </c>
      <c r="F602" s="30" t="s">
        <v>149</v>
      </c>
    </row>
    <row r="603">
      <c r="A603" s="30" t="s">
        <v>1704</v>
      </c>
      <c r="B603" s="30" t="s">
        <v>1705</v>
      </c>
      <c r="C603" s="30" t="s">
        <v>457</v>
      </c>
      <c r="D603" s="30" t="s">
        <v>44</v>
      </c>
      <c r="E603" s="29"/>
      <c r="F603" s="29"/>
    </row>
    <row r="604">
      <c r="A604" s="30" t="s">
        <v>1707</v>
      </c>
      <c r="B604" s="30" t="s">
        <v>1708</v>
      </c>
      <c r="C604" s="30" t="s">
        <v>457</v>
      </c>
      <c r="D604" s="30" t="s">
        <v>54</v>
      </c>
      <c r="E604" s="30" t="s">
        <v>149</v>
      </c>
      <c r="F604" s="30" t="s">
        <v>149</v>
      </c>
    </row>
    <row r="605">
      <c r="A605" s="30" t="s">
        <v>1710</v>
      </c>
      <c r="B605" s="30" t="s">
        <v>1711</v>
      </c>
      <c r="C605" s="30" t="s">
        <v>457</v>
      </c>
      <c r="D605" s="30" t="s">
        <v>54</v>
      </c>
      <c r="E605" s="30" t="s">
        <v>149</v>
      </c>
      <c r="F605" s="30" t="s">
        <v>149</v>
      </c>
    </row>
    <row r="606">
      <c r="A606" s="30" t="s">
        <v>1712</v>
      </c>
      <c r="B606" s="30" t="s">
        <v>1713</v>
      </c>
      <c r="C606" s="30" t="s">
        <v>457</v>
      </c>
      <c r="D606" s="30" t="s">
        <v>44</v>
      </c>
      <c r="E606" s="29"/>
      <c r="F606" s="29"/>
    </row>
    <row r="607">
      <c r="A607" s="30" t="s">
        <v>1714</v>
      </c>
      <c r="B607" s="30" t="s">
        <v>1715</v>
      </c>
      <c r="C607" s="30" t="s">
        <v>457</v>
      </c>
      <c r="D607" s="30" t="s">
        <v>54</v>
      </c>
      <c r="E607" s="30" t="s">
        <v>149</v>
      </c>
      <c r="F607" s="30" t="s">
        <v>149</v>
      </c>
    </row>
    <row r="608">
      <c r="A608" s="30" t="s">
        <v>1716</v>
      </c>
      <c r="B608" s="30" t="s">
        <v>1717</v>
      </c>
      <c r="C608" s="30" t="s">
        <v>457</v>
      </c>
      <c r="D608" s="30" t="s">
        <v>54</v>
      </c>
      <c r="E608" s="30" t="s">
        <v>149</v>
      </c>
      <c r="F608" s="30" t="s">
        <v>149</v>
      </c>
    </row>
    <row r="609">
      <c r="A609" s="30" t="s">
        <v>1718</v>
      </c>
      <c r="B609" s="30" t="s">
        <v>1719</v>
      </c>
      <c r="C609" s="30" t="s">
        <v>457</v>
      </c>
      <c r="D609" s="30" t="s">
        <v>54</v>
      </c>
      <c r="E609" s="30" t="s">
        <v>149</v>
      </c>
      <c r="F609" s="30" t="s">
        <v>149</v>
      </c>
    </row>
    <row r="610">
      <c r="A610" s="30" t="s">
        <v>1720</v>
      </c>
      <c r="B610" s="30" t="s">
        <v>1722</v>
      </c>
      <c r="C610" s="30" t="s">
        <v>457</v>
      </c>
      <c r="D610" s="30" t="s">
        <v>54</v>
      </c>
      <c r="E610" s="30" t="s">
        <v>149</v>
      </c>
      <c r="F610" s="30" t="s">
        <v>149</v>
      </c>
    </row>
    <row r="611">
      <c r="A611" s="30" t="s">
        <v>1723</v>
      </c>
      <c r="B611" s="30" t="s">
        <v>1724</v>
      </c>
      <c r="C611" s="30" t="s">
        <v>466</v>
      </c>
      <c r="D611" s="30" t="s">
        <v>54</v>
      </c>
      <c r="E611" s="30" t="s">
        <v>149</v>
      </c>
      <c r="F611" s="30" t="s">
        <v>149</v>
      </c>
    </row>
    <row r="612">
      <c r="A612" s="30" t="s">
        <v>1725</v>
      </c>
      <c r="B612" s="30" t="s">
        <v>1726</v>
      </c>
      <c r="C612" s="30" t="s">
        <v>457</v>
      </c>
      <c r="D612" s="30" t="s">
        <v>54</v>
      </c>
      <c r="E612" s="30" t="s">
        <v>149</v>
      </c>
      <c r="F612" s="30" t="s">
        <v>149</v>
      </c>
    </row>
    <row r="613">
      <c r="A613" s="30" t="s">
        <v>1727</v>
      </c>
      <c r="B613" s="30" t="s">
        <v>1728</v>
      </c>
      <c r="C613" s="30" t="s">
        <v>466</v>
      </c>
      <c r="D613" s="30" t="s">
        <v>54</v>
      </c>
      <c r="E613" s="30" t="s">
        <v>149</v>
      </c>
      <c r="F613" s="30" t="s">
        <v>149</v>
      </c>
    </row>
    <row r="614">
      <c r="A614" s="30" t="s">
        <v>1732</v>
      </c>
      <c r="B614" s="30" t="s">
        <v>1733</v>
      </c>
      <c r="C614" s="30" t="s">
        <v>466</v>
      </c>
      <c r="D614" s="30" t="s">
        <v>44</v>
      </c>
      <c r="E614" s="29"/>
      <c r="F614" s="29"/>
    </row>
    <row r="615">
      <c r="A615" s="30" t="s">
        <v>1734</v>
      </c>
      <c r="B615" s="30" t="s">
        <v>1735</v>
      </c>
      <c r="C615" s="30" t="s">
        <v>466</v>
      </c>
      <c r="D615" s="30" t="s">
        <v>44</v>
      </c>
      <c r="E615" s="29"/>
      <c r="F615" s="29"/>
    </row>
    <row r="616">
      <c r="A616" s="30" t="s">
        <v>1736</v>
      </c>
      <c r="B616" s="30" t="s">
        <v>1737</v>
      </c>
      <c r="C616" s="30" t="s">
        <v>457</v>
      </c>
      <c r="D616" s="30" t="s">
        <v>54</v>
      </c>
      <c r="E616" s="30" t="s">
        <v>149</v>
      </c>
      <c r="F616" s="30" t="s">
        <v>149</v>
      </c>
    </row>
    <row r="617">
      <c r="A617" s="30" t="s">
        <v>1738</v>
      </c>
      <c r="B617" s="30" t="s">
        <v>1739</v>
      </c>
      <c r="C617" s="30" t="s">
        <v>457</v>
      </c>
      <c r="D617" s="30" t="s">
        <v>44</v>
      </c>
      <c r="E617" s="29"/>
      <c r="F617" s="29"/>
    </row>
    <row r="618">
      <c r="A618" s="30" t="s">
        <v>1740</v>
      </c>
      <c r="B618" s="30" t="s">
        <v>1742</v>
      </c>
      <c r="C618" s="30" t="s">
        <v>457</v>
      </c>
      <c r="D618" s="30" t="s">
        <v>54</v>
      </c>
      <c r="E618" s="30" t="s">
        <v>149</v>
      </c>
      <c r="F618" s="30" t="s">
        <v>149</v>
      </c>
    </row>
    <row r="619">
      <c r="A619" s="30" t="s">
        <v>1743</v>
      </c>
      <c r="B619" s="30" t="s">
        <v>1744</v>
      </c>
      <c r="C619" s="30" t="s">
        <v>457</v>
      </c>
      <c r="D619" s="30" t="s">
        <v>54</v>
      </c>
      <c r="E619" s="30" t="s">
        <v>149</v>
      </c>
      <c r="F619" s="30" t="s">
        <v>149</v>
      </c>
    </row>
    <row r="620">
      <c r="A620" s="30" t="s">
        <v>1745</v>
      </c>
      <c r="B620" s="30" t="s">
        <v>1746</v>
      </c>
      <c r="C620" s="30" t="s">
        <v>457</v>
      </c>
      <c r="D620" s="30" t="s">
        <v>54</v>
      </c>
      <c r="E620" s="30" t="s">
        <v>149</v>
      </c>
      <c r="F620" s="30" t="s">
        <v>149</v>
      </c>
    </row>
    <row r="621">
      <c r="A621" s="30" t="s">
        <v>1748</v>
      </c>
      <c r="B621" s="30" t="s">
        <v>1749</v>
      </c>
      <c r="C621" s="30" t="s">
        <v>457</v>
      </c>
      <c r="D621" s="30" t="s">
        <v>54</v>
      </c>
      <c r="E621" s="30" t="s">
        <v>149</v>
      </c>
      <c r="F621" s="30" t="s">
        <v>149</v>
      </c>
    </row>
    <row r="622">
      <c r="A622" s="30" t="s">
        <v>1750</v>
      </c>
      <c r="B622" s="30" t="s">
        <v>1751</v>
      </c>
      <c r="C622" s="30" t="s">
        <v>457</v>
      </c>
      <c r="D622" s="30" t="s">
        <v>44</v>
      </c>
      <c r="E622" s="29"/>
      <c r="F622" s="29"/>
    </row>
    <row r="623">
      <c r="A623" s="30" t="s">
        <v>1754</v>
      </c>
      <c r="B623" s="30" t="s">
        <v>1755</v>
      </c>
      <c r="C623" s="30" t="s">
        <v>457</v>
      </c>
      <c r="D623" s="30" t="s">
        <v>54</v>
      </c>
      <c r="E623" s="30" t="s">
        <v>149</v>
      </c>
      <c r="F623" s="30" t="s">
        <v>149</v>
      </c>
    </row>
    <row r="624">
      <c r="A624" s="30" t="s">
        <v>1757</v>
      </c>
      <c r="B624" s="30" t="s">
        <v>1758</v>
      </c>
      <c r="C624" s="30" t="s">
        <v>466</v>
      </c>
      <c r="D624" s="30" t="s">
        <v>54</v>
      </c>
      <c r="E624" s="30" t="s">
        <v>149</v>
      </c>
      <c r="F624" s="30" t="s">
        <v>149</v>
      </c>
    </row>
    <row r="625">
      <c r="A625" s="30" t="s">
        <v>1759</v>
      </c>
      <c r="B625" s="30" t="s">
        <v>1760</v>
      </c>
      <c r="C625" s="30" t="s">
        <v>466</v>
      </c>
      <c r="D625" s="30" t="s">
        <v>54</v>
      </c>
      <c r="E625" s="30" t="s">
        <v>149</v>
      </c>
      <c r="F625" s="30" t="s">
        <v>149</v>
      </c>
    </row>
    <row r="626">
      <c r="A626" s="30" t="s">
        <v>1762</v>
      </c>
      <c r="B626" s="30" t="s">
        <v>1763</v>
      </c>
      <c r="C626" s="30" t="s">
        <v>457</v>
      </c>
      <c r="D626" s="30" t="s">
        <v>54</v>
      </c>
      <c r="E626" s="30" t="s">
        <v>149</v>
      </c>
      <c r="F626" s="30" t="s">
        <v>149</v>
      </c>
    </row>
    <row r="627">
      <c r="A627" s="30" t="s">
        <v>1764</v>
      </c>
      <c r="B627" s="30" t="s">
        <v>1765</v>
      </c>
      <c r="C627" s="30" t="s">
        <v>457</v>
      </c>
      <c r="D627" s="30" t="s">
        <v>44</v>
      </c>
      <c r="E627" s="29"/>
      <c r="F627" s="29"/>
    </row>
    <row r="628">
      <c r="A628" s="30" t="s">
        <v>1766</v>
      </c>
      <c r="B628" s="30" t="s">
        <v>1767</v>
      </c>
      <c r="C628" s="30" t="s">
        <v>457</v>
      </c>
      <c r="D628" s="30" t="s">
        <v>54</v>
      </c>
      <c r="E628" s="30" t="s">
        <v>149</v>
      </c>
      <c r="F628" s="30" t="s">
        <v>149</v>
      </c>
    </row>
    <row r="629">
      <c r="A629" s="30" t="s">
        <v>1769</v>
      </c>
      <c r="B629" s="30" t="s">
        <v>1770</v>
      </c>
      <c r="C629" s="30" t="s">
        <v>457</v>
      </c>
      <c r="D629" s="30" t="s">
        <v>54</v>
      </c>
      <c r="E629" s="30" t="s">
        <v>149</v>
      </c>
      <c r="F629" s="30" t="s">
        <v>149</v>
      </c>
    </row>
    <row r="630">
      <c r="A630" s="30" t="s">
        <v>1771</v>
      </c>
      <c r="B630" s="30" t="s">
        <v>1772</v>
      </c>
      <c r="C630" s="30" t="s">
        <v>457</v>
      </c>
      <c r="D630" s="30" t="s">
        <v>54</v>
      </c>
      <c r="E630" s="30" t="s">
        <v>149</v>
      </c>
      <c r="F630" s="30" t="s">
        <v>149</v>
      </c>
    </row>
    <row r="631">
      <c r="A631" s="30" t="s">
        <v>1774</v>
      </c>
      <c r="B631" s="30" t="s">
        <v>1776</v>
      </c>
      <c r="C631" s="30" t="s">
        <v>457</v>
      </c>
      <c r="D631" s="30" t="s">
        <v>54</v>
      </c>
      <c r="E631" s="30" t="s">
        <v>149</v>
      </c>
      <c r="F631" s="30" t="s">
        <v>149</v>
      </c>
    </row>
    <row r="632">
      <c r="A632" s="30" t="s">
        <v>1779</v>
      </c>
      <c r="B632" s="30" t="s">
        <v>1780</v>
      </c>
      <c r="C632" s="30" t="s">
        <v>457</v>
      </c>
      <c r="D632" s="30" t="s">
        <v>54</v>
      </c>
      <c r="E632" s="30" t="s">
        <v>149</v>
      </c>
      <c r="F632" s="30" t="s">
        <v>149</v>
      </c>
    </row>
    <row r="633">
      <c r="A633" s="30" t="s">
        <v>1782</v>
      </c>
      <c r="B633" s="30" t="s">
        <v>1783</v>
      </c>
      <c r="C633" s="30" t="s">
        <v>457</v>
      </c>
      <c r="D633" s="30" t="s">
        <v>44</v>
      </c>
      <c r="E633" s="29"/>
      <c r="F633" s="29"/>
    </row>
    <row r="634">
      <c r="A634" s="30" t="s">
        <v>1784</v>
      </c>
      <c r="B634" s="30" t="s">
        <v>1785</v>
      </c>
      <c r="C634" s="30" t="s">
        <v>457</v>
      </c>
      <c r="D634" s="30" t="s">
        <v>54</v>
      </c>
      <c r="E634" s="30" t="s">
        <v>149</v>
      </c>
      <c r="F634" s="30" t="s">
        <v>149</v>
      </c>
    </row>
    <row r="635">
      <c r="A635" s="30" t="s">
        <v>1786</v>
      </c>
      <c r="B635" s="30" t="s">
        <v>1787</v>
      </c>
      <c r="C635" s="30" t="s">
        <v>457</v>
      </c>
      <c r="D635" s="30" t="s">
        <v>54</v>
      </c>
      <c r="E635" s="30" t="s">
        <v>149</v>
      </c>
      <c r="F635" s="30" t="s">
        <v>149</v>
      </c>
    </row>
    <row r="636">
      <c r="A636" s="30" t="s">
        <v>1788</v>
      </c>
      <c r="B636" s="30" t="s">
        <v>1789</v>
      </c>
      <c r="C636" s="30" t="s">
        <v>457</v>
      </c>
      <c r="D636" s="30" t="s">
        <v>54</v>
      </c>
      <c r="E636" s="30" t="s">
        <v>149</v>
      </c>
      <c r="F636" s="30" t="s">
        <v>149</v>
      </c>
    </row>
    <row r="637">
      <c r="A637" s="30" t="s">
        <v>1790</v>
      </c>
      <c r="B637" s="30" t="s">
        <v>1791</v>
      </c>
      <c r="C637" s="30" t="s">
        <v>457</v>
      </c>
      <c r="D637" s="30" t="s">
        <v>54</v>
      </c>
      <c r="E637" s="30" t="s">
        <v>149</v>
      </c>
      <c r="F637" s="30" t="s">
        <v>149</v>
      </c>
    </row>
    <row r="638">
      <c r="A638" s="30" t="s">
        <v>1792</v>
      </c>
      <c r="B638" s="30" t="s">
        <v>1793</v>
      </c>
      <c r="C638" s="30" t="s">
        <v>457</v>
      </c>
      <c r="D638" s="30" t="s">
        <v>54</v>
      </c>
      <c r="E638" s="30" t="s">
        <v>149</v>
      </c>
      <c r="F638" s="30" t="s">
        <v>149</v>
      </c>
    </row>
    <row r="639">
      <c r="A639" s="30" t="s">
        <v>1795</v>
      </c>
      <c r="B639" s="30" t="s">
        <v>1796</v>
      </c>
      <c r="C639" s="30" t="s">
        <v>466</v>
      </c>
      <c r="D639" s="30" t="s">
        <v>54</v>
      </c>
      <c r="E639" s="30" t="s">
        <v>149</v>
      </c>
      <c r="F639" s="30" t="s">
        <v>149</v>
      </c>
    </row>
    <row r="640">
      <c r="A640" s="30" t="s">
        <v>1798</v>
      </c>
      <c r="B640" s="30" t="s">
        <v>1799</v>
      </c>
      <c r="C640" s="30" t="s">
        <v>466</v>
      </c>
      <c r="D640" s="30" t="s">
        <v>54</v>
      </c>
      <c r="E640" s="30" t="s">
        <v>149</v>
      </c>
      <c r="F640" s="30" t="s">
        <v>149</v>
      </c>
    </row>
    <row r="641">
      <c r="A641" s="30" t="s">
        <v>1800</v>
      </c>
      <c r="B641" s="30" t="s">
        <v>1801</v>
      </c>
      <c r="C641" s="30" t="s">
        <v>457</v>
      </c>
      <c r="D641" s="30" t="s">
        <v>54</v>
      </c>
      <c r="E641" s="30" t="s">
        <v>149</v>
      </c>
      <c r="F641" s="30" t="s">
        <v>149</v>
      </c>
    </row>
    <row r="642">
      <c r="A642" s="30" t="s">
        <v>1804</v>
      </c>
      <c r="B642" s="30" t="s">
        <v>1805</v>
      </c>
      <c r="C642" s="30" t="s">
        <v>466</v>
      </c>
      <c r="D642" s="30" t="s">
        <v>54</v>
      </c>
      <c r="E642" s="30" t="s">
        <v>149</v>
      </c>
      <c r="F642" s="30" t="s">
        <v>149</v>
      </c>
    </row>
    <row r="643">
      <c r="A643" s="30" t="s">
        <v>1807</v>
      </c>
      <c r="B643" s="30" t="s">
        <v>1808</v>
      </c>
      <c r="C643" s="30" t="s">
        <v>457</v>
      </c>
      <c r="D643" s="30" t="s">
        <v>54</v>
      </c>
      <c r="E643" s="30" t="s">
        <v>149</v>
      </c>
      <c r="F643" s="30" t="s">
        <v>149</v>
      </c>
    </row>
    <row r="644">
      <c r="A644" s="30" t="s">
        <v>1810</v>
      </c>
      <c r="B644" s="30" t="s">
        <v>1811</v>
      </c>
      <c r="C644" s="30" t="s">
        <v>457</v>
      </c>
      <c r="D644" s="30" t="s">
        <v>54</v>
      </c>
      <c r="E644" s="30" t="s">
        <v>149</v>
      </c>
      <c r="F644" s="30" t="s">
        <v>149</v>
      </c>
    </row>
    <row r="645">
      <c r="A645" s="30" t="s">
        <v>1812</v>
      </c>
      <c r="B645" s="30" t="s">
        <v>1813</v>
      </c>
      <c r="C645" s="30" t="s">
        <v>457</v>
      </c>
      <c r="D645" s="30" t="s">
        <v>54</v>
      </c>
      <c r="E645" s="30" t="s">
        <v>149</v>
      </c>
      <c r="F645" s="30" t="s">
        <v>149</v>
      </c>
    </row>
    <row r="646">
      <c r="A646" s="30" t="s">
        <v>1814</v>
      </c>
      <c r="B646" s="30" t="s">
        <v>1815</v>
      </c>
      <c r="C646" s="30" t="s">
        <v>466</v>
      </c>
      <c r="D646" s="30" t="s">
        <v>54</v>
      </c>
      <c r="E646" s="30" t="s">
        <v>149</v>
      </c>
      <c r="F646" s="30" t="s">
        <v>149</v>
      </c>
    </row>
    <row r="647">
      <c r="A647" s="30" t="s">
        <v>1816</v>
      </c>
      <c r="B647" s="30" t="s">
        <v>1817</v>
      </c>
      <c r="C647" s="30" t="s">
        <v>457</v>
      </c>
      <c r="D647" s="30" t="s">
        <v>54</v>
      </c>
      <c r="E647" s="30" t="s">
        <v>149</v>
      </c>
      <c r="F647" s="30" t="s">
        <v>149</v>
      </c>
    </row>
    <row r="648">
      <c r="A648" s="30" t="s">
        <v>1818</v>
      </c>
      <c r="B648" s="30" t="s">
        <v>1819</v>
      </c>
      <c r="C648" s="30" t="s">
        <v>457</v>
      </c>
      <c r="D648" s="30" t="s">
        <v>54</v>
      </c>
      <c r="E648" s="30" t="s">
        <v>149</v>
      </c>
      <c r="F648" s="30" t="s">
        <v>149</v>
      </c>
    </row>
    <row r="649">
      <c r="A649" s="30" t="s">
        <v>1821</v>
      </c>
      <c r="B649" s="30" t="s">
        <v>1822</v>
      </c>
      <c r="C649" s="30" t="s">
        <v>457</v>
      </c>
      <c r="D649" s="30" t="s">
        <v>44</v>
      </c>
      <c r="E649" s="29"/>
      <c r="F649" s="29"/>
    </row>
    <row r="650">
      <c r="A650" s="30" t="s">
        <v>1823</v>
      </c>
      <c r="B650" s="30" t="s">
        <v>1824</v>
      </c>
      <c r="C650" s="30" t="s">
        <v>457</v>
      </c>
      <c r="D650" s="30" t="s">
        <v>44</v>
      </c>
      <c r="E650" s="29"/>
      <c r="F650" s="29"/>
    </row>
    <row r="651">
      <c r="A651" s="30" t="s">
        <v>1825</v>
      </c>
      <c r="B651" s="30" t="s">
        <v>1827</v>
      </c>
      <c r="C651" s="30" t="s">
        <v>457</v>
      </c>
      <c r="D651" s="30" t="s">
        <v>54</v>
      </c>
      <c r="E651" s="30" t="s">
        <v>149</v>
      </c>
      <c r="F651" s="30" t="s">
        <v>149</v>
      </c>
    </row>
    <row r="652">
      <c r="A652" s="30" t="s">
        <v>1829</v>
      </c>
      <c r="B652" s="30" t="s">
        <v>1830</v>
      </c>
      <c r="C652" s="30" t="s">
        <v>457</v>
      </c>
      <c r="D652" s="30" t="s">
        <v>54</v>
      </c>
      <c r="E652" s="30" t="s">
        <v>149</v>
      </c>
      <c r="F652" s="30" t="s">
        <v>149</v>
      </c>
    </row>
    <row r="653">
      <c r="A653" s="30" t="s">
        <v>1831</v>
      </c>
      <c r="B653" s="30" t="s">
        <v>1833</v>
      </c>
      <c r="C653" s="30" t="s">
        <v>457</v>
      </c>
      <c r="D653" s="30" t="s">
        <v>54</v>
      </c>
      <c r="E653" s="30" t="s">
        <v>149</v>
      </c>
      <c r="F653" s="30" t="s">
        <v>149</v>
      </c>
    </row>
    <row r="654">
      <c r="A654" s="30" t="s">
        <v>1834</v>
      </c>
      <c r="B654" s="30" t="s">
        <v>1835</v>
      </c>
      <c r="C654" s="30" t="s">
        <v>457</v>
      </c>
      <c r="D654" s="30" t="s">
        <v>54</v>
      </c>
      <c r="E654" s="30" t="s">
        <v>149</v>
      </c>
      <c r="F654" s="30" t="s">
        <v>149</v>
      </c>
    </row>
    <row r="655">
      <c r="A655" s="30" t="s">
        <v>1836</v>
      </c>
      <c r="B655" s="30" t="s">
        <v>1837</v>
      </c>
      <c r="C655" s="30" t="s">
        <v>457</v>
      </c>
      <c r="D655" s="30" t="s">
        <v>54</v>
      </c>
      <c r="E655" s="30" t="s">
        <v>149</v>
      </c>
      <c r="F655" s="30" t="s">
        <v>149</v>
      </c>
    </row>
    <row r="656">
      <c r="A656" s="30" t="s">
        <v>1838</v>
      </c>
      <c r="B656" s="30" t="s">
        <v>1839</v>
      </c>
      <c r="C656" s="30" t="s">
        <v>457</v>
      </c>
      <c r="D656" s="30" t="s">
        <v>54</v>
      </c>
      <c r="E656" s="30" t="s">
        <v>149</v>
      </c>
      <c r="F656" s="30" t="s">
        <v>149</v>
      </c>
    </row>
    <row r="657">
      <c r="A657" s="30" t="s">
        <v>1841</v>
      </c>
      <c r="B657" s="30" t="s">
        <v>1842</v>
      </c>
      <c r="C657" s="30" t="s">
        <v>457</v>
      </c>
      <c r="D657" s="30" t="s">
        <v>54</v>
      </c>
      <c r="E657" s="30" t="s">
        <v>149</v>
      </c>
      <c r="F657" s="30" t="s">
        <v>149</v>
      </c>
    </row>
    <row r="658">
      <c r="A658" s="30" t="s">
        <v>1843</v>
      </c>
      <c r="B658" s="30" t="s">
        <v>1844</v>
      </c>
      <c r="C658" s="30" t="s">
        <v>457</v>
      </c>
      <c r="D658" s="30" t="s">
        <v>54</v>
      </c>
      <c r="E658" s="30" t="s">
        <v>149</v>
      </c>
      <c r="F658" s="30" t="s">
        <v>149</v>
      </c>
    </row>
    <row r="659">
      <c r="A659" s="30" t="s">
        <v>1845</v>
      </c>
      <c r="B659" s="30" t="s">
        <v>1846</v>
      </c>
      <c r="C659" s="30" t="s">
        <v>466</v>
      </c>
      <c r="D659" s="30" t="s">
        <v>44</v>
      </c>
      <c r="E659" s="29"/>
      <c r="F659" s="29"/>
    </row>
    <row r="660">
      <c r="A660" s="30" t="s">
        <v>1847</v>
      </c>
      <c r="B660" s="30" t="s">
        <v>1848</v>
      </c>
      <c r="C660" s="30" t="s">
        <v>457</v>
      </c>
      <c r="D660" s="30" t="s">
        <v>54</v>
      </c>
      <c r="E660" s="30" t="s">
        <v>149</v>
      </c>
      <c r="F660" s="30" t="s">
        <v>149</v>
      </c>
    </row>
    <row r="661">
      <c r="A661" s="30" t="s">
        <v>1850</v>
      </c>
      <c r="B661" s="30" t="s">
        <v>1851</v>
      </c>
      <c r="C661" s="30" t="s">
        <v>466</v>
      </c>
      <c r="D661" s="30" t="s">
        <v>54</v>
      </c>
      <c r="E661" s="30" t="s">
        <v>149</v>
      </c>
      <c r="F661" s="30" t="s">
        <v>149</v>
      </c>
    </row>
    <row r="662">
      <c r="A662" s="30" t="s">
        <v>1852</v>
      </c>
      <c r="B662" s="30" t="s">
        <v>1853</v>
      </c>
      <c r="C662" s="30" t="s">
        <v>457</v>
      </c>
      <c r="D662" s="30" t="s">
        <v>54</v>
      </c>
      <c r="E662" s="30" t="s">
        <v>149</v>
      </c>
      <c r="F662" s="30" t="s">
        <v>149</v>
      </c>
    </row>
    <row r="663">
      <c r="A663" s="30" t="s">
        <v>1854</v>
      </c>
      <c r="B663" s="30" t="s">
        <v>1855</v>
      </c>
      <c r="C663" s="30" t="s">
        <v>466</v>
      </c>
      <c r="D663" s="30" t="s">
        <v>54</v>
      </c>
      <c r="E663" s="30" t="s">
        <v>149</v>
      </c>
      <c r="F663" s="30" t="s">
        <v>149</v>
      </c>
    </row>
    <row r="664">
      <c r="A664" s="30" t="s">
        <v>1856</v>
      </c>
      <c r="B664" s="30" t="s">
        <v>1857</v>
      </c>
      <c r="C664" s="30" t="s">
        <v>457</v>
      </c>
      <c r="D664" s="30" t="s">
        <v>44</v>
      </c>
      <c r="E664" s="29"/>
      <c r="F664" s="29"/>
    </row>
    <row r="665">
      <c r="A665" s="30" t="s">
        <v>1858</v>
      </c>
      <c r="B665" s="30" t="s">
        <v>1859</v>
      </c>
      <c r="C665" s="30" t="s">
        <v>457</v>
      </c>
      <c r="D665" s="30" t="s">
        <v>44</v>
      </c>
      <c r="E665" s="29"/>
      <c r="F665" s="29"/>
    </row>
    <row r="666">
      <c r="A666" s="30" t="s">
        <v>1860</v>
      </c>
      <c r="B666" s="30" t="s">
        <v>1861</v>
      </c>
      <c r="C666" s="30" t="s">
        <v>457</v>
      </c>
      <c r="D666" s="30" t="s">
        <v>54</v>
      </c>
      <c r="E666" s="30" t="s">
        <v>149</v>
      </c>
      <c r="F666" s="30" t="s">
        <v>149</v>
      </c>
    </row>
    <row r="667">
      <c r="A667" s="30" t="s">
        <v>1862</v>
      </c>
      <c r="B667" s="30" t="s">
        <v>1863</v>
      </c>
      <c r="C667" s="30" t="s">
        <v>457</v>
      </c>
      <c r="D667" s="30" t="s">
        <v>54</v>
      </c>
      <c r="E667" s="30" t="s">
        <v>149</v>
      </c>
      <c r="F667" s="30" t="s">
        <v>149</v>
      </c>
    </row>
    <row r="668">
      <c r="A668" s="30" t="s">
        <v>1864</v>
      </c>
      <c r="B668" s="30" t="s">
        <v>1865</v>
      </c>
      <c r="C668" s="30" t="s">
        <v>466</v>
      </c>
      <c r="D668" s="30" t="s">
        <v>44</v>
      </c>
      <c r="E668" s="29"/>
      <c r="F668" s="29"/>
    </row>
    <row r="669">
      <c r="A669" s="30" t="s">
        <v>1866</v>
      </c>
      <c r="B669" s="30" t="s">
        <v>1867</v>
      </c>
      <c r="C669" s="30" t="s">
        <v>457</v>
      </c>
      <c r="D669" s="30" t="s">
        <v>54</v>
      </c>
      <c r="E669" s="30" t="s">
        <v>149</v>
      </c>
      <c r="F669" s="30" t="s">
        <v>149</v>
      </c>
    </row>
    <row r="670">
      <c r="A670" s="30" t="s">
        <v>1868</v>
      </c>
      <c r="B670" s="30" t="s">
        <v>1869</v>
      </c>
      <c r="C670" s="30" t="s">
        <v>457</v>
      </c>
      <c r="D670" s="30" t="s">
        <v>44</v>
      </c>
      <c r="E670" s="29"/>
      <c r="F670" s="29"/>
    </row>
    <row r="671">
      <c r="A671" s="30" t="s">
        <v>1870</v>
      </c>
      <c r="B671" s="30" t="s">
        <v>1871</v>
      </c>
      <c r="C671" s="30" t="s">
        <v>457</v>
      </c>
      <c r="D671" s="30" t="s">
        <v>54</v>
      </c>
      <c r="E671" s="30" t="s">
        <v>149</v>
      </c>
      <c r="F671" s="30" t="s">
        <v>149</v>
      </c>
    </row>
    <row r="672">
      <c r="A672" s="30" t="s">
        <v>1873</v>
      </c>
      <c r="B672" s="30" t="s">
        <v>1874</v>
      </c>
      <c r="C672" s="30" t="s">
        <v>457</v>
      </c>
      <c r="D672" s="30" t="s">
        <v>54</v>
      </c>
      <c r="E672" s="30" t="s">
        <v>149</v>
      </c>
      <c r="F672" s="30" t="s">
        <v>149</v>
      </c>
    </row>
    <row r="673">
      <c r="A673" s="30" t="s">
        <v>1875</v>
      </c>
      <c r="B673" s="30" t="s">
        <v>1876</v>
      </c>
      <c r="C673" s="30" t="s">
        <v>457</v>
      </c>
      <c r="D673" s="30" t="s">
        <v>54</v>
      </c>
      <c r="E673" s="30" t="s">
        <v>149</v>
      </c>
      <c r="F673" s="30" t="s">
        <v>149</v>
      </c>
    </row>
    <row r="674">
      <c r="A674" s="30" t="s">
        <v>1879</v>
      </c>
      <c r="B674" s="30" t="s">
        <v>1880</v>
      </c>
      <c r="C674" s="30" t="s">
        <v>457</v>
      </c>
      <c r="D674" s="30" t="s">
        <v>54</v>
      </c>
      <c r="E674" s="30" t="s">
        <v>149</v>
      </c>
      <c r="F674" s="30" t="s">
        <v>149</v>
      </c>
    </row>
    <row r="675">
      <c r="A675" s="30" t="s">
        <v>1883</v>
      </c>
      <c r="B675" s="30" t="s">
        <v>1884</v>
      </c>
      <c r="C675" s="30" t="s">
        <v>457</v>
      </c>
      <c r="D675" s="30" t="s">
        <v>54</v>
      </c>
      <c r="E675" s="30" t="s">
        <v>149</v>
      </c>
      <c r="F675" s="30" t="s">
        <v>149</v>
      </c>
    </row>
    <row r="676">
      <c r="A676" s="30" t="s">
        <v>1885</v>
      </c>
      <c r="B676" s="30" t="s">
        <v>1886</v>
      </c>
      <c r="C676" s="30" t="s">
        <v>457</v>
      </c>
      <c r="D676" s="30" t="s">
        <v>54</v>
      </c>
      <c r="E676" s="30" t="s">
        <v>149</v>
      </c>
      <c r="F676" s="30" t="s">
        <v>149</v>
      </c>
    </row>
    <row r="677">
      <c r="A677" s="30" t="s">
        <v>1888</v>
      </c>
      <c r="B677" s="30" t="s">
        <v>1889</v>
      </c>
      <c r="C677" s="30" t="s">
        <v>457</v>
      </c>
      <c r="D677" s="30" t="s">
        <v>54</v>
      </c>
      <c r="E677" s="30" t="s">
        <v>149</v>
      </c>
      <c r="F677" s="30" t="s">
        <v>149</v>
      </c>
    </row>
    <row r="678">
      <c r="A678" s="30" t="s">
        <v>1890</v>
      </c>
      <c r="B678" s="30" t="s">
        <v>1891</v>
      </c>
      <c r="C678" s="30" t="s">
        <v>457</v>
      </c>
      <c r="D678" s="30" t="s">
        <v>54</v>
      </c>
      <c r="E678" s="30" t="s">
        <v>149</v>
      </c>
      <c r="F678" s="30" t="s">
        <v>149</v>
      </c>
    </row>
    <row r="679">
      <c r="A679" s="30" t="s">
        <v>1892</v>
      </c>
      <c r="B679" s="30" t="s">
        <v>1893</v>
      </c>
      <c r="C679" s="30" t="s">
        <v>457</v>
      </c>
      <c r="D679" s="30" t="s">
        <v>54</v>
      </c>
      <c r="E679" s="30" t="s">
        <v>149</v>
      </c>
      <c r="F679" s="30" t="s">
        <v>149</v>
      </c>
    </row>
    <row r="680">
      <c r="A680" s="30" t="s">
        <v>1894</v>
      </c>
      <c r="B680" s="30" t="s">
        <v>1895</v>
      </c>
      <c r="C680" s="30" t="s">
        <v>457</v>
      </c>
      <c r="D680" s="30" t="s">
        <v>54</v>
      </c>
      <c r="E680" s="30" t="s">
        <v>149</v>
      </c>
      <c r="F680" s="30" t="s">
        <v>149</v>
      </c>
    </row>
    <row r="681">
      <c r="A681" s="30" t="s">
        <v>1896</v>
      </c>
      <c r="B681" s="30" t="s">
        <v>1897</v>
      </c>
      <c r="C681" s="30" t="s">
        <v>457</v>
      </c>
      <c r="D681" s="30" t="s">
        <v>54</v>
      </c>
      <c r="E681" s="30" t="s">
        <v>149</v>
      </c>
      <c r="F681" s="30" t="s">
        <v>149</v>
      </c>
    </row>
    <row r="682">
      <c r="A682" s="30" t="s">
        <v>1899</v>
      </c>
      <c r="B682" s="30" t="s">
        <v>1900</v>
      </c>
      <c r="C682" s="30" t="s">
        <v>457</v>
      </c>
      <c r="D682" s="30" t="s">
        <v>54</v>
      </c>
      <c r="E682" s="30" t="s">
        <v>149</v>
      </c>
      <c r="F682" s="30" t="s">
        <v>149</v>
      </c>
    </row>
    <row r="683">
      <c r="A683" s="30" t="s">
        <v>1901</v>
      </c>
      <c r="B683" s="30" t="s">
        <v>1902</v>
      </c>
      <c r="C683" s="30" t="s">
        <v>457</v>
      </c>
      <c r="D683" s="30" t="s">
        <v>54</v>
      </c>
      <c r="E683" s="30" t="s">
        <v>149</v>
      </c>
      <c r="F683" s="30" t="s">
        <v>149</v>
      </c>
    </row>
    <row r="684">
      <c r="A684" s="30" t="s">
        <v>1904</v>
      </c>
      <c r="B684" s="30" t="s">
        <v>1905</v>
      </c>
      <c r="C684" s="30" t="s">
        <v>457</v>
      </c>
      <c r="D684" s="30" t="s">
        <v>54</v>
      </c>
      <c r="E684" s="30" t="s">
        <v>149</v>
      </c>
      <c r="F684" s="30" t="s">
        <v>149</v>
      </c>
    </row>
    <row r="685">
      <c r="A685" s="30" t="s">
        <v>1906</v>
      </c>
      <c r="B685" s="30" t="s">
        <v>1907</v>
      </c>
      <c r="C685" s="30" t="s">
        <v>457</v>
      </c>
      <c r="D685" s="30" t="s">
        <v>54</v>
      </c>
      <c r="E685" s="30" t="s">
        <v>149</v>
      </c>
      <c r="F685" s="30" t="s">
        <v>149</v>
      </c>
    </row>
    <row r="686">
      <c r="A686" s="30" t="s">
        <v>1908</v>
      </c>
      <c r="B686" s="30" t="s">
        <v>1909</v>
      </c>
      <c r="C686" s="30" t="s">
        <v>466</v>
      </c>
      <c r="D686" s="30" t="s">
        <v>54</v>
      </c>
      <c r="E686" s="30" t="s">
        <v>149</v>
      </c>
      <c r="F686" s="30" t="s">
        <v>149</v>
      </c>
    </row>
    <row r="687">
      <c r="A687" s="30" t="s">
        <v>1910</v>
      </c>
      <c r="B687" s="30" t="s">
        <v>1911</v>
      </c>
      <c r="C687" s="30" t="s">
        <v>457</v>
      </c>
      <c r="D687" s="30" t="s">
        <v>54</v>
      </c>
      <c r="E687" s="30" t="s">
        <v>149</v>
      </c>
      <c r="F687" s="30" t="s">
        <v>149</v>
      </c>
    </row>
    <row r="688">
      <c r="A688" s="30" t="s">
        <v>1912</v>
      </c>
      <c r="B688" s="30" t="s">
        <v>1914</v>
      </c>
      <c r="C688" s="30" t="s">
        <v>457</v>
      </c>
      <c r="D688" s="30" t="s">
        <v>54</v>
      </c>
      <c r="E688" s="30" t="s">
        <v>149</v>
      </c>
      <c r="F688" s="30" t="s">
        <v>149</v>
      </c>
    </row>
    <row r="689">
      <c r="A689" s="30" t="s">
        <v>1915</v>
      </c>
      <c r="B689" s="30" t="s">
        <v>1916</v>
      </c>
      <c r="C689" s="30" t="s">
        <v>457</v>
      </c>
      <c r="D689" s="30" t="s">
        <v>54</v>
      </c>
      <c r="E689" s="30" t="s">
        <v>149</v>
      </c>
      <c r="F689" s="30" t="s">
        <v>149</v>
      </c>
    </row>
    <row r="690">
      <c r="A690" s="30" t="s">
        <v>1917</v>
      </c>
      <c r="B690" s="30" t="s">
        <v>1918</v>
      </c>
      <c r="C690" s="30" t="s">
        <v>457</v>
      </c>
      <c r="D690" s="30" t="s">
        <v>54</v>
      </c>
      <c r="E690" s="30" t="s">
        <v>149</v>
      </c>
      <c r="F690" s="30" t="s">
        <v>149</v>
      </c>
    </row>
    <row r="691">
      <c r="A691" s="30" t="s">
        <v>1919</v>
      </c>
      <c r="B691" s="30" t="s">
        <v>1920</v>
      </c>
      <c r="C691" s="30" t="s">
        <v>457</v>
      </c>
      <c r="D691" s="30" t="s">
        <v>54</v>
      </c>
      <c r="E691" s="30" t="s">
        <v>149</v>
      </c>
      <c r="F691" s="30" t="s">
        <v>149</v>
      </c>
    </row>
    <row r="692">
      <c r="A692" s="30" t="s">
        <v>1921</v>
      </c>
      <c r="B692" s="30" t="s">
        <v>1922</v>
      </c>
      <c r="C692" s="30" t="s">
        <v>457</v>
      </c>
      <c r="D692" s="30" t="s">
        <v>54</v>
      </c>
      <c r="E692" s="30" t="s">
        <v>149</v>
      </c>
      <c r="F692" s="30" t="s">
        <v>149</v>
      </c>
    </row>
    <row r="693">
      <c r="A693" s="30" t="s">
        <v>1926</v>
      </c>
      <c r="B693" s="30" t="s">
        <v>1928</v>
      </c>
      <c r="C693" s="30" t="s">
        <v>457</v>
      </c>
      <c r="D693" s="30" t="s">
        <v>54</v>
      </c>
      <c r="E693" s="30" t="s">
        <v>149</v>
      </c>
      <c r="F693" s="30" t="s">
        <v>149</v>
      </c>
    </row>
    <row r="694">
      <c r="A694" s="30" t="s">
        <v>1929</v>
      </c>
      <c r="B694" s="30" t="s">
        <v>1930</v>
      </c>
      <c r="C694" s="30" t="s">
        <v>457</v>
      </c>
      <c r="D694" s="30" t="s">
        <v>54</v>
      </c>
      <c r="E694" s="30" t="s">
        <v>149</v>
      </c>
      <c r="F694" s="30" t="s">
        <v>149</v>
      </c>
    </row>
    <row r="695">
      <c r="A695" s="30" t="s">
        <v>1931</v>
      </c>
      <c r="B695" s="30" t="s">
        <v>1932</v>
      </c>
      <c r="C695" s="30" t="s">
        <v>457</v>
      </c>
      <c r="D695" s="30" t="s">
        <v>54</v>
      </c>
      <c r="E695" s="30" t="s">
        <v>149</v>
      </c>
      <c r="F695" s="30" t="s">
        <v>149</v>
      </c>
    </row>
    <row r="696">
      <c r="A696" s="30" t="s">
        <v>1934</v>
      </c>
      <c r="B696" s="30" t="s">
        <v>1935</v>
      </c>
      <c r="C696" s="30" t="s">
        <v>457</v>
      </c>
      <c r="D696" s="30" t="s">
        <v>54</v>
      </c>
      <c r="E696" s="30" t="s">
        <v>149</v>
      </c>
      <c r="F696" s="30" t="s">
        <v>149</v>
      </c>
    </row>
    <row r="697">
      <c r="A697" s="30" t="s">
        <v>1936</v>
      </c>
      <c r="B697" s="30" t="s">
        <v>1937</v>
      </c>
      <c r="C697" s="30" t="s">
        <v>466</v>
      </c>
      <c r="D697" s="30" t="s">
        <v>54</v>
      </c>
      <c r="E697" s="30" t="s">
        <v>149</v>
      </c>
      <c r="F697" s="30" t="s">
        <v>149</v>
      </c>
    </row>
    <row r="698">
      <c r="A698" s="30" t="s">
        <v>1938</v>
      </c>
      <c r="B698" s="30" t="s">
        <v>1939</v>
      </c>
      <c r="C698" s="30" t="s">
        <v>457</v>
      </c>
      <c r="D698" s="30" t="s">
        <v>54</v>
      </c>
      <c r="E698" s="30" t="s">
        <v>149</v>
      </c>
      <c r="F698" s="30" t="s">
        <v>149</v>
      </c>
    </row>
    <row r="699">
      <c r="A699" s="30" t="s">
        <v>1941</v>
      </c>
      <c r="B699" s="30" t="s">
        <v>1942</v>
      </c>
      <c r="C699" s="30" t="s">
        <v>457</v>
      </c>
      <c r="D699" s="30" t="s">
        <v>54</v>
      </c>
      <c r="E699" s="30" t="s">
        <v>149</v>
      </c>
      <c r="F699" s="30" t="s">
        <v>149</v>
      </c>
    </row>
    <row r="700">
      <c r="A700" s="30" t="s">
        <v>1943</v>
      </c>
      <c r="B700" s="30" t="s">
        <v>1944</v>
      </c>
      <c r="C700" s="30" t="s">
        <v>457</v>
      </c>
      <c r="D700" s="30" t="s">
        <v>54</v>
      </c>
      <c r="E700" s="30" t="s">
        <v>149</v>
      </c>
      <c r="F700" s="30" t="s">
        <v>149</v>
      </c>
    </row>
    <row r="701">
      <c r="A701" s="30" t="s">
        <v>1946</v>
      </c>
      <c r="B701" s="30" t="s">
        <v>1947</v>
      </c>
      <c r="C701" s="30" t="s">
        <v>457</v>
      </c>
      <c r="D701" s="30" t="s">
        <v>54</v>
      </c>
      <c r="E701" s="30" t="s">
        <v>149</v>
      </c>
      <c r="F701" s="30" t="s">
        <v>149</v>
      </c>
    </row>
    <row r="702">
      <c r="A702" s="30" t="s">
        <v>1949</v>
      </c>
      <c r="B702" s="30" t="s">
        <v>1950</v>
      </c>
      <c r="C702" s="30" t="s">
        <v>457</v>
      </c>
      <c r="D702" s="30" t="s">
        <v>54</v>
      </c>
      <c r="E702" s="30" t="s">
        <v>149</v>
      </c>
      <c r="F702" s="30" t="s">
        <v>149</v>
      </c>
    </row>
    <row r="703">
      <c r="A703" s="30" t="s">
        <v>1952</v>
      </c>
      <c r="B703" s="30" t="s">
        <v>1953</v>
      </c>
      <c r="C703" s="30" t="s">
        <v>466</v>
      </c>
      <c r="D703" s="30" t="s">
        <v>54</v>
      </c>
      <c r="E703" s="30" t="s">
        <v>149</v>
      </c>
      <c r="F703" s="30" t="s">
        <v>149</v>
      </c>
    </row>
    <row r="704">
      <c r="A704" s="30" t="s">
        <v>1954</v>
      </c>
      <c r="B704" s="30" t="s">
        <v>1955</v>
      </c>
      <c r="C704" s="30" t="s">
        <v>457</v>
      </c>
      <c r="D704" s="30" t="s">
        <v>54</v>
      </c>
      <c r="E704" s="30" t="s">
        <v>149</v>
      </c>
      <c r="F704" s="30" t="s">
        <v>149</v>
      </c>
    </row>
    <row r="705">
      <c r="A705" s="30" t="s">
        <v>1956</v>
      </c>
      <c r="B705" s="30" t="s">
        <v>1957</v>
      </c>
      <c r="C705" s="30" t="s">
        <v>457</v>
      </c>
      <c r="D705" s="30" t="s">
        <v>54</v>
      </c>
      <c r="E705" s="30" t="s">
        <v>149</v>
      </c>
      <c r="F705" s="30" t="s">
        <v>149</v>
      </c>
    </row>
    <row r="706">
      <c r="A706" s="30" t="s">
        <v>1958</v>
      </c>
      <c r="B706" s="30" t="s">
        <v>1959</v>
      </c>
      <c r="C706" s="30" t="s">
        <v>457</v>
      </c>
      <c r="D706" s="30" t="s">
        <v>54</v>
      </c>
      <c r="E706" s="30" t="s">
        <v>149</v>
      </c>
      <c r="F706" s="30" t="s">
        <v>149</v>
      </c>
    </row>
    <row r="707">
      <c r="A707" s="30" t="s">
        <v>1960</v>
      </c>
      <c r="B707" s="30" t="s">
        <v>1961</v>
      </c>
      <c r="C707" s="30" t="s">
        <v>457</v>
      </c>
      <c r="D707" s="30" t="s">
        <v>54</v>
      </c>
      <c r="E707" s="30" t="s">
        <v>149</v>
      </c>
      <c r="F707" s="30" t="s">
        <v>149</v>
      </c>
    </row>
    <row r="708">
      <c r="A708" s="30" t="s">
        <v>1964</v>
      </c>
      <c r="B708" s="30" t="s">
        <v>1965</v>
      </c>
      <c r="C708" s="30" t="s">
        <v>457</v>
      </c>
      <c r="D708" s="30" t="s">
        <v>54</v>
      </c>
      <c r="E708" s="30" t="s">
        <v>149</v>
      </c>
      <c r="F708" s="30" t="s">
        <v>149</v>
      </c>
    </row>
    <row r="709">
      <c r="A709" s="30" t="s">
        <v>1966</v>
      </c>
      <c r="B709" s="30" t="s">
        <v>1968</v>
      </c>
      <c r="C709" s="30" t="s">
        <v>457</v>
      </c>
      <c r="D709" s="30" t="s">
        <v>54</v>
      </c>
      <c r="E709" s="30" t="s">
        <v>149</v>
      </c>
      <c r="F709" s="30" t="s">
        <v>149</v>
      </c>
    </row>
    <row r="710">
      <c r="A710" s="30" t="s">
        <v>1971</v>
      </c>
      <c r="B710" s="30" t="s">
        <v>1972</v>
      </c>
      <c r="C710" s="30" t="s">
        <v>457</v>
      </c>
      <c r="D710" s="30" t="s">
        <v>54</v>
      </c>
      <c r="E710" s="30" t="s">
        <v>149</v>
      </c>
      <c r="F710" s="30" t="s">
        <v>149</v>
      </c>
    </row>
    <row r="711">
      <c r="A711" s="30" t="s">
        <v>1974</v>
      </c>
      <c r="B711" s="30" t="s">
        <v>1975</v>
      </c>
      <c r="C711" s="30" t="s">
        <v>457</v>
      </c>
      <c r="D711" s="30" t="s">
        <v>54</v>
      </c>
      <c r="E711" s="30" t="s">
        <v>149</v>
      </c>
      <c r="F711" s="30" t="s">
        <v>149</v>
      </c>
    </row>
    <row r="712">
      <c r="A712" s="30" t="s">
        <v>1976</v>
      </c>
      <c r="B712" s="30" t="s">
        <v>1977</v>
      </c>
      <c r="C712" s="30" t="s">
        <v>457</v>
      </c>
      <c r="D712" s="30" t="s">
        <v>54</v>
      </c>
      <c r="E712" s="30" t="s">
        <v>149</v>
      </c>
      <c r="F712" s="30" t="s">
        <v>149</v>
      </c>
    </row>
    <row r="713">
      <c r="A713" s="30" t="s">
        <v>1978</v>
      </c>
      <c r="B713" s="30" t="s">
        <v>1979</v>
      </c>
      <c r="C713" s="30" t="s">
        <v>457</v>
      </c>
      <c r="D713" s="30" t="s">
        <v>54</v>
      </c>
      <c r="E713" s="30" t="s">
        <v>149</v>
      </c>
      <c r="F713" s="30" t="s">
        <v>149</v>
      </c>
    </row>
    <row r="714">
      <c r="A714" s="30" t="s">
        <v>1980</v>
      </c>
      <c r="B714" s="30" t="s">
        <v>1981</v>
      </c>
      <c r="C714" s="30" t="s">
        <v>457</v>
      </c>
      <c r="D714" s="30" t="s">
        <v>44</v>
      </c>
      <c r="E714" s="29"/>
      <c r="F714" s="29"/>
    </row>
    <row r="715">
      <c r="A715" s="30" t="s">
        <v>1982</v>
      </c>
      <c r="B715" s="30" t="s">
        <v>1983</v>
      </c>
      <c r="C715" s="30" t="s">
        <v>457</v>
      </c>
      <c r="D715" s="30" t="s">
        <v>54</v>
      </c>
      <c r="E715" s="30" t="s">
        <v>149</v>
      </c>
      <c r="F715" s="30" t="s">
        <v>149</v>
      </c>
    </row>
    <row r="716">
      <c r="A716" s="30" t="s">
        <v>1985</v>
      </c>
      <c r="B716" s="30" t="s">
        <v>1986</v>
      </c>
      <c r="C716" s="30" t="s">
        <v>457</v>
      </c>
      <c r="D716" s="30" t="s">
        <v>54</v>
      </c>
      <c r="E716" s="30" t="s">
        <v>149</v>
      </c>
      <c r="F716" s="30" t="s">
        <v>149</v>
      </c>
    </row>
    <row r="717">
      <c r="A717" s="30" t="s">
        <v>1987</v>
      </c>
      <c r="B717" s="30" t="s">
        <v>1988</v>
      </c>
      <c r="C717" s="30" t="s">
        <v>457</v>
      </c>
      <c r="D717" s="30" t="s">
        <v>44</v>
      </c>
      <c r="E717" s="29"/>
      <c r="F717" s="29"/>
    </row>
    <row r="718">
      <c r="A718" s="30" t="s">
        <v>1989</v>
      </c>
      <c r="B718" s="30" t="s">
        <v>1990</v>
      </c>
      <c r="C718" s="30" t="s">
        <v>457</v>
      </c>
      <c r="D718" s="30" t="s">
        <v>54</v>
      </c>
      <c r="E718" s="30" t="s">
        <v>149</v>
      </c>
      <c r="F718" s="30" t="s">
        <v>149</v>
      </c>
    </row>
    <row r="719">
      <c r="A719" s="30" t="s">
        <v>1991</v>
      </c>
      <c r="B719" s="30" t="s">
        <v>1992</v>
      </c>
      <c r="C719" s="30" t="s">
        <v>457</v>
      </c>
      <c r="D719" s="30" t="s">
        <v>54</v>
      </c>
      <c r="E719" s="30" t="s">
        <v>149</v>
      </c>
      <c r="F719" s="30" t="s">
        <v>149</v>
      </c>
    </row>
    <row r="720">
      <c r="A720" s="30" t="s">
        <v>1993</v>
      </c>
      <c r="B720" s="30" t="s">
        <v>1994</v>
      </c>
      <c r="C720" s="30" t="s">
        <v>457</v>
      </c>
      <c r="D720" s="30" t="s">
        <v>54</v>
      </c>
      <c r="E720" s="30" t="s">
        <v>149</v>
      </c>
      <c r="F720" s="30" t="s">
        <v>149</v>
      </c>
    </row>
    <row r="721">
      <c r="A721" s="30" t="s">
        <v>1995</v>
      </c>
      <c r="B721" s="30" t="s">
        <v>1996</v>
      </c>
      <c r="C721" s="30" t="s">
        <v>466</v>
      </c>
      <c r="D721" s="30" t="s">
        <v>54</v>
      </c>
      <c r="E721" s="30" t="s">
        <v>149</v>
      </c>
      <c r="F721" s="30" t="s">
        <v>149</v>
      </c>
    </row>
    <row r="722">
      <c r="A722" s="30" t="s">
        <v>1998</v>
      </c>
      <c r="B722" s="30" t="s">
        <v>1999</v>
      </c>
      <c r="C722" s="30" t="s">
        <v>457</v>
      </c>
      <c r="D722" s="30" t="s">
        <v>44</v>
      </c>
      <c r="E722" s="29"/>
      <c r="F722" s="29"/>
    </row>
    <row r="723">
      <c r="A723" s="30" t="s">
        <v>2000</v>
      </c>
      <c r="B723" s="30" t="s">
        <v>2001</v>
      </c>
      <c r="C723" s="30" t="s">
        <v>457</v>
      </c>
      <c r="D723" s="30" t="s">
        <v>44</v>
      </c>
      <c r="E723" s="29"/>
      <c r="F723" s="29"/>
    </row>
    <row r="724">
      <c r="A724" s="30" t="s">
        <v>2002</v>
      </c>
      <c r="B724" s="30" t="s">
        <v>2004</v>
      </c>
      <c r="C724" s="30" t="s">
        <v>457</v>
      </c>
      <c r="D724" s="30" t="s">
        <v>54</v>
      </c>
      <c r="E724" s="30" t="s">
        <v>149</v>
      </c>
      <c r="F724" s="30" t="s">
        <v>149</v>
      </c>
    </row>
    <row r="725">
      <c r="A725" s="30" t="s">
        <v>2006</v>
      </c>
      <c r="B725" s="30" t="s">
        <v>2008</v>
      </c>
      <c r="C725" s="30" t="s">
        <v>457</v>
      </c>
      <c r="D725" s="30" t="s">
        <v>44</v>
      </c>
      <c r="E725" s="29"/>
      <c r="F725" s="29"/>
    </row>
    <row r="726">
      <c r="A726" s="30" t="s">
        <v>2009</v>
      </c>
      <c r="B726" s="30" t="s">
        <v>2010</v>
      </c>
      <c r="C726" s="30" t="s">
        <v>457</v>
      </c>
      <c r="D726" s="30" t="s">
        <v>54</v>
      </c>
      <c r="E726" s="30" t="s">
        <v>149</v>
      </c>
      <c r="F726" s="30" t="s">
        <v>149</v>
      </c>
    </row>
    <row r="727">
      <c r="A727" s="30" t="s">
        <v>2012</v>
      </c>
      <c r="B727" s="30" t="s">
        <v>2013</v>
      </c>
      <c r="C727" s="30" t="s">
        <v>457</v>
      </c>
      <c r="D727" s="30" t="s">
        <v>54</v>
      </c>
      <c r="E727" s="30" t="s">
        <v>149</v>
      </c>
      <c r="F727" s="30" t="s">
        <v>149</v>
      </c>
    </row>
    <row r="728">
      <c r="A728" s="30" t="s">
        <v>2014</v>
      </c>
      <c r="B728" s="30" t="s">
        <v>2016</v>
      </c>
      <c r="C728" s="30" t="s">
        <v>457</v>
      </c>
      <c r="D728" s="30" t="s">
        <v>54</v>
      </c>
      <c r="E728" s="30" t="s">
        <v>149</v>
      </c>
      <c r="F728" s="30" t="s">
        <v>149</v>
      </c>
    </row>
    <row r="729">
      <c r="A729" s="30" t="s">
        <v>2021</v>
      </c>
      <c r="B729" s="30" t="s">
        <v>2022</v>
      </c>
      <c r="C729" s="30" t="s">
        <v>466</v>
      </c>
      <c r="D729" s="30" t="s">
        <v>54</v>
      </c>
      <c r="E729" s="30" t="s">
        <v>149</v>
      </c>
      <c r="F729" s="30" t="s">
        <v>149</v>
      </c>
    </row>
    <row r="730">
      <c r="A730" s="30" t="s">
        <v>2024</v>
      </c>
      <c r="B730" s="30" t="s">
        <v>2025</v>
      </c>
      <c r="C730" s="30" t="s">
        <v>466</v>
      </c>
      <c r="D730" s="30" t="s">
        <v>54</v>
      </c>
      <c r="E730" s="30" t="s">
        <v>149</v>
      </c>
      <c r="F730" s="30" t="s">
        <v>149</v>
      </c>
    </row>
    <row r="731">
      <c r="A731" s="30" t="s">
        <v>2026</v>
      </c>
      <c r="B731" s="30" t="s">
        <v>2027</v>
      </c>
      <c r="C731" s="30" t="s">
        <v>457</v>
      </c>
      <c r="D731" s="30" t="s">
        <v>54</v>
      </c>
      <c r="E731" s="30" t="s">
        <v>149</v>
      </c>
      <c r="F731" s="30" t="s">
        <v>149</v>
      </c>
    </row>
    <row r="732">
      <c r="A732" s="30" t="s">
        <v>2028</v>
      </c>
      <c r="B732" s="30" t="s">
        <v>2029</v>
      </c>
      <c r="C732" s="30" t="s">
        <v>457</v>
      </c>
      <c r="D732" s="30" t="s">
        <v>54</v>
      </c>
      <c r="E732" s="30" t="s">
        <v>149</v>
      </c>
      <c r="F732" s="30" t="s">
        <v>149</v>
      </c>
    </row>
    <row r="733">
      <c r="A733" s="30" t="s">
        <v>2031</v>
      </c>
      <c r="B733" s="30" t="s">
        <v>2032</v>
      </c>
      <c r="C733" s="30" t="s">
        <v>457</v>
      </c>
      <c r="D733" s="30" t="s">
        <v>54</v>
      </c>
      <c r="E733" s="30" t="s">
        <v>149</v>
      </c>
      <c r="F733" s="30" t="s">
        <v>149</v>
      </c>
    </row>
    <row r="734">
      <c r="A734" s="30" t="s">
        <v>2035</v>
      </c>
      <c r="B734" s="30" t="s">
        <v>2037</v>
      </c>
      <c r="C734" s="30" t="s">
        <v>457</v>
      </c>
      <c r="D734" s="30" t="s">
        <v>44</v>
      </c>
      <c r="E734" s="29"/>
      <c r="F734" s="29"/>
    </row>
    <row r="735">
      <c r="A735" s="30" t="s">
        <v>2039</v>
      </c>
      <c r="B735" s="30" t="s">
        <v>2040</v>
      </c>
      <c r="C735" s="30" t="s">
        <v>457</v>
      </c>
      <c r="D735" s="30" t="s">
        <v>44</v>
      </c>
      <c r="E735" s="29"/>
      <c r="F735" s="29"/>
    </row>
    <row r="736">
      <c r="A736" s="30" t="s">
        <v>2041</v>
      </c>
      <c r="B736" s="30" t="s">
        <v>2042</v>
      </c>
      <c r="C736" s="30" t="s">
        <v>466</v>
      </c>
      <c r="D736" s="30" t="s">
        <v>54</v>
      </c>
      <c r="E736" s="30" t="s">
        <v>149</v>
      </c>
      <c r="F736" s="30" t="s">
        <v>149</v>
      </c>
    </row>
    <row r="737">
      <c r="A737" s="30" t="s">
        <v>2044</v>
      </c>
      <c r="B737" s="30" t="s">
        <v>2045</v>
      </c>
      <c r="C737" s="30" t="s">
        <v>457</v>
      </c>
      <c r="D737" s="30" t="s">
        <v>54</v>
      </c>
      <c r="E737" s="30" t="s">
        <v>149</v>
      </c>
      <c r="F737" s="30" t="s">
        <v>149</v>
      </c>
    </row>
    <row r="738">
      <c r="A738" s="30" t="s">
        <v>2046</v>
      </c>
      <c r="B738" s="30" t="s">
        <v>2048</v>
      </c>
      <c r="C738" s="30" t="s">
        <v>457</v>
      </c>
      <c r="D738" s="30" t="s">
        <v>54</v>
      </c>
      <c r="E738" s="30" t="s">
        <v>149</v>
      </c>
      <c r="F738" s="30" t="s">
        <v>149</v>
      </c>
    </row>
    <row r="739">
      <c r="A739" s="30" t="s">
        <v>2049</v>
      </c>
      <c r="B739" s="30" t="s">
        <v>2050</v>
      </c>
      <c r="C739" s="30" t="s">
        <v>457</v>
      </c>
      <c r="D739" s="30" t="s">
        <v>54</v>
      </c>
      <c r="E739" s="30" t="s">
        <v>149</v>
      </c>
      <c r="F739" s="30" t="s">
        <v>149</v>
      </c>
    </row>
    <row r="740">
      <c r="A740" s="30" t="s">
        <v>2052</v>
      </c>
      <c r="B740" s="30" t="s">
        <v>2053</v>
      </c>
      <c r="C740" s="30" t="s">
        <v>457</v>
      </c>
      <c r="D740" s="30" t="s">
        <v>54</v>
      </c>
      <c r="E740" s="30" t="s">
        <v>149</v>
      </c>
      <c r="F740" s="30" t="s">
        <v>149</v>
      </c>
    </row>
    <row r="741">
      <c r="A741" s="30" t="s">
        <v>2055</v>
      </c>
      <c r="B741" s="30" t="s">
        <v>2056</v>
      </c>
      <c r="C741" s="30" t="s">
        <v>466</v>
      </c>
      <c r="D741" s="30" t="s">
        <v>44</v>
      </c>
      <c r="E741" s="29"/>
      <c r="F741" s="29"/>
    </row>
    <row r="742">
      <c r="A742" s="30" t="s">
        <v>2057</v>
      </c>
      <c r="B742" s="30" t="s">
        <v>2058</v>
      </c>
      <c r="C742" s="30" t="s">
        <v>466</v>
      </c>
      <c r="D742" s="30" t="s">
        <v>54</v>
      </c>
      <c r="E742" s="30" t="s">
        <v>149</v>
      </c>
      <c r="F742" s="30" t="s">
        <v>149</v>
      </c>
    </row>
    <row r="743">
      <c r="A743" s="30" t="s">
        <v>2059</v>
      </c>
      <c r="B743" s="30" t="s">
        <v>2060</v>
      </c>
      <c r="C743" s="30" t="s">
        <v>457</v>
      </c>
      <c r="D743" s="30" t="s">
        <v>54</v>
      </c>
      <c r="E743" s="30" t="s">
        <v>149</v>
      </c>
      <c r="F743" s="30" t="s">
        <v>149</v>
      </c>
    </row>
    <row r="744">
      <c r="A744" s="30" t="s">
        <v>2062</v>
      </c>
      <c r="B744" s="30" t="s">
        <v>2063</v>
      </c>
      <c r="C744" s="30" t="s">
        <v>457</v>
      </c>
      <c r="D744" s="30" t="s">
        <v>54</v>
      </c>
      <c r="E744" s="30" t="s">
        <v>149</v>
      </c>
      <c r="F744" s="30" t="s">
        <v>149</v>
      </c>
    </row>
    <row r="745">
      <c r="A745" s="30" t="s">
        <v>2064</v>
      </c>
      <c r="B745" s="30" t="s">
        <v>2065</v>
      </c>
      <c r="C745" s="30" t="s">
        <v>466</v>
      </c>
      <c r="D745" s="30" t="s">
        <v>54</v>
      </c>
      <c r="E745" s="30" t="s">
        <v>149</v>
      </c>
      <c r="F745" s="30" t="s">
        <v>149</v>
      </c>
    </row>
    <row r="746">
      <c r="A746" s="30" t="s">
        <v>2069</v>
      </c>
      <c r="B746" s="30" t="s">
        <v>2071</v>
      </c>
      <c r="C746" s="30" t="s">
        <v>466</v>
      </c>
      <c r="D746" s="30" t="s">
        <v>44</v>
      </c>
      <c r="E746" s="29"/>
      <c r="F746" s="29"/>
    </row>
    <row r="747">
      <c r="A747" s="30" t="s">
        <v>2073</v>
      </c>
      <c r="B747" s="30" t="s">
        <v>2074</v>
      </c>
      <c r="C747" s="30" t="s">
        <v>466</v>
      </c>
      <c r="D747" s="30" t="s">
        <v>54</v>
      </c>
      <c r="E747" s="30" t="s">
        <v>149</v>
      </c>
      <c r="F747" s="30" t="s">
        <v>149</v>
      </c>
    </row>
    <row r="748">
      <c r="A748" s="30" t="s">
        <v>2075</v>
      </c>
      <c r="B748" s="30" t="s">
        <v>2076</v>
      </c>
      <c r="C748" s="30" t="s">
        <v>457</v>
      </c>
      <c r="D748" s="30" t="s">
        <v>44</v>
      </c>
      <c r="E748" s="29"/>
      <c r="F748" s="29"/>
    </row>
    <row r="749">
      <c r="A749" s="30" t="s">
        <v>2077</v>
      </c>
      <c r="B749" s="30" t="s">
        <v>2078</v>
      </c>
      <c r="C749" s="30" t="s">
        <v>457</v>
      </c>
      <c r="D749" s="30" t="s">
        <v>54</v>
      </c>
      <c r="E749" s="30" t="s">
        <v>149</v>
      </c>
      <c r="F749" s="30" t="s">
        <v>149</v>
      </c>
    </row>
    <row r="750">
      <c r="A750" s="30" t="s">
        <v>2080</v>
      </c>
      <c r="B750" s="30" t="s">
        <v>2081</v>
      </c>
      <c r="C750" s="30" t="s">
        <v>457</v>
      </c>
      <c r="D750" s="30" t="s">
        <v>54</v>
      </c>
      <c r="E750" s="30" t="s">
        <v>149</v>
      </c>
      <c r="F750" s="30" t="s">
        <v>149</v>
      </c>
    </row>
    <row r="751">
      <c r="A751" s="30" t="s">
        <v>2082</v>
      </c>
      <c r="B751" s="30" t="s">
        <v>2083</v>
      </c>
      <c r="C751" s="30" t="s">
        <v>457</v>
      </c>
      <c r="D751" s="30" t="s">
        <v>44</v>
      </c>
      <c r="E751" s="29"/>
      <c r="F751" s="29"/>
    </row>
    <row r="752">
      <c r="A752" s="30" t="s">
        <v>2084</v>
      </c>
      <c r="B752" s="30" t="s">
        <v>2085</v>
      </c>
      <c r="C752" s="30" t="s">
        <v>457</v>
      </c>
      <c r="D752" s="30" t="s">
        <v>54</v>
      </c>
      <c r="E752" s="30" t="s">
        <v>149</v>
      </c>
      <c r="F752" s="30" t="s">
        <v>149</v>
      </c>
    </row>
    <row r="753">
      <c r="A753" s="30" t="s">
        <v>2087</v>
      </c>
      <c r="B753" s="30" t="s">
        <v>2088</v>
      </c>
      <c r="C753" s="30" t="s">
        <v>457</v>
      </c>
      <c r="D753" s="30" t="s">
        <v>54</v>
      </c>
      <c r="E753" s="30" t="s">
        <v>149</v>
      </c>
      <c r="F753" s="30" t="s">
        <v>149</v>
      </c>
    </row>
    <row r="754">
      <c r="A754" s="30" t="s">
        <v>2089</v>
      </c>
      <c r="B754" s="30" t="s">
        <v>2090</v>
      </c>
      <c r="C754" s="30" t="s">
        <v>457</v>
      </c>
      <c r="D754" s="30" t="s">
        <v>54</v>
      </c>
      <c r="E754" s="30" t="s">
        <v>149</v>
      </c>
      <c r="F754" s="30" t="s">
        <v>149</v>
      </c>
    </row>
    <row r="755">
      <c r="A755" s="30" t="s">
        <v>2091</v>
      </c>
      <c r="B755" s="30" t="s">
        <v>2092</v>
      </c>
      <c r="C755" s="30" t="s">
        <v>457</v>
      </c>
      <c r="D755" s="30" t="s">
        <v>54</v>
      </c>
      <c r="E755" s="30" t="s">
        <v>149</v>
      </c>
      <c r="F755" s="30" t="s">
        <v>149</v>
      </c>
    </row>
    <row r="756">
      <c r="A756" s="30" t="s">
        <v>2093</v>
      </c>
      <c r="B756" s="30" t="s">
        <v>2094</v>
      </c>
      <c r="C756" s="30" t="s">
        <v>457</v>
      </c>
      <c r="D756" s="30" t="s">
        <v>54</v>
      </c>
      <c r="E756" s="30" t="s">
        <v>149</v>
      </c>
      <c r="F756" s="30" t="s">
        <v>149</v>
      </c>
    </row>
    <row r="757">
      <c r="A757" s="30" t="s">
        <v>2095</v>
      </c>
      <c r="B757" s="30" t="s">
        <v>2096</v>
      </c>
      <c r="C757" s="30" t="s">
        <v>457</v>
      </c>
      <c r="D757" s="30" t="s">
        <v>54</v>
      </c>
      <c r="E757" s="30" t="s">
        <v>149</v>
      </c>
      <c r="F757" s="30" t="s">
        <v>149</v>
      </c>
    </row>
    <row r="758">
      <c r="A758" s="30" t="s">
        <v>2098</v>
      </c>
      <c r="B758" s="30" t="s">
        <v>2099</v>
      </c>
      <c r="C758" s="30" t="s">
        <v>457</v>
      </c>
      <c r="D758" s="30" t="s">
        <v>44</v>
      </c>
      <c r="E758" s="29"/>
      <c r="F758" s="29"/>
    </row>
    <row r="759">
      <c r="A759" s="30" t="s">
        <v>2100</v>
      </c>
      <c r="B759" s="30" t="s">
        <v>2101</v>
      </c>
      <c r="C759" s="30" t="s">
        <v>457</v>
      </c>
      <c r="D759" s="30" t="s">
        <v>54</v>
      </c>
      <c r="E759" s="30" t="s">
        <v>149</v>
      </c>
      <c r="F759" s="30" t="s">
        <v>149</v>
      </c>
    </row>
    <row r="760">
      <c r="A760" s="30" t="s">
        <v>2102</v>
      </c>
      <c r="B760" s="30" t="s">
        <v>2103</v>
      </c>
      <c r="C760" s="30" t="s">
        <v>457</v>
      </c>
      <c r="D760" s="30" t="s">
        <v>44</v>
      </c>
      <c r="E760" s="29"/>
      <c r="F760" s="29"/>
    </row>
    <row r="761">
      <c r="A761" s="30" t="s">
        <v>2105</v>
      </c>
      <c r="B761" s="30" t="s">
        <v>2106</v>
      </c>
      <c r="C761" s="30" t="s">
        <v>457</v>
      </c>
      <c r="D761" s="30" t="s">
        <v>54</v>
      </c>
      <c r="E761" s="30" t="s">
        <v>149</v>
      </c>
      <c r="F761" s="30" t="s">
        <v>149</v>
      </c>
    </row>
    <row r="762">
      <c r="A762" s="30" t="s">
        <v>2107</v>
      </c>
      <c r="B762" s="30" t="s">
        <v>2108</v>
      </c>
      <c r="C762" s="30" t="s">
        <v>457</v>
      </c>
      <c r="D762" s="30" t="s">
        <v>54</v>
      </c>
      <c r="E762" s="30" t="s">
        <v>149</v>
      </c>
      <c r="F762" s="30" t="s">
        <v>149</v>
      </c>
    </row>
    <row r="763">
      <c r="A763" s="30" t="s">
        <v>2111</v>
      </c>
      <c r="B763" s="30" t="s">
        <v>2106</v>
      </c>
      <c r="C763" s="30" t="s">
        <v>457</v>
      </c>
      <c r="D763" s="30" t="s">
        <v>54</v>
      </c>
      <c r="E763" s="30" t="s">
        <v>149</v>
      </c>
      <c r="F763" s="30" t="s">
        <v>149</v>
      </c>
    </row>
    <row r="764">
      <c r="A764" s="30" t="s">
        <v>2112</v>
      </c>
      <c r="B764" s="30" t="s">
        <v>2106</v>
      </c>
      <c r="C764" s="30" t="s">
        <v>457</v>
      </c>
      <c r="D764" s="30" t="s">
        <v>54</v>
      </c>
      <c r="E764" s="30" t="s">
        <v>149</v>
      </c>
      <c r="F764" s="30" t="s">
        <v>149</v>
      </c>
    </row>
  </sheetData>
  <autoFilter ref="$A$1:$F$764"/>
  <hyperlinks>
    <hyperlink r:id="rId1" ref="B165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88"/>
    <col customWidth="1" min="2" max="2" width="118.75"/>
    <col customWidth="1" min="3" max="3" width="33.5"/>
    <col customWidth="1" min="4" max="4" width="14.25"/>
    <col customWidth="1" min="5" max="5" width="43.13"/>
    <col customWidth="1" min="6" max="6" width="20.88"/>
    <col customWidth="1" min="7" max="7" width="41.75"/>
    <col customWidth="1" min="8" max="8" width="39.63"/>
    <col customWidth="1" min="9" max="9" width="74.63"/>
    <col customWidth="1" min="10" max="10" width="14.0"/>
    <col customWidth="1" min="11" max="11" width="19.0"/>
    <col customWidth="1" min="12" max="12" width="20.88"/>
  </cols>
  <sheetData>
    <row r="1">
      <c r="A1" s="9" t="s">
        <v>12</v>
      </c>
      <c r="B1" s="9" t="s">
        <v>14</v>
      </c>
      <c r="C1" s="9" t="s">
        <v>4</v>
      </c>
      <c r="D1" s="9" t="s">
        <v>7</v>
      </c>
      <c r="E1" s="9" t="s">
        <v>8</v>
      </c>
      <c r="F1" s="9" t="s">
        <v>15</v>
      </c>
      <c r="G1" s="9" t="s">
        <v>10</v>
      </c>
      <c r="H1" s="9" t="s">
        <v>16</v>
      </c>
      <c r="I1" s="9" t="s">
        <v>18</v>
      </c>
      <c r="J1" s="9" t="s">
        <v>6</v>
      </c>
      <c r="K1" s="10" t="s">
        <v>20</v>
      </c>
      <c r="L1" s="9" t="s">
        <v>2137</v>
      </c>
    </row>
    <row r="2">
      <c r="A2" s="9" t="s">
        <v>21</v>
      </c>
      <c r="B2" s="9" t="s">
        <v>22</v>
      </c>
      <c r="C2" s="9" t="s">
        <v>24</v>
      </c>
      <c r="D2" s="12">
        <v>37176.0</v>
      </c>
      <c r="E2" s="9" t="s">
        <v>25</v>
      </c>
      <c r="F2" s="9" t="s">
        <v>26</v>
      </c>
      <c r="G2" s="9" t="s">
        <v>28</v>
      </c>
      <c r="H2" s="9" t="s">
        <v>29</v>
      </c>
      <c r="I2" s="9" t="s">
        <v>30</v>
      </c>
      <c r="J2" s="9" t="s">
        <v>39</v>
      </c>
      <c r="K2" s="10" t="s">
        <v>44</v>
      </c>
      <c r="L2" s="43"/>
    </row>
    <row r="3">
      <c r="A3" s="9" t="s">
        <v>21</v>
      </c>
      <c r="B3" s="9" t="s">
        <v>22</v>
      </c>
      <c r="C3" s="9" t="s">
        <v>46</v>
      </c>
      <c r="D3" s="12">
        <v>36538.0</v>
      </c>
      <c r="E3" s="9" t="s">
        <v>47</v>
      </c>
      <c r="F3" s="9" t="s">
        <v>49</v>
      </c>
      <c r="G3" s="9" t="s">
        <v>28</v>
      </c>
      <c r="H3" s="9" t="s">
        <v>51</v>
      </c>
      <c r="I3" s="9" t="s">
        <v>52</v>
      </c>
      <c r="J3" s="9" t="s">
        <v>62</v>
      </c>
      <c r="K3" s="10" t="s">
        <v>44</v>
      </c>
      <c r="L3" s="43"/>
    </row>
    <row r="4">
      <c r="A4" s="9" t="s">
        <v>21</v>
      </c>
      <c r="B4" s="9" t="s">
        <v>22</v>
      </c>
      <c r="C4" s="9" t="s">
        <v>67</v>
      </c>
      <c r="D4" s="12">
        <v>35061.0</v>
      </c>
      <c r="E4" s="9" t="s">
        <v>69</v>
      </c>
      <c r="F4" s="9" t="s">
        <v>70</v>
      </c>
      <c r="G4" s="9" t="s">
        <v>28</v>
      </c>
      <c r="H4" s="9" t="s">
        <v>51</v>
      </c>
      <c r="I4" s="9" t="s">
        <v>71</v>
      </c>
      <c r="J4" s="9" t="s">
        <v>77</v>
      </c>
      <c r="K4" s="10" t="s">
        <v>44</v>
      </c>
      <c r="L4" s="43"/>
    </row>
    <row r="5">
      <c r="A5" s="9" t="s">
        <v>21</v>
      </c>
      <c r="B5" s="9" t="s">
        <v>22</v>
      </c>
      <c r="C5" s="9" t="s">
        <v>78</v>
      </c>
      <c r="D5" s="12">
        <v>35061.0</v>
      </c>
      <c r="E5" s="9" t="s">
        <v>69</v>
      </c>
      <c r="F5" s="9" t="s">
        <v>79</v>
      </c>
      <c r="G5" s="9" t="s">
        <v>28</v>
      </c>
      <c r="H5" s="9" t="s">
        <v>51</v>
      </c>
      <c r="I5" s="9" t="s">
        <v>80</v>
      </c>
      <c r="J5" s="9" t="s">
        <v>81</v>
      </c>
      <c r="K5" s="10" t="s">
        <v>44</v>
      </c>
      <c r="L5" s="43"/>
    </row>
    <row r="6">
      <c r="A6" s="9" t="s">
        <v>21</v>
      </c>
      <c r="B6" s="9" t="s">
        <v>22</v>
      </c>
      <c r="C6" s="9" t="s">
        <v>83</v>
      </c>
      <c r="D6" s="12">
        <v>36870.0</v>
      </c>
      <c r="E6" s="9" t="s">
        <v>69</v>
      </c>
      <c r="F6" s="9" t="s">
        <v>84</v>
      </c>
      <c r="G6" s="9" t="s">
        <v>28</v>
      </c>
      <c r="H6" s="9" t="s">
        <v>51</v>
      </c>
      <c r="I6" s="9" t="s">
        <v>85</v>
      </c>
      <c r="J6" s="9" t="s">
        <v>89</v>
      </c>
      <c r="K6" s="10" t="s">
        <v>44</v>
      </c>
      <c r="L6" s="43"/>
    </row>
    <row r="7">
      <c r="A7" s="9" t="s">
        <v>21</v>
      </c>
      <c r="B7" s="9" t="s">
        <v>92</v>
      </c>
      <c r="C7" s="9" t="s">
        <v>93</v>
      </c>
      <c r="D7" s="12">
        <v>32365.0</v>
      </c>
      <c r="E7" s="9" t="s">
        <v>94</v>
      </c>
      <c r="F7" s="9" t="s">
        <v>95</v>
      </c>
      <c r="G7" s="9" t="s">
        <v>96</v>
      </c>
      <c r="H7" s="9" t="s">
        <v>97</v>
      </c>
      <c r="I7" s="9" t="s">
        <v>98</v>
      </c>
      <c r="J7" s="9" t="s">
        <v>99</v>
      </c>
      <c r="K7" s="10" t="s">
        <v>54</v>
      </c>
    </row>
    <row r="8">
      <c r="A8" s="9" t="s">
        <v>21</v>
      </c>
      <c r="B8" s="9" t="s">
        <v>104</v>
      </c>
      <c r="C8" s="9" t="s">
        <v>105</v>
      </c>
      <c r="D8" s="12">
        <v>36969.0</v>
      </c>
      <c r="E8" s="9" t="s">
        <v>107</v>
      </c>
      <c r="F8" s="9" t="s">
        <v>108</v>
      </c>
      <c r="G8" s="9" t="s">
        <v>110</v>
      </c>
      <c r="H8" s="9" t="s">
        <v>111</v>
      </c>
      <c r="I8" s="9" t="s">
        <v>112</v>
      </c>
      <c r="J8" s="9" t="s">
        <v>118</v>
      </c>
      <c r="K8" s="10" t="s">
        <v>44</v>
      </c>
      <c r="L8" s="43"/>
    </row>
    <row r="9">
      <c r="A9" s="9" t="s">
        <v>21</v>
      </c>
      <c r="B9" s="9" t="s">
        <v>104</v>
      </c>
      <c r="C9" s="9" t="s">
        <v>120</v>
      </c>
      <c r="D9" s="12">
        <v>37084.0</v>
      </c>
      <c r="E9" s="9" t="s">
        <v>121</v>
      </c>
      <c r="F9" s="9" t="s">
        <v>122</v>
      </c>
      <c r="G9" s="9" t="s">
        <v>110</v>
      </c>
      <c r="H9" s="9" t="s">
        <v>51</v>
      </c>
      <c r="I9" s="9" t="s">
        <v>123</v>
      </c>
      <c r="J9" s="9" t="s">
        <v>125</v>
      </c>
      <c r="K9" s="10" t="s">
        <v>44</v>
      </c>
      <c r="L9" s="43"/>
    </row>
    <row r="10">
      <c r="A10" s="9" t="s">
        <v>21</v>
      </c>
      <c r="B10" s="9" t="s">
        <v>119</v>
      </c>
      <c r="C10" s="9" t="s">
        <v>126</v>
      </c>
      <c r="D10" s="12">
        <v>36431.0</v>
      </c>
      <c r="E10" s="9" t="s">
        <v>106</v>
      </c>
      <c r="F10" s="9" t="s">
        <v>127</v>
      </c>
      <c r="G10" s="9" t="s">
        <v>128</v>
      </c>
      <c r="H10" s="9" t="s">
        <v>51</v>
      </c>
      <c r="I10" s="9" t="s">
        <v>129</v>
      </c>
      <c r="J10" s="9" t="s">
        <v>135</v>
      </c>
      <c r="K10" s="10" t="s">
        <v>44</v>
      </c>
      <c r="L10" s="43"/>
    </row>
    <row r="11">
      <c r="A11" s="9" t="s">
        <v>21</v>
      </c>
      <c r="B11" s="9" t="s">
        <v>119</v>
      </c>
      <c r="C11" s="9" t="s">
        <v>139</v>
      </c>
      <c r="D11" s="12">
        <v>37049.0</v>
      </c>
      <c r="E11" s="9" t="s">
        <v>140</v>
      </c>
      <c r="F11" s="9">
        <v>3.88</v>
      </c>
      <c r="G11" s="9" t="s">
        <v>128</v>
      </c>
      <c r="H11" s="9" t="s">
        <v>141</v>
      </c>
      <c r="I11" s="9" t="s">
        <v>143</v>
      </c>
      <c r="J11" s="9" t="s">
        <v>146</v>
      </c>
      <c r="K11" s="10" t="s">
        <v>44</v>
      </c>
      <c r="L11" s="43"/>
    </row>
    <row r="12">
      <c r="A12" s="9" t="s">
        <v>21</v>
      </c>
      <c r="B12" s="9" t="s">
        <v>119</v>
      </c>
      <c r="C12" s="9" t="s">
        <v>150</v>
      </c>
      <c r="D12" s="12">
        <v>33736.0</v>
      </c>
      <c r="E12" s="9" t="s">
        <v>152</v>
      </c>
      <c r="F12" s="9" t="s">
        <v>154</v>
      </c>
      <c r="G12" s="9" t="s">
        <v>155</v>
      </c>
      <c r="H12" s="9" t="s">
        <v>157</v>
      </c>
      <c r="I12" s="9" t="s">
        <v>158</v>
      </c>
      <c r="J12" s="9" t="s">
        <v>167</v>
      </c>
      <c r="K12" s="10" t="s">
        <v>54</v>
      </c>
      <c r="L12" s="43"/>
    </row>
    <row r="13">
      <c r="A13" s="9" t="s">
        <v>21</v>
      </c>
      <c r="B13" s="9" t="s">
        <v>119</v>
      </c>
      <c r="C13" s="9" t="s">
        <v>175</v>
      </c>
      <c r="D13" s="12">
        <v>37370.0</v>
      </c>
      <c r="E13" s="9" t="s">
        <v>177</v>
      </c>
      <c r="F13" s="9" t="s">
        <v>178</v>
      </c>
      <c r="G13" s="9" t="s">
        <v>179</v>
      </c>
      <c r="H13" s="9" t="s">
        <v>29</v>
      </c>
      <c r="I13" s="9" t="s">
        <v>182</v>
      </c>
      <c r="J13" s="9" t="s">
        <v>193</v>
      </c>
      <c r="K13" s="10" t="s">
        <v>44</v>
      </c>
      <c r="L13" s="43"/>
    </row>
    <row r="14">
      <c r="A14" s="9" t="s">
        <v>21</v>
      </c>
      <c r="B14" s="9" t="s">
        <v>119</v>
      </c>
      <c r="C14" s="9" t="s">
        <v>198</v>
      </c>
      <c r="D14" s="12">
        <v>37031.0</v>
      </c>
      <c r="E14" s="9" t="s">
        <v>106</v>
      </c>
      <c r="F14" s="9" t="s">
        <v>199</v>
      </c>
      <c r="G14" s="9" t="s">
        <v>200</v>
      </c>
      <c r="H14" s="9" t="s">
        <v>51</v>
      </c>
      <c r="I14" s="9" t="s">
        <v>202</v>
      </c>
      <c r="J14" s="9" t="s">
        <v>217</v>
      </c>
      <c r="K14" s="10" t="s">
        <v>54</v>
      </c>
      <c r="L14" s="43"/>
    </row>
    <row r="15">
      <c r="A15" s="9" t="s">
        <v>21</v>
      </c>
      <c r="B15" s="9" t="s">
        <v>223</v>
      </c>
      <c r="C15" s="9" t="s">
        <v>225</v>
      </c>
      <c r="D15" s="12">
        <v>36830.0</v>
      </c>
      <c r="E15" s="9" t="s">
        <v>226</v>
      </c>
      <c r="F15" s="9" t="s">
        <v>229</v>
      </c>
      <c r="G15" s="9" t="s">
        <v>230</v>
      </c>
      <c r="H15" s="9" t="s">
        <v>232</v>
      </c>
      <c r="I15" s="9" t="s">
        <v>233</v>
      </c>
      <c r="J15" s="9" t="s">
        <v>250</v>
      </c>
      <c r="K15" s="10" t="s">
        <v>54</v>
      </c>
      <c r="L15" s="43"/>
    </row>
    <row r="16">
      <c r="A16" s="9" t="s">
        <v>21</v>
      </c>
      <c r="B16" s="9" t="s">
        <v>223</v>
      </c>
      <c r="C16" s="9" t="s">
        <v>257</v>
      </c>
      <c r="D16" s="12">
        <v>36900.0</v>
      </c>
      <c r="E16" s="9" t="s">
        <v>260</v>
      </c>
      <c r="F16" s="9" t="s">
        <v>261</v>
      </c>
      <c r="G16" s="9" t="s">
        <v>263</v>
      </c>
      <c r="H16" s="9" t="s">
        <v>149</v>
      </c>
      <c r="I16" s="9" t="s">
        <v>265</v>
      </c>
      <c r="J16" s="9" t="s">
        <v>274</v>
      </c>
      <c r="K16" s="10" t="s">
        <v>44</v>
      </c>
      <c r="L16" s="43"/>
    </row>
    <row r="17">
      <c r="A17" s="9" t="s">
        <v>21</v>
      </c>
      <c r="B17" s="9" t="s">
        <v>280</v>
      </c>
      <c r="C17" s="9" t="s">
        <v>281</v>
      </c>
      <c r="D17" s="12">
        <v>36734.0</v>
      </c>
      <c r="E17" s="9" t="s">
        <v>283</v>
      </c>
      <c r="F17" s="9" t="s">
        <v>285</v>
      </c>
      <c r="G17" s="9" t="s">
        <v>283</v>
      </c>
      <c r="H17" s="9" t="s">
        <v>51</v>
      </c>
      <c r="I17" s="9" t="s">
        <v>286</v>
      </c>
      <c r="J17" s="9" t="s">
        <v>298</v>
      </c>
      <c r="K17" s="10" t="s">
        <v>54</v>
      </c>
      <c r="L17" s="43"/>
    </row>
    <row r="18">
      <c r="A18" s="9" t="s">
        <v>21</v>
      </c>
      <c r="B18" s="9" t="s">
        <v>280</v>
      </c>
      <c r="C18" s="9" t="s">
        <v>309</v>
      </c>
      <c r="D18" s="12">
        <v>37043.0</v>
      </c>
      <c r="E18" s="9" t="s">
        <v>310</v>
      </c>
      <c r="F18" s="9" t="s">
        <v>311</v>
      </c>
      <c r="G18" s="9" t="s">
        <v>283</v>
      </c>
      <c r="H18" s="9" t="s">
        <v>51</v>
      </c>
      <c r="I18" s="9" t="s">
        <v>314</v>
      </c>
      <c r="J18" s="9" t="s">
        <v>327</v>
      </c>
      <c r="K18" s="10" t="s">
        <v>44</v>
      </c>
      <c r="L18" s="43"/>
    </row>
    <row r="19">
      <c r="A19" s="9" t="s">
        <v>21</v>
      </c>
      <c r="B19" s="9" t="s">
        <v>280</v>
      </c>
      <c r="C19" s="9" t="s">
        <v>334</v>
      </c>
      <c r="D19" s="12">
        <v>36747.0</v>
      </c>
      <c r="E19" s="9" t="s">
        <v>335</v>
      </c>
      <c r="F19" s="9">
        <v>3.77</v>
      </c>
      <c r="G19" s="9" t="s">
        <v>283</v>
      </c>
      <c r="H19" s="9">
        <v>4.0</v>
      </c>
      <c r="I19" s="9" t="s">
        <v>341</v>
      </c>
      <c r="J19" s="9" t="s">
        <v>353</v>
      </c>
      <c r="K19" s="10" t="s">
        <v>44</v>
      </c>
      <c r="L19" s="43"/>
    </row>
    <row r="20">
      <c r="A20" s="9" t="s">
        <v>21</v>
      </c>
      <c r="B20" s="9" t="s">
        <v>280</v>
      </c>
      <c r="C20" s="9" t="s">
        <v>359</v>
      </c>
      <c r="D20" s="12">
        <v>34981.0</v>
      </c>
      <c r="E20" s="9" t="s">
        <v>310</v>
      </c>
      <c r="F20" s="9" t="s">
        <v>361</v>
      </c>
      <c r="G20" s="9" t="s">
        <v>283</v>
      </c>
      <c r="H20" s="9" t="s">
        <v>51</v>
      </c>
      <c r="I20" s="9" t="s">
        <v>363</v>
      </c>
      <c r="J20" s="9" t="s">
        <v>374</v>
      </c>
      <c r="K20" s="10" t="s">
        <v>44</v>
      </c>
      <c r="L20" s="43"/>
    </row>
    <row r="21">
      <c r="A21" s="9" t="s">
        <v>21</v>
      </c>
      <c r="B21" s="9" t="s">
        <v>280</v>
      </c>
      <c r="C21" s="9" t="s">
        <v>379</v>
      </c>
      <c r="D21" s="12">
        <v>34581.0</v>
      </c>
      <c r="E21" s="9" t="s">
        <v>310</v>
      </c>
      <c r="F21" s="9">
        <v>3.57</v>
      </c>
      <c r="G21" s="9" t="s">
        <v>283</v>
      </c>
      <c r="H21" s="9" t="s">
        <v>29</v>
      </c>
      <c r="I21" s="9" t="s">
        <v>384</v>
      </c>
      <c r="J21" s="9" t="s">
        <v>388</v>
      </c>
      <c r="K21" s="10" t="s">
        <v>44</v>
      </c>
      <c r="L21" s="43"/>
    </row>
    <row r="22">
      <c r="A22" s="9" t="s">
        <v>21</v>
      </c>
      <c r="B22" s="9" t="s">
        <v>280</v>
      </c>
      <c r="C22" s="9" t="s">
        <v>391</v>
      </c>
      <c r="D22" s="12">
        <v>37214.0</v>
      </c>
      <c r="E22" s="9" t="s">
        <v>392</v>
      </c>
      <c r="F22" s="9" t="s">
        <v>393</v>
      </c>
      <c r="G22" s="9" t="s">
        <v>283</v>
      </c>
      <c r="H22" s="9" t="s">
        <v>51</v>
      </c>
      <c r="I22" s="9" t="s">
        <v>395</v>
      </c>
      <c r="J22" s="9" t="s">
        <v>404</v>
      </c>
      <c r="K22" s="10" t="s">
        <v>44</v>
      </c>
      <c r="L22" s="43"/>
    </row>
    <row r="23">
      <c r="A23" s="9" t="s">
        <v>21</v>
      </c>
      <c r="B23" s="9" t="s">
        <v>74</v>
      </c>
      <c r="C23" s="9" t="s">
        <v>410</v>
      </c>
      <c r="D23" s="12">
        <v>37939.0</v>
      </c>
      <c r="E23" s="9" t="s">
        <v>412</v>
      </c>
      <c r="F23" s="9" t="s">
        <v>414</v>
      </c>
      <c r="G23" s="9" t="s">
        <v>64</v>
      </c>
      <c r="H23" s="9" t="s">
        <v>51</v>
      </c>
      <c r="I23" s="9" t="s">
        <v>415</v>
      </c>
      <c r="J23" s="9" t="s">
        <v>425</v>
      </c>
      <c r="K23" s="10" t="s">
        <v>44</v>
      </c>
      <c r="L23" s="43"/>
    </row>
    <row r="24">
      <c r="A24" s="9" t="s">
        <v>21</v>
      </c>
      <c r="B24" s="9" t="s">
        <v>74</v>
      </c>
      <c r="C24" s="9" t="s">
        <v>431</v>
      </c>
      <c r="D24" s="12">
        <v>34744.0</v>
      </c>
      <c r="E24" s="9" t="s">
        <v>433</v>
      </c>
      <c r="F24" s="9" t="s">
        <v>434</v>
      </c>
      <c r="G24" s="9" t="s">
        <v>64</v>
      </c>
      <c r="H24" s="9" t="s">
        <v>51</v>
      </c>
      <c r="I24" s="9" t="s">
        <v>435</v>
      </c>
      <c r="J24" s="9" t="s">
        <v>441</v>
      </c>
      <c r="K24" s="10" t="s">
        <v>44</v>
      </c>
      <c r="L24" s="43"/>
    </row>
    <row r="25">
      <c r="A25" s="9" t="s">
        <v>21</v>
      </c>
      <c r="B25" s="9" t="s">
        <v>74</v>
      </c>
      <c r="C25" s="9" t="s">
        <v>449</v>
      </c>
      <c r="D25" s="12">
        <v>36700.0</v>
      </c>
      <c r="E25" s="9" t="s">
        <v>450</v>
      </c>
      <c r="F25" s="9" t="s">
        <v>122</v>
      </c>
      <c r="G25" s="9" t="s">
        <v>64</v>
      </c>
      <c r="H25" s="9" t="s">
        <v>453</v>
      </c>
      <c r="I25" s="9" t="s">
        <v>456</v>
      </c>
      <c r="J25" s="9" t="s">
        <v>471</v>
      </c>
      <c r="K25" s="10" t="s">
        <v>54</v>
      </c>
      <c r="L25" s="43"/>
    </row>
    <row r="26">
      <c r="A26" s="9" t="s">
        <v>21</v>
      </c>
      <c r="B26" s="9" t="s">
        <v>74</v>
      </c>
      <c r="C26" s="9" t="s">
        <v>483</v>
      </c>
      <c r="D26" s="12">
        <v>36607.0</v>
      </c>
      <c r="E26" s="9" t="s">
        <v>486</v>
      </c>
      <c r="F26" s="9" t="s">
        <v>487</v>
      </c>
      <c r="G26" s="9" t="s">
        <v>64</v>
      </c>
      <c r="H26" s="9" t="s">
        <v>51</v>
      </c>
      <c r="I26" s="9" t="s">
        <v>490</v>
      </c>
      <c r="J26" s="9" t="s">
        <v>506</v>
      </c>
      <c r="K26" s="10" t="s">
        <v>44</v>
      </c>
      <c r="L26" s="43"/>
    </row>
    <row r="27">
      <c r="A27" s="9" t="s">
        <v>75</v>
      </c>
      <c r="B27" s="9" t="s">
        <v>22</v>
      </c>
      <c r="C27" s="9" t="s">
        <v>517</v>
      </c>
      <c r="D27" s="12">
        <v>36893.0</v>
      </c>
      <c r="E27" s="9" t="s">
        <v>47</v>
      </c>
      <c r="F27" s="9">
        <v>3.71</v>
      </c>
      <c r="G27" s="9" t="s">
        <v>28</v>
      </c>
      <c r="H27" s="9">
        <v>4.0</v>
      </c>
      <c r="I27" s="9" t="s">
        <v>522</v>
      </c>
      <c r="J27" s="9" t="s">
        <v>540</v>
      </c>
      <c r="K27" s="10" t="s">
        <v>44</v>
      </c>
      <c r="L27" s="43"/>
    </row>
    <row r="28">
      <c r="A28" s="9" t="s">
        <v>75</v>
      </c>
      <c r="B28" s="9" t="s">
        <v>22</v>
      </c>
      <c r="C28" s="9" t="s">
        <v>549</v>
      </c>
      <c r="D28" s="12">
        <v>36685.0</v>
      </c>
      <c r="E28" s="9" t="s">
        <v>47</v>
      </c>
      <c r="F28" s="9" t="s">
        <v>311</v>
      </c>
      <c r="G28" s="9" t="s">
        <v>28</v>
      </c>
      <c r="H28" s="9" t="s">
        <v>552</v>
      </c>
      <c r="I28" s="9" t="s">
        <v>555</v>
      </c>
      <c r="J28" s="9" t="s">
        <v>570</v>
      </c>
      <c r="K28" s="10" t="s">
        <v>44</v>
      </c>
      <c r="L28" s="43"/>
    </row>
    <row r="29">
      <c r="A29" s="9" t="s">
        <v>75</v>
      </c>
      <c r="B29" s="9" t="s">
        <v>22</v>
      </c>
      <c r="C29" s="9" t="s">
        <v>577</v>
      </c>
      <c r="D29" s="12">
        <v>36124.0</v>
      </c>
      <c r="E29" s="9" t="s">
        <v>47</v>
      </c>
      <c r="F29" s="9" t="s">
        <v>552</v>
      </c>
      <c r="G29" s="9" t="s">
        <v>28</v>
      </c>
      <c r="H29" s="9" t="s">
        <v>581</v>
      </c>
      <c r="I29" s="9" t="s">
        <v>582</v>
      </c>
      <c r="J29" s="9" t="s">
        <v>594</v>
      </c>
      <c r="K29" s="10" t="s">
        <v>44</v>
      </c>
      <c r="L29" s="43"/>
    </row>
    <row r="30">
      <c r="A30" s="9" t="s">
        <v>75</v>
      </c>
      <c r="B30" s="9" t="s">
        <v>22</v>
      </c>
      <c r="C30" s="9" t="s">
        <v>205</v>
      </c>
      <c r="D30" s="12">
        <v>37414.0</v>
      </c>
      <c r="E30" s="9" t="s">
        <v>47</v>
      </c>
      <c r="F30" s="9" t="s">
        <v>249</v>
      </c>
      <c r="G30" s="9" t="s">
        <v>28</v>
      </c>
      <c r="H30" s="9" t="s">
        <v>254</v>
      </c>
      <c r="I30" s="9" t="s">
        <v>302</v>
      </c>
      <c r="J30" s="9" t="s">
        <v>214</v>
      </c>
      <c r="K30" s="10" t="s">
        <v>44</v>
      </c>
      <c r="L30" s="43"/>
    </row>
    <row r="31">
      <c r="A31" s="9" t="s">
        <v>75</v>
      </c>
      <c r="B31" s="9" t="s">
        <v>22</v>
      </c>
      <c r="C31" s="9" t="s">
        <v>601</v>
      </c>
      <c r="D31" s="12">
        <v>37225.0</v>
      </c>
      <c r="E31" s="9" t="s">
        <v>604</v>
      </c>
      <c r="F31" s="9">
        <v>3.67</v>
      </c>
      <c r="G31" s="9" t="s">
        <v>28</v>
      </c>
      <c r="H31" s="9">
        <v>3.73</v>
      </c>
      <c r="I31" s="9" t="s">
        <v>607</v>
      </c>
      <c r="J31" s="9" t="s">
        <v>618</v>
      </c>
      <c r="K31" s="10" t="s">
        <v>44</v>
      </c>
      <c r="L31" s="43"/>
    </row>
    <row r="32">
      <c r="A32" s="9" t="s">
        <v>75</v>
      </c>
      <c r="B32" s="9" t="s">
        <v>92</v>
      </c>
      <c r="C32" s="9" t="s">
        <v>623</v>
      </c>
      <c r="D32" s="12">
        <v>35739.0</v>
      </c>
      <c r="E32" s="9" t="s">
        <v>627</v>
      </c>
      <c r="F32" s="9" t="s">
        <v>628</v>
      </c>
      <c r="G32" s="9" t="s">
        <v>96</v>
      </c>
      <c r="H32" s="9" t="s">
        <v>149</v>
      </c>
      <c r="I32" s="9" t="s">
        <v>631</v>
      </c>
      <c r="J32" s="9" t="s">
        <v>642</v>
      </c>
      <c r="K32" s="10" t="s">
        <v>44</v>
      </c>
      <c r="L32" s="10" t="s">
        <v>103</v>
      </c>
      <c r="M32" s="10" t="s">
        <v>103</v>
      </c>
    </row>
    <row r="33">
      <c r="A33" s="9" t="s">
        <v>75</v>
      </c>
      <c r="B33" s="9" t="s">
        <v>104</v>
      </c>
      <c r="C33" s="9" t="s">
        <v>649</v>
      </c>
      <c r="D33" s="12">
        <v>36756.0</v>
      </c>
      <c r="E33" s="9" t="s">
        <v>650</v>
      </c>
      <c r="F33" s="9">
        <v>3.65</v>
      </c>
      <c r="G33" s="9" t="s">
        <v>110</v>
      </c>
      <c r="H33" s="9">
        <v>3.68</v>
      </c>
      <c r="I33" s="9" t="s">
        <v>653</v>
      </c>
      <c r="J33" s="9" t="s">
        <v>664</v>
      </c>
      <c r="K33" s="10" t="s">
        <v>44</v>
      </c>
      <c r="L33" s="43"/>
    </row>
    <row r="34">
      <c r="A34" s="9" t="s">
        <v>75</v>
      </c>
      <c r="B34" s="9" t="s">
        <v>104</v>
      </c>
      <c r="C34" s="9" t="s">
        <v>669</v>
      </c>
      <c r="D34" s="12">
        <v>36614.0</v>
      </c>
      <c r="E34" s="9" t="s">
        <v>671</v>
      </c>
      <c r="F34" s="9">
        <v>3.6</v>
      </c>
      <c r="G34" s="9" t="s">
        <v>110</v>
      </c>
      <c r="H34" s="9">
        <v>3.93</v>
      </c>
      <c r="I34" s="9" t="s">
        <v>674</v>
      </c>
      <c r="J34" s="9" t="s">
        <v>686</v>
      </c>
      <c r="K34" s="10" t="s">
        <v>44</v>
      </c>
      <c r="L34" s="43"/>
    </row>
    <row r="35">
      <c r="A35" s="9" t="s">
        <v>75</v>
      </c>
      <c r="B35" s="9" t="s">
        <v>119</v>
      </c>
      <c r="C35" s="9" t="s">
        <v>691</v>
      </c>
      <c r="D35" s="12">
        <v>36725.0</v>
      </c>
      <c r="E35" s="9" t="s">
        <v>693</v>
      </c>
      <c r="F35" s="9">
        <v>3.58</v>
      </c>
      <c r="G35" s="9" t="s">
        <v>128</v>
      </c>
      <c r="H35" s="9">
        <v>3.97</v>
      </c>
      <c r="I35" s="9" t="s">
        <v>698</v>
      </c>
      <c r="J35" s="9" t="s">
        <v>710</v>
      </c>
      <c r="K35" s="10" t="s">
        <v>44</v>
      </c>
      <c r="L35" s="43"/>
    </row>
    <row r="36">
      <c r="A36" s="9" t="s">
        <v>75</v>
      </c>
      <c r="B36" s="9" t="s">
        <v>119</v>
      </c>
      <c r="C36" s="9" t="s">
        <v>716</v>
      </c>
      <c r="D36" s="12">
        <v>36699.0</v>
      </c>
      <c r="E36" s="9" t="s">
        <v>177</v>
      </c>
      <c r="F36" s="9" t="s">
        <v>719</v>
      </c>
      <c r="G36" s="9" t="s">
        <v>128</v>
      </c>
      <c r="H36" s="9" t="s">
        <v>720</v>
      </c>
      <c r="I36" s="9" t="s">
        <v>722</v>
      </c>
      <c r="J36" s="9" t="s">
        <v>734</v>
      </c>
      <c r="K36" s="10" t="s">
        <v>44</v>
      </c>
      <c r="L36" s="43"/>
    </row>
    <row r="37">
      <c r="A37" s="9" t="s">
        <v>75</v>
      </c>
      <c r="B37" s="9" t="s">
        <v>119</v>
      </c>
      <c r="C37" s="9" t="s">
        <v>740</v>
      </c>
      <c r="D37" s="12">
        <v>36267.0</v>
      </c>
      <c r="E37" s="9" t="s">
        <v>742</v>
      </c>
      <c r="F37" s="9" t="s">
        <v>744</v>
      </c>
      <c r="G37" s="9" t="s">
        <v>128</v>
      </c>
      <c r="H37" s="9" t="s">
        <v>745</v>
      </c>
      <c r="I37" s="9" t="s">
        <v>747</v>
      </c>
      <c r="J37" s="9" t="s">
        <v>762</v>
      </c>
      <c r="K37" s="10" t="s">
        <v>54</v>
      </c>
      <c r="L37" s="43"/>
    </row>
    <row r="38">
      <c r="A38" s="9" t="s">
        <v>75</v>
      </c>
      <c r="B38" s="9" t="s">
        <v>119</v>
      </c>
      <c r="C38" s="9" t="s">
        <v>209</v>
      </c>
      <c r="D38" s="12">
        <v>36540.0</v>
      </c>
      <c r="E38" s="9" t="s">
        <v>776</v>
      </c>
      <c r="F38" s="9" t="s">
        <v>778</v>
      </c>
      <c r="G38" s="9" t="s">
        <v>128</v>
      </c>
      <c r="H38" s="9" t="s">
        <v>51</v>
      </c>
      <c r="I38" s="9" t="s">
        <v>780</v>
      </c>
      <c r="J38" s="9" t="s">
        <v>795</v>
      </c>
      <c r="K38" s="10" t="s">
        <v>44</v>
      </c>
      <c r="L38" s="43"/>
    </row>
    <row r="39">
      <c r="A39" s="9" t="s">
        <v>75</v>
      </c>
      <c r="B39" s="9" t="s">
        <v>119</v>
      </c>
      <c r="C39" s="9" t="s">
        <v>808</v>
      </c>
      <c r="D39" s="12">
        <v>35825.0</v>
      </c>
      <c r="E39" s="9" t="s">
        <v>106</v>
      </c>
      <c r="F39" s="9" t="s">
        <v>26</v>
      </c>
      <c r="G39" s="9" t="s">
        <v>128</v>
      </c>
      <c r="H39" s="9" t="s">
        <v>745</v>
      </c>
      <c r="I39" s="9" t="s">
        <v>815</v>
      </c>
      <c r="J39" s="9" t="s">
        <v>834</v>
      </c>
      <c r="K39" s="10" t="s">
        <v>44</v>
      </c>
      <c r="L39" s="43"/>
    </row>
    <row r="40">
      <c r="A40" s="9" t="s">
        <v>75</v>
      </c>
      <c r="B40" s="9" t="s">
        <v>119</v>
      </c>
      <c r="C40" s="9" t="s">
        <v>848</v>
      </c>
      <c r="D40" s="12">
        <v>35795.0</v>
      </c>
      <c r="E40" s="9" t="s">
        <v>851</v>
      </c>
      <c r="F40" s="9" t="s">
        <v>744</v>
      </c>
      <c r="G40" s="9" t="s">
        <v>128</v>
      </c>
      <c r="H40" s="9" t="s">
        <v>712</v>
      </c>
      <c r="I40" s="9" t="s">
        <v>855</v>
      </c>
      <c r="J40" s="9" t="s">
        <v>868</v>
      </c>
      <c r="K40" s="10" t="s">
        <v>44</v>
      </c>
      <c r="L40" s="43"/>
    </row>
    <row r="41">
      <c r="A41" s="9" t="s">
        <v>75</v>
      </c>
      <c r="B41" s="9" t="s">
        <v>119</v>
      </c>
      <c r="C41" s="9" t="s">
        <v>875</v>
      </c>
      <c r="D41" s="12">
        <v>36078.0</v>
      </c>
      <c r="E41" s="9" t="s">
        <v>140</v>
      </c>
      <c r="F41" s="9" t="s">
        <v>70</v>
      </c>
      <c r="G41" s="9" t="s">
        <v>128</v>
      </c>
      <c r="H41" s="9" t="s">
        <v>116</v>
      </c>
      <c r="I41" s="9" t="s">
        <v>880</v>
      </c>
      <c r="J41" s="9" t="s">
        <v>891</v>
      </c>
      <c r="K41" s="10" t="s">
        <v>44</v>
      </c>
      <c r="L41" s="43"/>
    </row>
    <row r="42">
      <c r="A42" s="9" t="s">
        <v>75</v>
      </c>
      <c r="B42" s="9" t="s">
        <v>119</v>
      </c>
      <c r="C42" s="9" t="s">
        <v>899</v>
      </c>
      <c r="D42" s="12">
        <v>36584.0</v>
      </c>
      <c r="E42" s="9" t="s">
        <v>692</v>
      </c>
      <c r="F42" s="9" t="s">
        <v>229</v>
      </c>
      <c r="G42" s="9" t="s">
        <v>128</v>
      </c>
      <c r="H42" s="9" t="s">
        <v>712</v>
      </c>
      <c r="I42" s="9" t="s">
        <v>903</v>
      </c>
      <c r="J42" s="9" t="s">
        <v>914</v>
      </c>
      <c r="K42" s="10" t="s">
        <v>44</v>
      </c>
      <c r="L42" s="43"/>
    </row>
    <row r="43">
      <c r="A43" s="9" t="s">
        <v>75</v>
      </c>
      <c r="B43" s="9" t="s">
        <v>119</v>
      </c>
      <c r="C43" s="9" t="s">
        <v>920</v>
      </c>
      <c r="D43" s="12">
        <v>37043.0</v>
      </c>
      <c r="E43" s="9" t="s">
        <v>921</v>
      </c>
      <c r="F43" s="9" t="s">
        <v>552</v>
      </c>
      <c r="G43" s="9" t="s">
        <v>128</v>
      </c>
      <c r="H43" s="9" t="s">
        <v>745</v>
      </c>
      <c r="I43" s="9" t="s">
        <v>924</v>
      </c>
      <c r="J43" s="9" t="s">
        <v>933</v>
      </c>
      <c r="K43" s="10" t="s">
        <v>44</v>
      </c>
      <c r="L43" s="43"/>
    </row>
    <row r="44">
      <c r="A44" s="9" t="s">
        <v>75</v>
      </c>
      <c r="B44" s="9" t="s">
        <v>119</v>
      </c>
      <c r="C44" s="9" t="s">
        <v>101</v>
      </c>
      <c r="D44" s="12">
        <v>36249.0</v>
      </c>
      <c r="E44" s="9" t="s">
        <v>106</v>
      </c>
      <c r="F44" s="9" t="s">
        <v>115</v>
      </c>
      <c r="G44" s="9" t="s">
        <v>113</v>
      </c>
      <c r="H44" s="9" t="s">
        <v>116</v>
      </c>
      <c r="I44" s="9" t="s">
        <v>131</v>
      </c>
      <c r="J44" s="9" t="s">
        <v>102</v>
      </c>
      <c r="K44" s="10" t="s">
        <v>44</v>
      </c>
      <c r="L44" s="43"/>
    </row>
    <row r="45">
      <c r="A45" s="9" t="s">
        <v>75</v>
      </c>
      <c r="B45" s="9" t="s">
        <v>119</v>
      </c>
      <c r="C45" s="9" t="s">
        <v>953</v>
      </c>
      <c r="D45" s="12">
        <v>36613.0</v>
      </c>
      <c r="E45" s="9" t="s">
        <v>955</v>
      </c>
      <c r="F45" s="9" t="s">
        <v>957</v>
      </c>
      <c r="G45" s="9" t="s">
        <v>128</v>
      </c>
      <c r="H45" s="9" t="s">
        <v>581</v>
      </c>
      <c r="I45" s="9" t="s">
        <v>958</v>
      </c>
      <c r="J45" s="9" t="s">
        <v>967</v>
      </c>
      <c r="K45" s="10" t="s">
        <v>44</v>
      </c>
      <c r="L45" s="43"/>
    </row>
    <row r="46">
      <c r="A46" s="9" t="s">
        <v>75</v>
      </c>
      <c r="B46" s="9" t="s">
        <v>119</v>
      </c>
      <c r="C46" s="9" t="s">
        <v>255</v>
      </c>
      <c r="D46" s="12">
        <v>35886.0</v>
      </c>
      <c r="E46" s="9" t="s">
        <v>632</v>
      </c>
      <c r="F46" s="9" t="s">
        <v>596</v>
      </c>
      <c r="G46" s="9" t="s">
        <v>128</v>
      </c>
      <c r="H46" s="9" t="s">
        <v>745</v>
      </c>
      <c r="I46" s="9" t="s">
        <v>975</v>
      </c>
      <c r="J46" s="9" t="s">
        <v>982</v>
      </c>
      <c r="K46" s="10" t="s">
        <v>44</v>
      </c>
      <c r="L46" s="43"/>
    </row>
    <row r="47">
      <c r="A47" s="9" t="s">
        <v>75</v>
      </c>
      <c r="B47" s="9" t="s">
        <v>119</v>
      </c>
      <c r="C47" s="9" t="s">
        <v>987</v>
      </c>
      <c r="D47" s="12">
        <v>36951.0</v>
      </c>
      <c r="E47" s="9" t="s">
        <v>990</v>
      </c>
      <c r="F47" s="9" t="s">
        <v>628</v>
      </c>
      <c r="G47" s="9" t="s">
        <v>200</v>
      </c>
      <c r="H47" s="9" t="s">
        <v>51</v>
      </c>
      <c r="I47" s="9" t="s">
        <v>994</v>
      </c>
      <c r="J47" s="9" t="s">
        <v>1009</v>
      </c>
      <c r="K47" s="10" t="s">
        <v>54</v>
      </c>
      <c r="L47" s="43"/>
    </row>
    <row r="48">
      <c r="A48" s="9" t="s">
        <v>75</v>
      </c>
      <c r="B48" s="9" t="s">
        <v>119</v>
      </c>
      <c r="C48" s="9" t="s">
        <v>583</v>
      </c>
      <c r="D48" s="12">
        <v>36178.0</v>
      </c>
      <c r="E48" s="9" t="s">
        <v>593</v>
      </c>
      <c r="F48" s="9" t="s">
        <v>596</v>
      </c>
      <c r="G48" s="9" t="s">
        <v>128</v>
      </c>
      <c r="H48" s="9" t="s">
        <v>116</v>
      </c>
      <c r="I48" s="9" t="s">
        <v>603</v>
      </c>
      <c r="J48" s="9" t="s">
        <v>589</v>
      </c>
      <c r="K48" s="10" t="s">
        <v>44</v>
      </c>
      <c r="L48" s="43"/>
    </row>
    <row r="49">
      <c r="A49" s="9" t="s">
        <v>75</v>
      </c>
      <c r="B49" s="9" t="s">
        <v>119</v>
      </c>
      <c r="C49" s="9" t="s">
        <v>679</v>
      </c>
      <c r="D49" s="12">
        <v>35747.0</v>
      </c>
      <c r="E49" s="9" t="s">
        <v>692</v>
      </c>
      <c r="F49" s="9" t="s">
        <v>178</v>
      </c>
      <c r="G49" s="9" t="s">
        <v>128</v>
      </c>
      <c r="H49" s="9" t="s">
        <v>712</v>
      </c>
      <c r="I49" s="9" t="s">
        <v>749</v>
      </c>
      <c r="J49" s="9" t="s">
        <v>684</v>
      </c>
      <c r="K49" s="10" t="s">
        <v>44</v>
      </c>
      <c r="L49" s="43"/>
    </row>
    <row r="50">
      <c r="A50" s="9" t="s">
        <v>75</v>
      </c>
      <c r="B50" s="9" t="s">
        <v>119</v>
      </c>
      <c r="C50" s="9" t="s">
        <v>1049</v>
      </c>
      <c r="D50" s="12">
        <v>36436.0</v>
      </c>
      <c r="E50" s="9" t="s">
        <v>1052</v>
      </c>
      <c r="F50" s="9" t="s">
        <v>628</v>
      </c>
      <c r="G50" s="9" t="s">
        <v>128</v>
      </c>
      <c r="H50" s="9" t="s">
        <v>581</v>
      </c>
      <c r="I50" s="9" t="s">
        <v>1053</v>
      </c>
      <c r="J50" s="9" t="s">
        <v>1064</v>
      </c>
      <c r="K50" s="10" t="s">
        <v>44</v>
      </c>
      <c r="L50" s="43"/>
    </row>
    <row r="51">
      <c r="A51" s="9" t="s">
        <v>75</v>
      </c>
      <c r="B51" s="9" t="s">
        <v>223</v>
      </c>
      <c r="C51" s="9" t="s">
        <v>1071</v>
      </c>
      <c r="D51" s="12">
        <v>34712.0</v>
      </c>
      <c r="E51" s="9" t="s">
        <v>1073</v>
      </c>
      <c r="F51" s="9" t="s">
        <v>552</v>
      </c>
      <c r="G51" s="9" t="s">
        <v>230</v>
      </c>
      <c r="H51" s="9" t="s">
        <v>712</v>
      </c>
      <c r="I51" s="9" t="s">
        <v>1076</v>
      </c>
      <c r="J51" s="9" t="s">
        <v>1088</v>
      </c>
      <c r="K51" s="10" t="s">
        <v>54</v>
      </c>
      <c r="L51" s="43"/>
    </row>
    <row r="52">
      <c r="A52" s="9" t="s">
        <v>75</v>
      </c>
      <c r="B52" s="9" t="s">
        <v>223</v>
      </c>
      <c r="C52" s="9" t="s">
        <v>1095</v>
      </c>
      <c r="D52" s="12">
        <v>36520.0</v>
      </c>
      <c r="E52" s="9" t="s">
        <v>1003</v>
      </c>
      <c r="F52" s="9" t="s">
        <v>361</v>
      </c>
      <c r="G52" s="9" t="s">
        <v>263</v>
      </c>
      <c r="H52" s="9" t="s">
        <v>712</v>
      </c>
      <c r="I52" s="9" t="s">
        <v>1100</v>
      </c>
      <c r="J52" s="9" t="s">
        <v>1111</v>
      </c>
      <c r="K52" s="10" t="s">
        <v>44</v>
      </c>
      <c r="L52" s="43"/>
    </row>
    <row r="53">
      <c r="A53" s="9" t="s">
        <v>75</v>
      </c>
      <c r="B53" s="9" t="s">
        <v>223</v>
      </c>
      <c r="C53" s="9" t="s">
        <v>995</v>
      </c>
      <c r="D53" s="12">
        <v>35906.0</v>
      </c>
      <c r="E53" s="9" t="s">
        <v>1003</v>
      </c>
      <c r="F53" s="9" t="s">
        <v>1017</v>
      </c>
      <c r="G53" s="9" t="s">
        <v>263</v>
      </c>
      <c r="H53" s="9" t="s">
        <v>51</v>
      </c>
      <c r="I53" s="9" t="s">
        <v>1048</v>
      </c>
      <c r="J53" s="9" t="s">
        <v>998</v>
      </c>
      <c r="K53" s="10" t="s">
        <v>44</v>
      </c>
      <c r="L53" s="43"/>
    </row>
    <row r="54">
      <c r="A54" s="9" t="s">
        <v>75</v>
      </c>
      <c r="B54" s="9" t="s">
        <v>223</v>
      </c>
      <c r="C54" s="9" t="s">
        <v>1139</v>
      </c>
      <c r="D54" s="12">
        <v>35906.0</v>
      </c>
      <c r="E54" s="9" t="s">
        <v>1003</v>
      </c>
      <c r="F54" s="9" t="s">
        <v>1017</v>
      </c>
      <c r="G54" s="9" t="s">
        <v>263</v>
      </c>
      <c r="H54" s="9" t="s">
        <v>51</v>
      </c>
      <c r="I54" s="9" t="s">
        <v>1143</v>
      </c>
      <c r="J54" s="9" t="s">
        <v>998</v>
      </c>
      <c r="K54" s="10" t="s">
        <v>44</v>
      </c>
      <c r="L54" s="43"/>
    </row>
    <row r="55">
      <c r="A55" s="9" t="s">
        <v>75</v>
      </c>
      <c r="B55" s="9" t="s">
        <v>223</v>
      </c>
      <c r="C55" s="9" t="s">
        <v>1167</v>
      </c>
      <c r="D55" s="12">
        <v>36644.0</v>
      </c>
      <c r="E55" s="9" t="s">
        <v>1170</v>
      </c>
      <c r="F55" s="9" t="s">
        <v>744</v>
      </c>
      <c r="G55" s="9" t="s">
        <v>263</v>
      </c>
      <c r="H55" s="9" t="s">
        <v>1171</v>
      </c>
      <c r="I55" s="9" t="s">
        <v>1179</v>
      </c>
      <c r="J55" s="9">
        <v>6.281357514433E12</v>
      </c>
      <c r="K55" s="10" t="s">
        <v>44</v>
      </c>
      <c r="L55" s="43"/>
    </row>
    <row r="56">
      <c r="A56" s="9" t="s">
        <v>75</v>
      </c>
      <c r="B56" s="9" t="s">
        <v>223</v>
      </c>
      <c r="C56" s="9" t="s">
        <v>1189</v>
      </c>
      <c r="D56" s="12">
        <v>35987.0</v>
      </c>
      <c r="E56" s="9" t="s">
        <v>1190</v>
      </c>
      <c r="F56" s="9" t="s">
        <v>49</v>
      </c>
      <c r="G56" s="9" t="s">
        <v>1191</v>
      </c>
      <c r="H56" s="9" t="s">
        <v>122</v>
      </c>
      <c r="I56" s="9" t="s">
        <v>1192</v>
      </c>
      <c r="J56" s="9" t="s">
        <v>1202</v>
      </c>
      <c r="K56" s="10" t="s">
        <v>44</v>
      </c>
      <c r="L56" s="43"/>
    </row>
    <row r="57">
      <c r="A57" s="9" t="s">
        <v>75</v>
      </c>
      <c r="B57" s="9" t="s">
        <v>223</v>
      </c>
      <c r="C57" s="9" t="s">
        <v>1209</v>
      </c>
      <c r="D57" s="12">
        <v>34964.0</v>
      </c>
      <c r="E57" s="9" t="s">
        <v>1211</v>
      </c>
      <c r="F57" s="9">
        <v>3.45</v>
      </c>
      <c r="G57" s="9" t="s">
        <v>1213</v>
      </c>
      <c r="H57" s="9">
        <v>3.94</v>
      </c>
      <c r="I57" s="9" t="s">
        <v>1215</v>
      </c>
      <c r="J57" s="9" t="s">
        <v>1226</v>
      </c>
      <c r="K57" s="10" t="s">
        <v>44</v>
      </c>
      <c r="L57" s="43"/>
    </row>
    <row r="58">
      <c r="A58" s="9" t="s">
        <v>75</v>
      </c>
      <c r="B58" s="9" t="s">
        <v>223</v>
      </c>
      <c r="C58" s="9" t="s">
        <v>1232</v>
      </c>
      <c r="D58" s="12">
        <v>37538.0</v>
      </c>
      <c r="E58" s="9" t="s">
        <v>1073</v>
      </c>
      <c r="F58" s="9" t="s">
        <v>1234</v>
      </c>
      <c r="G58" s="9" t="s">
        <v>230</v>
      </c>
      <c r="H58" s="9" t="s">
        <v>232</v>
      </c>
      <c r="I58" s="9" t="s">
        <v>1237</v>
      </c>
      <c r="J58" s="9" t="s">
        <v>1278</v>
      </c>
      <c r="K58" s="10" t="s">
        <v>54</v>
      </c>
      <c r="L58" s="43"/>
    </row>
    <row r="59">
      <c r="A59" s="9" t="s">
        <v>75</v>
      </c>
      <c r="B59" s="9" t="s">
        <v>223</v>
      </c>
      <c r="C59" s="9" t="s">
        <v>1323</v>
      </c>
      <c r="D59" s="12">
        <v>36941.0</v>
      </c>
      <c r="E59" s="9" t="s">
        <v>1325</v>
      </c>
      <c r="F59" s="9" t="s">
        <v>127</v>
      </c>
      <c r="G59" s="9" t="s">
        <v>263</v>
      </c>
      <c r="H59" s="9" t="s">
        <v>51</v>
      </c>
      <c r="I59" s="9" t="s">
        <v>1330</v>
      </c>
      <c r="J59" s="9" t="s">
        <v>1343</v>
      </c>
      <c r="K59" s="10" t="s">
        <v>44</v>
      </c>
      <c r="L59" s="43"/>
    </row>
    <row r="60">
      <c r="A60" s="9" t="s">
        <v>75</v>
      </c>
      <c r="B60" s="9" t="s">
        <v>223</v>
      </c>
      <c r="C60" s="9" t="s">
        <v>1353</v>
      </c>
      <c r="D60" s="12">
        <v>36978.0</v>
      </c>
      <c r="E60" s="9" t="s">
        <v>1355</v>
      </c>
      <c r="F60" s="9">
        <v>3.8</v>
      </c>
      <c r="G60" s="9" t="s">
        <v>263</v>
      </c>
      <c r="H60" s="9">
        <v>3.85</v>
      </c>
      <c r="I60" s="9" t="s">
        <v>1358</v>
      </c>
      <c r="J60" s="9" t="s">
        <v>1365</v>
      </c>
      <c r="K60" s="10" t="s">
        <v>44</v>
      </c>
      <c r="L60" s="43"/>
    </row>
    <row r="61">
      <c r="A61" s="9" t="s">
        <v>75</v>
      </c>
      <c r="B61" s="9" t="s">
        <v>223</v>
      </c>
      <c r="C61" s="9" t="s">
        <v>1372</v>
      </c>
      <c r="D61" s="12">
        <v>35925.0</v>
      </c>
      <c r="E61" s="9" t="s">
        <v>1374</v>
      </c>
      <c r="F61" s="9">
        <v>3.74</v>
      </c>
      <c r="G61" s="9" t="s">
        <v>1191</v>
      </c>
      <c r="H61" s="9">
        <v>3.97</v>
      </c>
      <c r="I61" s="9" t="s">
        <v>1378</v>
      </c>
      <c r="J61" s="9" t="s">
        <v>1390</v>
      </c>
      <c r="K61" s="10" t="s">
        <v>44</v>
      </c>
      <c r="L61" s="43"/>
    </row>
    <row r="62">
      <c r="A62" s="9" t="s">
        <v>75</v>
      </c>
      <c r="B62" s="9" t="s">
        <v>223</v>
      </c>
      <c r="C62" s="9" t="s">
        <v>1398</v>
      </c>
      <c r="D62" s="12">
        <v>36799.0</v>
      </c>
      <c r="E62" s="9" t="s">
        <v>1003</v>
      </c>
      <c r="F62" s="9">
        <v>3.78</v>
      </c>
      <c r="G62" s="9" t="s">
        <v>263</v>
      </c>
      <c r="H62" s="9">
        <v>3.8</v>
      </c>
      <c r="I62" s="9" t="s">
        <v>1402</v>
      </c>
      <c r="J62" s="9" t="s">
        <v>1415</v>
      </c>
      <c r="K62" s="10" t="s">
        <v>44</v>
      </c>
      <c r="L62" s="43"/>
    </row>
    <row r="63">
      <c r="A63" s="9" t="s">
        <v>75</v>
      </c>
      <c r="B63" s="9" t="s">
        <v>223</v>
      </c>
      <c r="C63" s="9" t="s">
        <v>1420</v>
      </c>
      <c r="D63" s="12">
        <v>37119.0</v>
      </c>
      <c r="E63" s="9" t="s">
        <v>1170</v>
      </c>
      <c r="F63" s="9" t="s">
        <v>1423</v>
      </c>
      <c r="G63" s="9" t="s">
        <v>263</v>
      </c>
      <c r="H63" s="9" t="s">
        <v>51</v>
      </c>
      <c r="I63" s="9" t="s">
        <v>1425</v>
      </c>
      <c r="J63" s="9" t="s">
        <v>1439</v>
      </c>
      <c r="K63" s="10" t="s">
        <v>44</v>
      </c>
      <c r="L63" s="43"/>
    </row>
    <row r="64">
      <c r="A64" s="9" t="s">
        <v>75</v>
      </c>
      <c r="B64" s="9" t="s">
        <v>280</v>
      </c>
      <c r="C64" s="9" t="s">
        <v>1446</v>
      </c>
      <c r="D64" s="12">
        <v>36036.0</v>
      </c>
      <c r="E64" s="9" t="s">
        <v>310</v>
      </c>
      <c r="F64" s="9" t="s">
        <v>1448</v>
      </c>
      <c r="G64" s="9" t="s">
        <v>283</v>
      </c>
      <c r="H64" s="9" t="s">
        <v>581</v>
      </c>
      <c r="I64" s="9" t="s">
        <v>1451</v>
      </c>
      <c r="J64" s="9" t="s">
        <v>1464</v>
      </c>
      <c r="K64" s="10" t="s">
        <v>44</v>
      </c>
      <c r="L64" s="43"/>
    </row>
    <row r="65">
      <c r="A65" s="9" t="s">
        <v>75</v>
      </c>
      <c r="B65" s="9" t="s">
        <v>280</v>
      </c>
      <c r="C65" s="9" t="s">
        <v>1470</v>
      </c>
      <c r="D65" s="12">
        <v>36525.0</v>
      </c>
      <c r="E65" s="9" t="s">
        <v>310</v>
      </c>
      <c r="F65" s="9" t="s">
        <v>1473</v>
      </c>
      <c r="G65" s="9" t="s">
        <v>283</v>
      </c>
      <c r="H65" s="9" t="s">
        <v>51</v>
      </c>
      <c r="I65" s="9" t="s">
        <v>1476</v>
      </c>
      <c r="J65" s="9" t="s">
        <v>1486</v>
      </c>
      <c r="K65" s="10" t="s">
        <v>54</v>
      </c>
      <c r="L65" s="43"/>
    </row>
    <row r="66">
      <c r="A66" s="9" t="s">
        <v>75</v>
      </c>
      <c r="B66" s="9" t="s">
        <v>280</v>
      </c>
      <c r="C66" s="9" t="s">
        <v>1494</v>
      </c>
      <c r="D66" s="12">
        <v>36668.0</v>
      </c>
      <c r="E66" s="9" t="s">
        <v>1495</v>
      </c>
      <c r="F66" s="9" t="s">
        <v>49</v>
      </c>
      <c r="G66" s="9" t="s">
        <v>283</v>
      </c>
      <c r="H66" s="9">
        <v>4.0</v>
      </c>
      <c r="I66" s="9" t="s">
        <v>1498</v>
      </c>
      <c r="J66" s="9" t="s">
        <v>1513</v>
      </c>
      <c r="K66" s="10" t="s">
        <v>44</v>
      </c>
      <c r="L66" s="43"/>
    </row>
    <row r="67">
      <c r="A67" s="9" t="s">
        <v>75</v>
      </c>
      <c r="B67" s="9" t="s">
        <v>280</v>
      </c>
      <c r="C67" s="9" t="s">
        <v>1520</v>
      </c>
      <c r="D67" s="12">
        <v>30409.0</v>
      </c>
      <c r="E67" s="9" t="s">
        <v>1521</v>
      </c>
      <c r="F67" s="9">
        <v>2.75</v>
      </c>
      <c r="G67" s="9" t="s">
        <v>200</v>
      </c>
      <c r="H67" s="9">
        <v>3.0</v>
      </c>
      <c r="I67" s="9" t="s">
        <v>149</v>
      </c>
      <c r="J67" s="9" t="s">
        <v>1525</v>
      </c>
      <c r="K67" s="10" t="s">
        <v>54</v>
      </c>
      <c r="L67" s="43"/>
    </row>
    <row r="68">
      <c r="A68" s="9" t="s">
        <v>75</v>
      </c>
      <c r="B68" s="9" t="s">
        <v>280</v>
      </c>
      <c r="C68" s="9" t="s">
        <v>1533</v>
      </c>
      <c r="D68" s="12">
        <v>34873.0</v>
      </c>
      <c r="E68" s="9" t="s">
        <v>283</v>
      </c>
      <c r="F68" s="9" t="s">
        <v>1535</v>
      </c>
      <c r="G68" s="9" t="s">
        <v>283</v>
      </c>
      <c r="H68" s="9" t="s">
        <v>1546</v>
      </c>
      <c r="I68" s="9" t="s">
        <v>1549</v>
      </c>
      <c r="J68" s="9" t="s">
        <v>1565</v>
      </c>
      <c r="K68" s="10" t="s">
        <v>54</v>
      </c>
      <c r="L68" s="43"/>
    </row>
    <row r="69">
      <c r="A69" s="9" t="s">
        <v>75</v>
      </c>
      <c r="B69" s="9" t="s">
        <v>1578</v>
      </c>
      <c r="C69" s="9" t="s">
        <v>1581</v>
      </c>
      <c r="D69" s="12">
        <v>36759.0</v>
      </c>
      <c r="E69" s="9" t="s">
        <v>1584</v>
      </c>
      <c r="F69" s="9" t="s">
        <v>720</v>
      </c>
      <c r="G69" s="9" t="s">
        <v>1587</v>
      </c>
      <c r="H69" s="9" t="s">
        <v>1588</v>
      </c>
      <c r="I69" s="9" t="s">
        <v>1589</v>
      </c>
      <c r="J69" s="9" t="s">
        <v>1604</v>
      </c>
      <c r="K69" s="10" t="s">
        <v>44</v>
      </c>
      <c r="L69" s="43"/>
    </row>
    <row r="70">
      <c r="A70" s="9" t="s">
        <v>75</v>
      </c>
      <c r="B70" s="9" t="s">
        <v>1578</v>
      </c>
      <c r="C70" s="9" t="s">
        <v>1617</v>
      </c>
      <c r="D70" s="12">
        <v>35826.0</v>
      </c>
      <c r="E70" s="9" t="s">
        <v>1620</v>
      </c>
      <c r="F70" s="9" t="s">
        <v>1621</v>
      </c>
      <c r="G70" s="9" t="s">
        <v>1587</v>
      </c>
      <c r="H70" s="9" t="s">
        <v>116</v>
      </c>
      <c r="I70" s="9" t="s">
        <v>1626</v>
      </c>
      <c r="J70" s="9" t="s">
        <v>1642</v>
      </c>
      <c r="K70" s="10" t="s">
        <v>44</v>
      </c>
      <c r="L70" s="43"/>
    </row>
    <row r="71">
      <c r="A71" s="9" t="s">
        <v>75</v>
      </c>
      <c r="B71" s="9" t="s">
        <v>1578</v>
      </c>
      <c r="C71" s="9" t="s">
        <v>1650</v>
      </c>
      <c r="D71" s="12">
        <v>32570.0</v>
      </c>
      <c r="E71" s="9" t="s">
        <v>1652</v>
      </c>
      <c r="F71" s="9" t="s">
        <v>1654</v>
      </c>
      <c r="G71" s="9" t="s">
        <v>1587</v>
      </c>
      <c r="H71" s="9">
        <v>90.13</v>
      </c>
      <c r="I71" s="9" t="s">
        <v>1656</v>
      </c>
      <c r="J71" s="9" t="s">
        <v>1675</v>
      </c>
      <c r="K71" s="10" t="s">
        <v>54</v>
      </c>
      <c r="L71" s="43"/>
    </row>
    <row r="72">
      <c r="A72" s="9" t="s">
        <v>75</v>
      </c>
      <c r="B72" s="9" t="s">
        <v>1578</v>
      </c>
      <c r="C72" s="9" t="s">
        <v>1682</v>
      </c>
      <c r="D72" s="12">
        <v>35267.0</v>
      </c>
      <c r="E72" s="9" t="s">
        <v>1684</v>
      </c>
      <c r="F72" s="9" t="s">
        <v>154</v>
      </c>
      <c r="G72" s="9" t="s">
        <v>1587</v>
      </c>
      <c r="H72" s="9" t="s">
        <v>1685</v>
      </c>
      <c r="I72" s="9" t="s">
        <v>1687</v>
      </c>
      <c r="J72" s="9" t="s">
        <v>1697</v>
      </c>
      <c r="K72" s="10" t="s">
        <v>44</v>
      </c>
      <c r="L72" s="43"/>
    </row>
    <row r="73">
      <c r="A73" s="9" t="s">
        <v>75</v>
      </c>
      <c r="B73" s="9" t="s">
        <v>1578</v>
      </c>
      <c r="C73" s="9" t="s">
        <v>1701</v>
      </c>
      <c r="D73" s="12">
        <v>33628.0</v>
      </c>
      <c r="E73" s="9" t="s">
        <v>1620</v>
      </c>
      <c r="F73" s="9" t="s">
        <v>1703</v>
      </c>
      <c r="G73" s="9" t="s">
        <v>1587</v>
      </c>
      <c r="H73" s="9" t="s">
        <v>1685</v>
      </c>
      <c r="I73" s="9" t="s">
        <v>1706</v>
      </c>
      <c r="J73" s="9" t="s">
        <v>1721</v>
      </c>
      <c r="K73" s="10" t="s">
        <v>54</v>
      </c>
      <c r="L73" s="43"/>
    </row>
    <row r="74">
      <c r="A74" s="9" t="s">
        <v>75</v>
      </c>
      <c r="B74" s="9" t="s">
        <v>74</v>
      </c>
      <c r="C74" s="9" t="s">
        <v>1729</v>
      </c>
      <c r="D74" s="12">
        <v>36304.0</v>
      </c>
      <c r="E74" s="9" t="s">
        <v>1730</v>
      </c>
      <c r="F74" s="9" t="s">
        <v>1423</v>
      </c>
      <c r="G74" s="9" t="s">
        <v>64</v>
      </c>
      <c r="H74" s="9" t="s">
        <v>51</v>
      </c>
      <c r="I74" s="9" t="s">
        <v>1731</v>
      </c>
      <c r="J74" s="9" t="s">
        <v>1747</v>
      </c>
      <c r="K74" s="10" t="s">
        <v>44</v>
      </c>
      <c r="L74" s="43"/>
    </row>
    <row r="75">
      <c r="A75" s="9" t="s">
        <v>75</v>
      </c>
      <c r="B75" s="9" t="s">
        <v>74</v>
      </c>
      <c r="C75" s="9" t="s">
        <v>1752</v>
      </c>
      <c r="D75" s="12">
        <v>35796.0</v>
      </c>
      <c r="E75" s="9" t="s">
        <v>1753</v>
      </c>
      <c r="F75" s="9" t="s">
        <v>154</v>
      </c>
      <c r="G75" s="9" t="s">
        <v>64</v>
      </c>
      <c r="H75" s="9" t="s">
        <v>1546</v>
      </c>
      <c r="I75" s="9" t="s">
        <v>1756</v>
      </c>
      <c r="J75" s="9" t="s">
        <v>1768</v>
      </c>
      <c r="K75" s="10" t="s">
        <v>44</v>
      </c>
      <c r="L75" s="43"/>
    </row>
    <row r="76">
      <c r="A76" s="9" t="s">
        <v>75</v>
      </c>
      <c r="B76" s="9" t="s">
        <v>74</v>
      </c>
      <c r="C76" s="9" t="s">
        <v>1775</v>
      </c>
      <c r="D76" s="12">
        <v>36262.0</v>
      </c>
      <c r="E76" s="9" t="s">
        <v>1777</v>
      </c>
      <c r="F76" s="9" t="s">
        <v>1778</v>
      </c>
      <c r="G76" s="9" t="s">
        <v>64</v>
      </c>
      <c r="H76" s="9" t="s">
        <v>712</v>
      </c>
      <c r="I76" s="9" t="s">
        <v>1781</v>
      </c>
      <c r="J76" s="9" t="s">
        <v>1794</v>
      </c>
      <c r="K76" s="10" t="s">
        <v>44</v>
      </c>
      <c r="L76" s="43"/>
    </row>
    <row r="77">
      <c r="A77" s="9" t="s">
        <v>75</v>
      </c>
      <c r="B77" s="9" t="s">
        <v>74</v>
      </c>
      <c r="C77" s="9" t="s">
        <v>1802</v>
      </c>
      <c r="D77" s="12">
        <v>36144.0</v>
      </c>
      <c r="E77" s="9" t="s">
        <v>1803</v>
      </c>
      <c r="F77" s="9" t="s">
        <v>79</v>
      </c>
      <c r="G77" s="9" t="s">
        <v>64</v>
      </c>
      <c r="H77" s="9" t="s">
        <v>552</v>
      </c>
      <c r="I77" s="9" t="s">
        <v>1806</v>
      </c>
      <c r="J77" s="9" t="s">
        <v>1820</v>
      </c>
      <c r="K77" s="10" t="s">
        <v>44</v>
      </c>
      <c r="L77" s="43"/>
    </row>
    <row r="78">
      <c r="A78" s="9" t="s">
        <v>75</v>
      </c>
      <c r="B78" s="9" t="s">
        <v>74</v>
      </c>
      <c r="C78" s="9" t="s">
        <v>1826</v>
      </c>
      <c r="D78" s="12">
        <v>37275.0</v>
      </c>
      <c r="E78" s="9" t="s">
        <v>1828</v>
      </c>
      <c r="F78" s="9">
        <v>3.76</v>
      </c>
      <c r="G78" s="9" t="s">
        <v>64</v>
      </c>
      <c r="H78" s="9">
        <v>3.91</v>
      </c>
      <c r="I78" s="9" t="s">
        <v>1832</v>
      </c>
      <c r="J78" s="9" t="s">
        <v>1849</v>
      </c>
      <c r="K78" s="10" t="s">
        <v>44</v>
      </c>
      <c r="L78" s="43"/>
    </row>
    <row r="79">
      <c r="A79" s="9" t="s">
        <v>75</v>
      </c>
      <c r="B79" s="9" t="s">
        <v>74</v>
      </c>
      <c r="C79" s="9" t="s">
        <v>50</v>
      </c>
      <c r="D79" s="12">
        <v>36791.0</v>
      </c>
      <c r="E79" s="9" t="s">
        <v>58</v>
      </c>
      <c r="F79" s="9" t="s">
        <v>66</v>
      </c>
      <c r="G79" s="9" t="s">
        <v>64</v>
      </c>
      <c r="H79" s="9" t="s">
        <v>68</v>
      </c>
      <c r="I79" s="9" t="s">
        <v>82</v>
      </c>
      <c r="J79" s="9" t="s">
        <v>53</v>
      </c>
      <c r="K79" s="10" t="s">
        <v>44</v>
      </c>
      <c r="L79" s="43"/>
    </row>
    <row r="80">
      <c r="A80" s="9" t="s">
        <v>75</v>
      </c>
      <c r="B80" s="9" t="s">
        <v>74</v>
      </c>
      <c r="C80" s="9" t="s">
        <v>1877</v>
      </c>
      <c r="D80" s="12">
        <v>34663.0</v>
      </c>
      <c r="E80" s="9" t="s">
        <v>1878</v>
      </c>
      <c r="F80" s="9" t="s">
        <v>434</v>
      </c>
      <c r="G80" s="9" t="s">
        <v>64</v>
      </c>
      <c r="H80" s="9" t="s">
        <v>1881</v>
      </c>
      <c r="I80" s="9" t="s">
        <v>1882</v>
      </c>
      <c r="J80" s="9" t="s">
        <v>1898</v>
      </c>
      <c r="K80" s="10" t="s">
        <v>44</v>
      </c>
      <c r="L80" s="43"/>
    </row>
    <row r="81">
      <c r="A81" s="9" t="s">
        <v>75</v>
      </c>
      <c r="B81" s="9" t="s">
        <v>407</v>
      </c>
      <c r="C81" s="9" t="s">
        <v>386</v>
      </c>
      <c r="D81" s="12">
        <v>36154.0</v>
      </c>
      <c r="E81" s="9" t="s">
        <v>389</v>
      </c>
      <c r="F81" s="9" t="s">
        <v>398</v>
      </c>
      <c r="G81" s="9" t="s">
        <v>390</v>
      </c>
      <c r="H81" s="9" t="s">
        <v>254</v>
      </c>
      <c r="I81" s="9" t="s">
        <v>420</v>
      </c>
      <c r="J81" s="9" t="s">
        <v>387</v>
      </c>
      <c r="K81" s="10" t="s">
        <v>44</v>
      </c>
      <c r="L81" s="43"/>
    </row>
    <row r="82">
      <c r="A82" s="9" t="s">
        <v>75</v>
      </c>
      <c r="B82" s="9" t="s">
        <v>407</v>
      </c>
      <c r="C82" s="9" t="s">
        <v>1923</v>
      </c>
      <c r="D82" s="12">
        <v>36237.0</v>
      </c>
      <c r="E82" s="9" t="s">
        <v>1924</v>
      </c>
      <c r="F82" s="9" t="s">
        <v>628</v>
      </c>
      <c r="G82" s="9" t="s">
        <v>1925</v>
      </c>
      <c r="H82" s="9" t="s">
        <v>51</v>
      </c>
      <c r="I82" s="9" t="s">
        <v>1927</v>
      </c>
      <c r="J82" s="9" t="s">
        <v>1940</v>
      </c>
      <c r="K82" s="10" t="s">
        <v>44</v>
      </c>
      <c r="L82" s="43"/>
    </row>
    <row r="83">
      <c r="A83" s="9" t="s">
        <v>75</v>
      </c>
      <c r="B83" s="9" t="s">
        <v>407</v>
      </c>
      <c r="C83" s="9" t="s">
        <v>1945</v>
      </c>
      <c r="D83" s="12">
        <v>36253.0</v>
      </c>
      <c r="E83" s="9" t="s">
        <v>1948</v>
      </c>
      <c r="F83" s="9" t="s">
        <v>115</v>
      </c>
      <c r="G83" s="9" t="s">
        <v>390</v>
      </c>
      <c r="H83" s="9" t="s">
        <v>1448</v>
      </c>
      <c r="I83" s="9" t="s">
        <v>1951</v>
      </c>
      <c r="J83" s="9" t="s">
        <v>1962</v>
      </c>
      <c r="K83" s="10" t="s">
        <v>44</v>
      </c>
      <c r="L83" s="43"/>
    </row>
    <row r="84">
      <c r="A84" s="9" t="s">
        <v>75</v>
      </c>
      <c r="B84" s="9" t="s">
        <v>857</v>
      </c>
      <c r="C84" s="9" t="s">
        <v>1967</v>
      </c>
      <c r="D84" s="12">
        <v>37188.0</v>
      </c>
      <c r="E84" s="9" t="s">
        <v>1969</v>
      </c>
      <c r="F84" s="9" t="s">
        <v>1970</v>
      </c>
      <c r="G84" s="9" t="s">
        <v>842</v>
      </c>
      <c r="H84" s="9" t="s">
        <v>232</v>
      </c>
      <c r="I84" s="9" t="s">
        <v>1973</v>
      </c>
      <c r="J84" s="9" t="s">
        <v>1984</v>
      </c>
      <c r="K84" s="10" t="s">
        <v>54</v>
      </c>
      <c r="L84" s="43"/>
    </row>
    <row r="85">
      <c r="A85" s="9" t="s">
        <v>75</v>
      </c>
      <c r="B85" s="9" t="s">
        <v>857</v>
      </c>
      <c r="C85" s="9" t="s">
        <v>819</v>
      </c>
      <c r="D85" s="12">
        <v>36233.0</v>
      </c>
      <c r="E85" s="9" t="s">
        <v>831</v>
      </c>
      <c r="F85" s="9" t="s">
        <v>847</v>
      </c>
      <c r="G85" s="9" t="s">
        <v>842</v>
      </c>
      <c r="H85" s="9" t="s">
        <v>116</v>
      </c>
      <c r="I85" s="9" t="s">
        <v>863</v>
      </c>
      <c r="J85" s="9" t="s">
        <v>825</v>
      </c>
      <c r="K85" s="10" t="s">
        <v>54</v>
      </c>
      <c r="L85" s="43"/>
    </row>
    <row r="86">
      <c r="A86" s="9" t="s">
        <v>75</v>
      </c>
      <c r="B86" s="9" t="s">
        <v>857</v>
      </c>
      <c r="C86" s="9" t="s">
        <v>2003</v>
      </c>
      <c r="D86" s="12">
        <v>36432.0</v>
      </c>
      <c r="E86" s="9" t="s">
        <v>2005</v>
      </c>
      <c r="F86" s="9" t="s">
        <v>719</v>
      </c>
      <c r="G86" s="9" t="s">
        <v>842</v>
      </c>
      <c r="H86" s="9" t="s">
        <v>745</v>
      </c>
      <c r="I86" s="9" t="s">
        <v>2007</v>
      </c>
      <c r="J86" s="9" t="s">
        <v>2011</v>
      </c>
      <c r="K86" s="10" t="s">
        <v>44</v>
      </c>
      <c r="L86" s="43"/>
    </row>
    <row r="87">
      <c r="A87" s="9" t="s">
        <v>75</v>
      </c>
      <c r="B87" s="9" t="s">
        <v>857</v>
      </c>
      <c r="C87" s="9" t="s">
        <v>2017</v>
      </c>
      <c r="D87" s="12">
        <v>34740.0</v>
      </c>
      <c r="E87" s="9" t="s">
        <v>2018</v>
      </c>
      <c r="F87" s="9" t="s">
        <v>2020</v>
      </c>
      <c r="G87" s="9" t="s">
        <v>283</v>
      </c>
      <c r="H87" s="9" t="s">
        <v>149</v>
      </c>
      <c r="I87" s="9" t="s">
        <v>2023</v>
      </c>
      <c r="J87" s="9" t="s">
        <v>2030</v>
      </c>
      <c r="K87" s="10" t="s">
        <v>54</v>
      </c>
      <c r="L87" s="43"/>
    </row>
    <row r="88">
      <c r="A88" s="9" t="s">
        <v>75</v>
      </c>
      <c r="B88" s="9" t="s">
        <v>857</v>
      </c>
      <c r="C88" s="9" t="s">
        <v>2033</v>
      </c>
      <c r="D88" s="12">
        <v>37099.0</v>
      </c>
      <c r="E88" s="9" t="s">
        <v>2034</v>
      </c>
      <c r="F88" s="9" t="s">
        <v>2036</v>
      </c>
      <c r="G88" s="9" t="s">
        <v>842</v>
      </c>
      <c r="H88" s="9" t="s">
        <v>712</v>
      </c>
      <c r="I88" s="9" t="s">
        <v>2038</v>
      </c>
      <c r="J88" s="9" t="s">
        <v>2047</v>
      </c>
      <c r="K88" s="10" t="s">
        <v>44</v>
      </c>
      <c r="L88" s="43"/>
    </row>
    <row r="89">
      <c r="A89" s="9" t="s">
        <v>75</v>
      </c>
      <c r="B89" s="9" t="s">
        <v>857</v>
      </c>
      <c r="C89" s="9" t="s">
        <v>2051</v>
      </c>
      <c r="D89" s="12">
        <v>36890.0</v>
      </c>
      <c r="E89" s="9" t="s">
        <v>1777</v>
      </c>
      <c r="F89" s="9" t="s">
        <v>127</v>
      </c>
      <c r="G89" s="9" t="s">
        <v>842</v>
      </c>
      <c r="H89" s="9" t="s">
        <v>712</v>
      </c>
      <c r="I89" s="9" t="s">
        <v>2054</v>
      </c>
      <c r="J89" s="9" t="s">
        <v>2061</v>
      </c>
      <c r="K89" s="10" t="s">
        <v>44</v>
      </c>
      <c r="L89" s="43"/>
    </row>
    <row r="90">
      <c r="A90" s="9" t="s">
        <v>75</v>
      </c>
      <c r="B90" s="9" t="s">
        <v>857</v>
      </c>
      <c r="C90" s="9" t="s">
        <v>2066</v>
      </c>
      <c r="D90" s="12">
        <v>36045.0</v>
      </c>
      <c r="E90" s="9" t="s">
        <v>2068</v>
      </c>
      <c r="F90" s="9" t="s">
        <v>2070</v>
      </c>
      <c r="G90" s="9" t="s">
        <v>842</v>
      </c>
      <c r="H90" s="9" t="s">
        <v>581</v>
      </c>
      <c r="I90" s="9" t="s">
        <v>2072</v>
      </c>
      <c r="J90" s="9" t="s">
        <v>2086</v>
      </c>
      <c r="K90" s="10" t="s">
        <v>44</v>
      </c>
      <c r="L90" s="43"/>
    </row>
    <row r="91">
      <c r="A91" s="10" t="s">
        <v>21</v>
      </c>
      <c r="B91" s="10" t="s">
        <v>857</v>
      </c>
      <c r="C91" s="10" t="s">
        <v>2097</v>
      </c>
      <c r="D91" s="39">
        <v>36160.0</v>
      </c>
      <c r="E91" s="10" t="s">
        <v>2104</v>
      </c>
      <c r="F91" s="10" t="s">
        <v>311</v>
      </c>
      <c r="G91" s="10" t="s">
        <v>113</v>
      </c>
      <c r="H91" s="10" t="s">
        <v>1588</v>
      </c>
      <c r="I91" s="10" t="s">
        <v>2109</v>
      </c>
      <c r="J91" s="41" t="s">
        <v>2113</v>
      </c>
      <c r="K91" s="10" t="s">
        <v>44</v>
      </c>
      <c r="L91" s="10"/>
      <c r="M91" s="10" t="s">
        <v>103</v>
      </c>
    </row>
    <row r="92">
      <c r="A92" s="10" t="s">
        <v>21</v>
      </c>
      <c r="B92" s="10" t="s">
        <v>1578</v>
      </c>
      <c r="C92" s="10" t="s">
        <v>2037</v>
      </c>
      <c r="D92" s="39">
        <v>34986.0</v>
      </c>
      <c r="E92" s="10" t="s">
        <v>1620</v>
      </c>
      <c r="F92" s="10" t="s">
        <v>2115</v>
      </c>
      <c r="G92" s="10" t="s">
        <v>1587</v>
      </c>
      <c r="H92" s="10" t="s">
        <v>149</v>
      </c>
      <c r="I92" s="10" t="s">
        <v>2116</v>
      </c>
      <c r="J92" s="41" t="s">
        <v>2118</v>
      </c>
      <c r="K92" s="10" t="s">
        <v>44</v>
      </c>
      <c r="L92" s="43"/>
      <c r="M92" s="10" t="s">
        <v>103</v>
      </c>
    </row>
    <row r="93">
      <c r="A93" s="9" t="s">
        <v>75</v>
      </c>
      <c r="B93" s="10" t="s">
        <v>92</v>
      </c>
      <c r="C93" s="10" t="s">
        <v>2120</v>
      </c>
      <c r="D93" s="39">
        <v>36000.0</v>
      </c>
      <c r="E93" s="10" t="s">
        <v>2121</v>
      </c>
      <c r="F93" s="10" t="s">
        <v>1423</v>
      </c>
      <c r="G93" s="10" t="s">
        <v>128</v>
      </c>
      <c r="H93" s="10" t="s">
        <v>2122</v>
      </c>
      <c r="I93" s="10" t="s">
        <v>2123</v>
      </c>
      <c r="J93" s="41" t="s">
        <v>2126</v>
      </c>
      <c r="K93" s="10" t="s">
        <v>54</v>
      </c>
      <c r="L93" s="10" t="s">
        <v>2127</v>
      </c>
      <c r="M93" s="10" t="s">
        <v>103</v>
      </c>
    </row>
    <row r="94">
      <c r="A94" s="10" t="s">
        <v>21</v>
      </c>
      <c r="B94" s="10" t="s">
        <v>857</v>
      </c>
      <c r="C94" s="10" t="s">
        <v>2129</v>
      </c>
      <c r="D94" s="39">
        <v>34873.0</v>
      </c>
      <c r="E94" s="10" t="s">
        <v>283</v>
      </c>
      <c r="F94" s="41" t="s">
        <v>1535</v>
      </c>
      <c r="G94" s="10" t="s">
        <v>283</v>
      </c>
      <c r="H94" s="10" t="s">
        <v>1546</v>
      </c>
      <c r="I94" s="10" t="s">
        <v>1549</v>
      </c>
      <c r="J94" s="41" t="s">
        <v>1565</v>
      </c>
      <c r="K94" s="10" t="s">
        <v>54</v>
      </c>
      <c r="L94" s="10" t="s">
        <v>2131</v>
      </c>
      <c r="M94" s="10" t="s">
        <v>103</v>
      </c>
    </row>
    <row r="95">
      <c r="A95" s="10" t="s">
        <v>21</v>
      </c>
      <c r="B95" s="10" t="s">
        <v>857</v>
      </c>
      <c r="C95" s="10" t="s">
        <v>2133</v>
      </c>
      <c r="D95" s="39">
        <v>36964.0</v>
      </c>
      <c r="E95" s="10" t="s">
        <v>152</v>
      </c>
      <c r="F95" s="10" t="s">
        <v>1234</v>
      </c>
      <c r="G95" s="10" t="s">
        <v>200</v>
      </c>
      <c r="H95" s="10" t="s">
        <v>581</v>
      </c>
      <c r="I95" s="10" t="s">
        <v>2136</v>
      </c>
      <c r="J95" s="41" t="s">
        <v>2139</v>
      </c>
      <c r="K95" s="10" t="s">
        <v>54</v>
      </c>
      <c r="L95" s="10" t="s">
        <v>2127</v>
      </c>
      <c r="M95" s="10" t="s">
        <v>103</v>
      </c>
    </row>
    <row r="96">
      <c r="A96" s="9" t="s">
        <v>75</v>
      </c>
      <c r="B96" s="10" t="s">
        <v>92</v>
      </c>
      <c r="C96" s="10" t="s">
        <v>2140</v>
      </c>
      <c r="D96" s="39">
        <v>34480.0</v>
      </c>
      <c r="E96" s="10" t="s">
        <v>2141</v>
      </c>
      <c r="F96" s="41" t="s">
        <v>2142</v>
      </c>
      <c r="G96" s="10" t="s">
        <v>390</v>
      </c>
      <c r="H96" s="10" t="s">
        <v>1588</v>
      </c>
      <c r="I96" s="10" t="s">
        <v>2143</v>
      </c>
      <c r="J96" s="41" t="s">
        <v>2145</v>
      </c>
      <c r="K96" s="10" t="s">
        <v>54</v>
      </c>
      <c r="L96" s="10" t="s">
        <v>2146</v>
      </c>
      <c r="M96" s="10" t="s">
        <v>103</v>
      </c>
    </row>
    <row r="97">
      <c r="A97" s="10" t="s">
        <v>21</v>
      </c>
      <c r="B97" s="10" t="s">
        <v>857</v>
      </c>
      <c r="C97" s="10" t="s">
        <v>2148</v>
      </c>
      <c r="D97" s="39">
        <v>36856.0</v>
      </c>
      <c r="E97" s="10" t="s">
        <v>2005</v>
      </c>
      <c r="F97" s="10" t="s">
        <v>1970</v>
      </c>
      <c r="G97" s="10" t="s">
        <v>842</v>
      </c>
      <c r="H97" s="10" t="s">
        <v>712</v>
      </c>
      <c r="I97" s="10" t="s">
        <v>2149</v>
      </c>
      <c r="J97" s="41" t="s">
        <v>2150</v>
      </c>
      <c r="K97" s="10" t="s">
        <v>44</v>
      </c>
      <c r="M97" s="10" t="s">
        <v>103</v>
      </c>
    </row>
    <row r="98">
      <c r="A98" s="10" t="s">
        <v>21</v>
      </c>
      <c r="B98" s="10" t="s">
        <v>857</v>
      </c>
      <c r="C98" s="10" t="s">
        <v>2151</v>
      </c>
      <c r="D98" s="39">
        <v>36441.0</v>
      </c>
      <c r="E98" s="10" t="s">
        <v>2068</v>
      </c>
      <c r="F98" s="10" t="s">
        <v>2152</v>
      </c>
      <c r="G98" s="10" t="s">
        <v>842</v>
      </c>
      <c r="H98" s="10" t="s">
        <v>581</v>
      </c>
      <c r="I98" s="10" t="s">
        <v>2154</v>
      </c>
      <c r="J98" s="41" t="s">
        <v>2156</v>
      </c>
      <c r="K98" s="10" t="s">
        <v>44</v>
      </c>
      <c r="M98" s="10" t="s">
        <v>103</v>
      </c>
    </row>
    <row r="99">
      <c r="A99" s="9" t="s">
        <v>75</v>
      </c>
      <c r="B99" s="10" t="s">
        <v>92</v>
      </c>
      <c r="C99" s="10" t="s">
        <v>2158</v>
      </c>
      <c r="D99" s="39">
        <v>35562.0</v>
      </c>
      <c r="E99" s="10" t="s">
        <v>2159</v>
      </c>
      <c r="F99" s="10" t="s">
        <v>2160</v>
      </c>
      <c r="G99" s="10" t="s">
        <v>96</v>
      </c>
      <c r="H99" s="10" t="s">
        <v>2161</v>
      </c>
      <c r="I99" s="10" t="s">
        <v>2162</v>
      </c>
      <c r="J99" s="41" t="s">
        <v>2163</v>
      </c>
      <c r="K99" s="10" t="s">
        <v>44</v>
      </c>
      <c r="M99" s="10" t="s">
        <v>103</v>
      </c>
    </row>
    <row r="100">
      <c r="A100" s="10" t="s">
        <v>21</v>
      </c>
      <c r="B100" s="9" t="s">
        <v>407</v>
      </c>
    </row>
    <row r="101">
      <c r="A101" s="10" t="s">
        <v>21</v>
      </c>
      <c r="B101" s="10" t="s">
        <v>2187</v>
      </c>
      <c r="C101" s="10" t="s">
        <v>2188</v>
      </c>
      <c r="D101" s="39">
        <v>36798.0</v>
      </c>
      <c r="E101" s="10" t="s">
        <v>2189</v>
      </c>
      <c r="F101" s="10" t="s">
        <v>414</v>
      </c>
      <c r="G101" s="10" t="s">
        <v>200</v>
      </c>
      <c r="H101" s="10" t="s">
        <v>453</v>
      </c>
      <c r="I101" s="40" t="s">
        <v>2190</v>
      </c>
      <c r="J101" s="41" t="s">
        <v>2193</v>
      </c>
      <c r="K101" s="10" t="s">
        <v>44</v>
      </c>
    </row>
    <row r="102">
      <c r="A102" s="10" t="s">
        <v>21</v>
      </c>
      <c r="B102" s="10" t="s">
        <v>2194</v>
      </c>
    </row>
    <row r="103">
      <c r="A103" s="9" t="s">
        <v>75</v>
      </c>
      <c r="B103" s="10" t="s">
        <v>2187</v>
      </c>
    </row>
    <row r="104">
      <c r="A104" s="9" t="s">
        <v>75</v>
      </c>
      <c r="B104" s="10" t="s">
        <v>2196</v>
      </c>
      <c r="C104" s="10" t="s">
        <v>2197</v>
      </c>
      <c r="D104" s="39">
        <v>36813.0</v>
      </c>
      <c r="E104" s="10" t="s">
        <v>2198</v>
      </c>
      <c r="F104" s="10" t="s">
        <v>2199</v>
      </c>
      <c r="G104" s="10" t="s">
        <v>200</v>
      </c>
      <c r="H104" s="10" t="s">
        <v>149</v>
      </c>
      <c r="I104" s="40" t="s">
        <v>2200</v>
      </c>
      <c r="J104" s="41" t="s">
        <v>2201</v>
      </c>
      <c r="K104" s="10" t="s">
        <v>44</v>
      </c>
    </row>
    <row r="105">
      <c r="A105" s="10" t="s">
        <v>21</v>
      </c>
      <c r="B105" s="10" t="s">
        <v>92</v>
      </c>
      <c r="C105" s="10" t="s">
        <v>2202</v>
      </c>
      <c r="D105" s="39">
        <v>36023.0</v>
      </c>
      <c r="E105" s="10" t="s">
        <v>2204</v>
      </c>
      <c r="F105" s="10" t="s">
        <v>2115</v>
      </c>
      <c r="G105" s="10" t="s">
        <v>96</v>
      </c>
      <c r="H105" s="10" t="s">
        <v>51</v>
      </c>
      <c r="I105" s="40" t="s">
        <v>2205</v>
      </c>
      <c r="J105" s="41" t="s">
        <v>2206</v>
      </c>
      <c r="K105" s="10" t="s">
        <v>44</v>
      </c>
      <c r="M105" s="10" t="s">
        <v>103</v>
      </c>
    </row>
    <row r="106">
      <c r="A106" s="10" t="s">
        <v>21</v>
      </c>
      <c r="B106" s="10" t="s">
        <v>857</v>
      </c>
      <c r="C106" s="10" t="s">
        <v>2207</v>
      </c>
      <c r="D106" s="39">
        <v>36982.0</v>
      </c>
      <c r="E106" s="10" t="s">
        <v>2208</v>
      </c>
      <c r="F106" s="10">
        <v>3.33</v>
      </c>
      <c r="G106" s="10" t="s">
        <v>842</v>
      </c>
      <c r="H106" s="10">
        <v>3.96</v>
      </c>
      <c r="I106" s="40" t="s">
        <v>2209</v>
      </c>
      <c r="J106" s="41" t="s">
        <v>2211</v>
      </c>
      <c r="K106" s="10" t="s">
        <v>44</v>
      </c>
    </row>
    <row r="107">
      <c r="A107" s="9" t="s">
        <v>75</v>
      </c>
      <c r="B107" s="10" t="s">
        <v>92</v>
      </c>
      <c r="C107" s="10" t="s">
        <v>2212</v>
      </c>
      <c r="D107" s="39">
        <v>35303.0</v>
      </c>
      <c r="E107" s="10" t="s">
        <v>96</v>
      </c>
      <c r="F107" s="10" t="s">
        <v>2115</v>
      </c>
      <c r="G107" s="10" t="s">
        <v>96</v>
      </c>
      <c r="H107" s="10" t="s">
        <v>581</v>
      </c>
      <c r="I107" s="40" t="s">
        <v>2213</v>
      </c>
      <c r="J107" s="41" t="s">
        <v>2215</v>
      </c>
      <c r="K107" s="10" t="s">
        <v>44</v>
      </c>
    </row>
    <row r="108">
      <c r="A108" s="10" t="s">
        <v>21</v>
      </c>
      <c r="B108" s="10" t="s">
        <v>92</v>
      </c>
      <c r="C108" s="10" t="s">
        <v>2216</v>
      </c>
      <c r="D108" s="39">
        <v>37171.0</v>
      </c>
      <c r="E108" s="10" t="s">
        <v>2217</v>
      </c>
      <c r="F108" s="10" t="s">
        <v>552</v>
      </c>
      <c r="G108" s="10" t="s">
        <v>96</v>
      </c>
      <c r="H108" s="10" t="s">
        <v>232</v>
      </c>
      <c r="I108" s="40" t="s">
        <v>2218</v>
      </c>
      <c r="J108" s="41" t="s">
        <v>2220</v>
      </c>
      <c r="K108" s="10" t="s">
        <v>44</v>
      </c>
    </row>
  </sheetData>
  <autoFilter ref="$A$1:$K$109"/>
  <hyperlinks>
    <hyperlink r:id="rId1" ref="I101"/>
    <hyperlink r:id="rId2" ref="I104"/>
    <hyperlink r:id="rId3" ref="I105"/>
    <hyperlink r:id="rId4" ref="I106"/>
    <hyperlink r:id="rId5" ref="I107"/>
    <hyperlink r:id="rId6" ref="I108"/>
  </hyperlinks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7.38"/>
    <col customWidth="1" min="2" max="2" width="118.75"/>
    <col customWidth="1" hidden="1" min="3" max="3" width="4.75"/>
    <col customWidth="1" min="4" max="4" width="11.38"/>
    <col customWidth="1" min="5" max="5" width="12.75"/>
    <col customWidth="1" min="6" max="6" width="8.0"/>
  </cols>
  <sheetData>
    <row r="1"/>
    <row r="2" ht="27.0" customHeight="1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</sheetData>
  <drawing r:id="rId2"/>
  <tableParts count="1"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7.5"/>
    <col customWidth="1" min="2" max="2" width="68.38"/>
    <col customWidth="1" min="3" max="3" width="36.0"/>
    <col customWidth="1" min="4" max="4" width="11.88"/>
    <col customWidth="1" min="5" max="5" width="45.63"/>
    <col customWidth="1" min="6" max="6" width="23.38"/>
    <col customWidth="1" min="7" max="7" width="44.25"/>
    <col customWidth="1" min="8" max="8" width="74.63"/>
    <col customWidth="1" hidden="1" min="9" max="9" width="74.63"/>
    <col hidden="1" min="10" max="10" width="12.63"/>
    <col customWidth="1" min="11" max="11" width="24.88"/>
    <col customWidth="1" min="12" max="12" width="32.63"/>
    <col customWidth="1" min="13" max="13" width="14.5"/>
  </cols>
  <sheetData>
    <row r="1">
      <c r="J1" s="53"/>
      <c r="K1" s="55" t="s">
        <v>2238</v>
      </c>
      <c r="L1" s="55" t="s">
        <v>1</v>
      </c>
      <c r="M1" s="55" t="s">
        <v>2240</v>
      </c>
      <c r="N1" s="56"/>
    </row>
    <row r="2">
      <c r="J2" s="57"/>
      <c r="K2" s="57"/>
      <c r="L2" s="57"/>
      <c r="M2" s="57"/>
      <c r="N2" s="59"/>
    </row>
    <row r="3">
      <c r="J3" s="60"/>
      <c r="K3" s="17" t="s">
        <v>44</v>
      </c>
      <c r="L3" s="60"/>
      <c r="M3" s="17" t="s">
        <v>2243</v>
      </c>
      <c r="N3" s="18"/>
    </row>
    <row r="4">
      <c r="J4" s="57"/>
      <c r="K4" s="24" t="s">
        <v>44</v>
      </c>
      <c r="L4" s="57"/>
      <c r="M4" s="24" t="s">
        <v>2243</v>
      </c>
      <c r="N4" s="25"/>
    </row>
    <row r="5">
      <c r="J5" s="60"/>
      <c r="K5" s="17" t="s">
        <v>44</v>
      </c>
      <c r="L5" s="60"/>
      <c r="M5" s="17" t="s">
        <v>2243</v>
      </c>
      <c r="N5" s="18"/>
    </row>
    <row r="6">
      <c r="J6" s="57"/>
      <c r="K6" s="24" t="s">
        <v>44</v>
      </c>
      <c r="L6" s="57"/>
      <c r="M6" s="24" t="s">
        <v>2243</v>
      </c>
      <c r="N6" s="25"/>
    </row>
    <row r="7">
      <c r="J7" s="60"/>
      <c r="K7" s="17" t="s">
        <v>44</v>
      </c>
      <c r="L7" s="60"/>
      <c r="M7" s="17" t="s">
        <v>2243</v>
      </c>
      <c r="N7" s="18"/>
    </row>
    <row r="8">
      <c r="J8" s="57"/>
      <c r="K8" s="24" t="s">
        <v>54</v>
      </c>
      <c r="L8" s="24" t="s">
        <v>2260</v>
      </c>
      <c r="M8" s="24" t="s">
        <v>2243</v>
      </c>
      <c r="N8" s="25"/>
    </row>
    <row r="9">
      <c r="J9" s="60"/>
      <c r="K9" s="17" t="s">
        <v>44</v>
      </c>
      <c r="M9" s="17" t="s">
        <v>2243</v>
      </c>
      <c r="N9" s="18"/>
    </row>
    <row r="10">
      <c r="J10" s="57"/>
      <c r="K10" s="24" t="s">
        <v>44</v>
      </c>
      <c r="L10" s="57"/>
      <c r="M10" s="24" t="s">
        <v>2243</v>
      </c>
      <c r="N10" s="25"/>
    </row>
    <row r="11">
      <c r="J11" s="60"/>
      <c r="K11" s="17" t="s">
        <v>44</v>
      </c>
      <c r="L11" s="60"/>
      <c r="M11" s="17" t="s">
        <v>2243</v>
      </c>
      <c r="N11" s="18"/>
    </row>
    <row r="12">
      <c r="J12" s="57"/>
      <c r="K12" s="24" t="s">
        <v>44</v>
      </c>
      <c r="L12" s="57"/>
      <c r="M12" s="24" t="s">
        <v>2243</v>
      </c>
      <c r="N12" s="25"/>
    </row>
    <row r="13">
      <c r="J13" s="60"/>
      <c r="K13" s="17" t="s">
        <v>54</v>
      </c>
      <c r="L13" s="17" t="s">
        <v>2276</v>
      </c>
      <c r="M13" s="17" t="s">
        <v>2243</v>
      </c>
      <c r="N13" s="18"/>
    </row>
    <row r="14">
      <c r="J14" s="57"/>
      <c r="K14" s="24" t="s">
        <v>44</v>
      </c>
      <c r="M14" s="24" t="s">
        <v>2243</v>
      </c>
      <c r="N14" s="25"/>
    </row>
    <row r="15">
      <c r="J15" s="60"/>
      <c r="K15" s="17" t="s">
        <v>54</v>
      </c>
      <c r="L15" s="17" t="s">
        <v>2279</v>
      </c>
      <c r="M15" s="17" t="s">
        <v>2243</v>
      </c>
      <c r="N15" s="18"/>
    </row>
    <row r="16">
      <c r="J16" s="57"/>
      <c r="K16" s="24" t="s">
        <v>54</v>
      </c>
      <c r="L16" s="24" t="s">
        <v>2282</v>
      </c>
      <c r="M16" s="24" t="s">
        <v>2243</v>
      </c>
      <c r="N16" s="25"/>
    </row>
    <row r="17">
      <c r="J17" s="60"/>
      <c r="K17" s="17" t="s">
        <v>44</v>
      </c>
      <c r="L17" s="60"/>
      <c r="M17" s="17" t="s">
        <v>2243</v>
      </c>
      <c r="N17" s="18"/>
    </row>
    <row r="18">
      <c r="J18" s="57"/>
      <c r="K18" s="24" t="s">
        <v>54</v>
      </c>
      <c r="L18" s="24" t="s">
        <v>2290</v>
      </c>
      <c r="M18" s="24" t="s">
        <v>2243</v>
      </c>
      <c r="N18" s="25"/>
    </row>
    <row r="19">
      <c r="J19" s="60"/>
      <c r="K19" s="17" t="s">
        <v>44</v>
      </c>
      <c r="L19" s="60"/>
      <c r="M19" s="17" t="s">
        <v>2243</v>
      </c>
      <c r="N19" s="18"/>
    </row>
    <row r="20">
      <c r="J20" s="57"/>
      <c r="K20" s="24" t="s">
        <v>44</v>
      </c>
      <c r="L20" s="57"/>
      <c r="M20" s="24" t="s">
        <v>2243</v>
      </c>
      <c r="N20" s="25"/>
    </row>
    <row r="21">
      <c r="J21" s="60"/>
      <c r="K21" s="17" t="s">
        <v>44</v>
      </c>
      <c r="L21" s="60"/>
      <c r="M21" s="17" t="s">
        <v>2243</v>
      </c>
      <c r="N21" s="18"/>
    </row>
    <row r="22">
      <c r="J22" s="57"/>
      <c r="K22" s="24" t="s">
        <v>44</v>
      </c>
      <c r="L22" s="57"/>
      <c r="M22" s="24" t="s">
        <v>2243</v>
      </c>
      <c r="N22" s="25"/>
    </row>
    <row r="23">
      <c r="J23" s="60"/>
      <c r="K23" s="17" t="s">
        <v>44</v>
      </c>
      <c r="L23" s="60"/>
      <c r="M23" s="17" t="s">
        <v>2243</v>
      </c>
      <c r="N23" s="18"/>
    </row>
    <row r="24">
      <c r="J24" s="57"/>
      <c r="K24" s="24" t="s">
        <v>44</v>
      </c>
      <c r="L24" s="57"/>
      <c r="M24" s="24" t="s">
        <v>2243</v>
      </c>
      <c r="N24" s="25"/>
    </row>
    <row r="25">
      <c r="J25" s="60"/>
      <c r="K25" s="17" t="s">
        <v>44</v>
      </c>
      <c r="L25" s="60"/>
      <c r="M25" s="17" t="s">
        <v>2243</v>
      </c>
      <c r="N25" s="18"/>
    </row>
    <row r="26">
      <c r="J26" s="57"/>
      <c r="K26" s="24" t="s">
        <v>54</v>
      </c>
      <c r="L26" s="24" t="s">
        <v>2314</v>
      </c>
      <c r="M26" s="24" t="s">
        <v>2243</v>
      </c>
      <c r="N26" s="25"/>
    </row>
    <row r="27">
      <c r="J27" s="60"/>
      <c r="K27" s="17" t="s">
        <v>44</v>
      </c>
      <c r="L27" s="60"/>
      <c r="M27" s="17" t="s">
        <v>2243</v>
      </c>
      <c r="N27" s="18"/>
    </row>
    <row r="28">
      <c r="J28" s="57"/>
      <c r="K28" s="24" t="s">
        <v>44</v>
      </c>
      <c r="L28" s="57"/>
      <c r="M28" s="24" t="s">
        <v>2243</v>
      </c>
      <c r="N28" s="25"/>
    </row>
    <row r="29">
      <c r="J29" s="60"/>
      <c r="K29" s="17" t="s">
        <v>44</v>
      </c>
      <c r="L29" s="60"/>
      <c r="M29" s="17" t="s">
        <v>2243</v>
      </c>
      <c r="N29" s="18"/>
    </row>
    <row r="30">
      <c r="J30" s="57"/>
      <c r="K30" s="24" t="s">
        <v>44</v>
      </c>
      <c r="L30" s="57"/>
      <c r="M30" s="24" t="s">
        <v>2243</v>
      </c>
      <c r="N30" s="25"/>
    </row>
    <row r="31">
      <c r="J31" s="60"/>
      <c r="K31" s="17" t="s">
        <v>44</v>
      </c>
      <c r="L31" s="60"/>
      <c r="M31" s="17" t="s">
        <v>2243</v>
      </c>
      <c r="N31" s="18"/>
    </row>
    <row r="32">
      <c r="J32" s="57"/>
      <c r="K32" s="24" t="s">
        <v>44</v>
      </c>
      <c r="L32" s="57"/>
      <c r="M32" s="24" t="s">
        <v>2243</v>
      </c>
      <c r="N32" s="25"/>
    </row>
    <row r="33">
      <c r="J33" s="60"/>
      <c r="K33" s="17" t="s">
        <v>44</v>
      </c>
      <c r="L33" s="60"/>
      <c r="M33" s="17" t="s">
        <v>2243</v>
      </c>
      <c r="N33" s="18"/>
    </row>
    <row r="34">
      <c r="J34" s="57"/>
      <c r="K34" s="24" t="s">
        <v>44</v>
      </c>
      <c r="L34" s="57"/>
      <c r="M34" s="24" t="s">
        <v>2243</v>
      </c>
      <c r="N34" s="23" t="s">
        <v>2331</v>
      </c>
    </row>
    <row r="35">
      <c r="J35" s="60"/>
      <c r="K35" s="17" t="s">
        <v>44</v>
      </c>
      <c r="L35" s="60"/>
      <c r="M35" s="17" t="s">
        <v>2243</v>
      </c>
      <c r="N35" s="18"/>
    </row>
    <row r="36">
      <c r="J36" s="57"/>
      <c r="K36" s="24" t="s">
        <v>44</v>
      </c>
      <c r="L36" s="57"/>
      <c r="M36" s="24" t="s">
        <v>2243</v>
      </c>
      <c r="N36" s="25"/>
    </row>
    <row r="37">
      <c r="J37" s="60"/>
      <c r="K37" s="17" t="s">
        <v>44</v>
      </c>
      <c r="L37" s="60"/>
      <c r="M37" s="17" t="s">
        <v>2243</v>
      </c>
      <c r="N37" s="18"/>
    </row>
    <row r="38">
      <c r="J38" s="57"/>
      <c r="K38" s="24" t="s">
        <v>54</v>
      </c>
      <c r="L38" s="24" t="s">
        <v>2337</v>
      </c>
      <c r="M38" s="24" t="s">
        <v>2243</v>
      </c>
      <c r="N38" s="25"/>
    </row>
    <row r="39">
      <c r="J39" s="60"/>
      <c r="K39" s="17" t="s">
        <v>44</v>
      </c>
      <c r="L39" s="60"/>
      <c r="M39" s="17" t="s">
        <v>2243</v>
      </c>
      <c r="N39" s="18"/>
    </row>
    <row r="40">
      <c r="J40" s="57"/>
      <c r="K40" s="24" t="s">
        <v>44</v>
      </c>
      <c r="L40" s="57"/>
      <c r="M40" s="24" t="s">
        <v>2243</v>
      </c>
      <c r="N40" s="25"/>
    </row>
    <row r="41">
      <c r="J41" s="60"/>
      <c r="K41" s="17" t="s">
        <v>44</v>
      </c>
      <c r="L41" s="60"/>
      <c r="M41" s="17" t="s">
        <v>2243</v>
      </c>
      <c r="N41" s="18"/>
    </row>
    <row r="42">
      <c r="J42" s="57"/>
      <c r="K42" s="24" t="s">
        <v>44</v>
      </c>
      <c r="L42" s="57"/>
      <c r="M42" s="24" t="s">
        <v>2243</v>
      </c>
      <c r="N42" s="25"/>
    </row>
    <row r="43">
      <c r="J43" s="60"/>
      <c r="K43" s="17" t="s">
        <v>44</v>
      </c>
      <c r="L43" s="60"/>
      <c r="M43" s="17" t="s">
        <v>2243</v>
      </c>
      <c r="N43" s="18"/>
    </row>
    <row r="44">
      <c r="J44" s="57"/>
      <c r="K44" s="24" t="s">
        <v>44</v>
      </c>
      <c r="L44" s="57"/>
      <c r="M44" s="24" t="s">
        <v>2243</v>
      </c>
      <c r="N44" s="25"/>
    </row>
    <row r="45">
      <c r="J45" s="60"/>
      <c r="K45" s="17" t="s">
        <v>44</v>
      </c>
      <c r="L45" s="60"/>
      <c r="M45" s="17" t="s">
        <v>2243</v>
      </c>
      <c r="N45" s="18"/>
    </row>
    <row r="46">
      <c r="J46" s="57"/>
      <c r="K46" s="24" t="s">
        <v>44</v>
      </c>
      <c r="L46" s="57"/>
      <c r="M46" s="24" t="s">
        <v>2243</v>
      </c>
      <c r="N46" s="25"/>
    </row>
    <row r="47">
      <c r="J47" s="60"/>
      <c r="K47" s="17" t="s">
        <v>44</v>
      </c>
      <c r="L47" s="60"/>
      <c r="M47" s="17" t="s">
        <v>2243</v>
      </c>
      <c r="N47" s="18"/>
    </row>
    <row r="48">
      <c r="J48" s="57"/>
      <c r="K48" s="24" t="s">
        <v>54</v>
      </c>
      <c r="L48" s="24" t="s">
        <v>2279</v>
      </c>
      <c r="M48" s="24" t="s">
        <v>2366</v>
      </c>
      <c r="N48" s="25"/>
    </row>
    <row r="49">
      <c r="J49" s="60"/>
      <c r="K49" s="17" t="s">
        <v>44</v>
      </c>
      <c r="L49" s="60"/>
      <c r="M49" s="17" t="s">
        <v>2366</v>
      </c>
      <c r="N49" s="18"/>
    </row>
    <row r="50">
      <c r="J50" s="57"/>
      <c r="K50" s="24" t="s">
        <v>44</v>
      </c>
      <c r="L50" s="57"/>
      <c r="M50" s="24" t="s">
        <v>2366</v>
      </c>
      <c r="N50" s="25"/>
    </row>
    <row r="51">
      <c r="J51" s="60"/>
      <c r="K51" s="17" t="s">
        <v>44</v>
      </c>
      <c r="L51" s="60"/>
      <c r="M51" s="17" t="s">
        <v>2366</v>
      </c>
      <c r="N51" s="18"/>
    </row>
    <row r="52">
      <c r="J52" s="57"/>
      <c r="K52" s="24" t="s">
        <v>54</v>
      </c>
      <c r="L52" s="24" t="s">
        <v>2379</v>
      </c>
      <c r="M52" s="24" t="s">
        <v>2366</v>
      </c>
      <c r="N52" s="23" t="s">
        <v>2380</v>
      </c>
    </row>
    <row r="53">
      <c r="J53" s="60"/>
      <c r="K53" s="17" t="s">
        <v>44</v>
      </c>
      <c r="L53" s="17" t="s">
        <v>2384</v>
      </c>
      <c r="M53" s="17" t="s">
        <v>2366</v>
      </c>
      <c r="N53" s="18"/>
    </row>
    <row r="54">
      <c r="J54" s="57"/>
      <c r="K54" s="24" t="s">
        <v>44</v>
      </c>
      <c r="L54" s="24" t="s">
        <v>2387</v>
      </c>
      <c r="M54" s="24" t="s">
        <v>2366</v>
      </c>
      <c r="N54" s="25"/>
    </row>
    <row r="55">
      <c r="J55" s="60"/>
      <c r="K55" s="17" t="s">
        <v>44</v>
      </c>
      <c r="L55" s="17" t="s">
        <v>2387</v>
      </c>
      <c r="M55" s="17" t="s">
        <v>2366</v>
      </c>
      <c r="N55" s="18"/>
    </row>
    <row r="56">
      <c r="J56" s="57"/>
      <c r="K56" s="24" t="s">
        <v>44</v>
      </c>
      <c r="L56" s="24" t="s">
        <v>2384</v>
      </c>
      <c r="M56" s="24" t="s">
        <v>2366</v>
      </c>
      <c r="N56" s="25"/>
    </row>
    <row r="57">
      <c r="J57" s="60"/>
      <c r="K57" s="17" t="s">
        <v>44</v>
      </c>
      <c r="L57" s="17" t="s">
        <v>2400</v>
      </c>
      <c r="M57" s="17" t="s">
        <v>2366</v>
      </c>
      <c r="N57" s="18"/>
    </row>
    <row r="58">
      <c r="J58" s="57"/>
      <c r="K58" s="24" t="s">
        <v>44</v>
      </c>
      <c r="L58" s="57"/>
      <c r="M58" s="24" t="s">
        <v>2366</v>
      </c>
      <c r="N58" s="25"/>
    </row>
    <row r="59">
      <c r="J59" s="60"/>
      <c r="K59" s="17" t="s">
        <v>54</v>
      </c>
      <c r="L59" s="17" t="s">
        <v>1073</v>
      </c>
      <c r="M59" s="17" t="s">
        <v>2366</v>
      </c>
      <c r="N59" s="18"/>
    </row>
    <row r="60">
      <c r="J60" s="57"/>
      <c r="K60" s="24" t="s">
        <v>44</v>
      </c>
      <c r="L60" s="57"/>
      <c r="M60" s="24" t="s">
        <v>2366</v>
      </c>
      <c r="N60" s="25"/>
    </row>
    <row r="61">
      <c r="J61" s="60"/>
      <c r="K61" s="17" t="s">
        <v>44</v>
      </c>
      <c r="L61" s="17" t="s">
        <v>2414</v>
      </c>
      <c r="M61" s="17" t="s">
        <v>2366</v>
      </c>
      <c r="N61" s="18"/>
    </row>
    <row r="62">
      <c r="J62" s="57"/>
      <c r="K62" s="24" t="s">
        <v>44</v>
      </c>
      <c r="L62" s="57"/>
      <c r="M62" s="24" t="s">
        <v>2366</v>
      </c>
      <c r="N62" s="25"/>
    </row>
    <row r="63">
      <c r="J63" s="60"/>
      <c r="K63" s="17" t="s">
        <v>44</v>
      </c>
      <c r="L63" s="60"/>
      <c r="M63" s="17" t="s">
        <v>2366</v>
      </c>
      <c r="N63" s="18"/>
    </row>
    <row r="64">
      <c r="J64" s="57"/>
      <c r="K64" s="24" t="s">
        <v>44</v>
      </c>
      <c r="L64" s="57"/>
      <c r="M64" s="24" t="s">
        <v>2366</v>
      </c>
      <c r="N64" s="25"/>
    </row>
    <row r="65">
      <c r="J65" s="60"/>
      <c r="K65" s="17" t="s">
        <v>44</v>
      </c>
      <c r="L65" s="60"/>
      <c r="M65" s="17" t="s">
        <v>2366</v>
      </c>
      <c r="N65" s="18"/>
    </row>
    <row r="66">
      <c r="J66" s="57"/>
      <c r="K66" s="24" t="s">
        <v>54</v>
      </c>
      <c r="L66" s="24" t="s">
        <v>2440</v>
      </c>
      <c r="M66" s="24" t="s">
        <v>2366</v>
      </c>
      <c r="N66" s="25"/>
    </row>
    <row r="67">
      <c r="J67" s="60"/>
      <c r="K67" s="17" t="s">
        <v>44</v>
      </c>
      <c r="L67" s="60"/>
      <c r="M67" s="17" t="s">
        <v>2366</v>
      </c>
      <c r="N67" s="18"/>
    </row>
    <row r="68">
      <c r="J68" s="57"/>
      <c r="K68" s="24" t="s">
        <v>54</v>
      </c>
      <c r="L68" s="24" t="s">
        <v>2448</v>
      </c>
      <c r="M68" s="24" t="s">
        <v>2366</v>
      </c>
      <c r="N68" s="25"/>
    </row>
    <row r="69">
      <c r="J69" s="60"/>
      <c r="K69" s="17" t="s">
        <v>54</v>
      </c>
      <c r="L69" s="17" t="s">
        <v>2290</v>
      </c>
      <c r="M69" s="17" t="s">
        <v>2366</v>
      </c>
      <c r="N69" s="18"/>
    </row>
    <row r="70">
      <c r="J70" s="57"/>
      <c r="K70" s="24" t="s">
        <v>44</v>
      </c>
      <c r="L70" s="24" t="s">
        <v>2384</v>
      </c>
      <c r="M70" s="24" t="s">
        <v>2366</v>
      </c>
      <c r="N70" s="25"/>
    </row>
    <row r="71">
      <c r="J71" s="60"/>
      <c r="K71" s="17" t="s">
        <v>44</v>
      </c>
      <c r="L71" s="60"/>
      <c r="M71" s="17" t="s">
        <v>2366</v>
      </c>
      <c r="N71" s="18"/>
    </row>
    <row r="72">
      <c r="J72" s="57"/>
      <c r="K72" s="24" t="s">
        <v>54</v>
      </c>
      <c r="L72" s="24" t="s">
        <v>2463</v>
      </c>
      <c r="M72" s="24" t="s">
        <v>2366</v>
      </c>
      <c r="N72" s="25"/>
    </row>
    <row r="73">
      <c r="J73" s="60"/>
      <c r="K73" s="17" t="s">
        <v>44</v>
      </c>
      <c r="L73" s="17" t="s">
        <v>2470</v>
      </c>
      <c r="M73" s="17" t="s">
        <v>2366</v>
      </c>
      <c r="N73" s="18"/>
    </row>
    <row r="74">
      <c r="J74" s="57"/>
      <c r="K74" s="24" t="s">
        <v>54</v>
      </c>
      <c r="L74" s="24" t="s">
        <v>2474</v>
      </c>
      <c r="M74" s="24" t="s">
        <v>2366</v>
      </c>
      <c r="N74" s="25"/>
    </row>
    <row r="75">
      <c r="J75" s="60"/>
      <c r="K75" s="17" t="s">
        <v>44</v>
      </c>
      <c r="L75" s="60"/>
      <c r="M75" s="17" t="s">
        <v>2366</v>
      </c>
      <c r="N75" s="18"/>
    </row>
    <row r="76">
      <c r="J76" s="57"/>
      <c r="K76" s="24" t="s">
        <v>44</v>
      </c>
      <c r="L76" s="57"/>
      <c r="M76" s="24" t="s">
        <v>2366</v>
      </c>
      <c r="N76" s="25"/>
    </row>
    <row r="77">
      <c r="J77" s="60"/>
      <c r="K77" s="17" t="s">
        <v>44</v>
      </c>
      <c r="L77" s="60"/>
      <c r="M77" s="17" t="s">
        <v>2366</v>
      </c>
      <c r="N77" s="18"/>
    </row>
    <row r="78">
      <c r="J78" s="57"/>
      <c r="K78" s="24" t="s">
        <v>44</v>
      </c>
      <c r="L78" s="24" t="s">
        <v>2384</v>
      </c>
      <c r="M78" s="24" t="s">
        <v>2366</v>
      </c>
      <c r="N78" s="25"/>
    </row>
    <row r="79">
      <c r="J79" s="60"/>
      <c r="K79" s="17" t="s">
        <v>44</v>
      </c>
      <c r="L79" s="60"/>
      <c r="M79" s="17" t="s">
        <v>2366</v>
      </c>
      <c r="N79" s="18"/>
    </row>
    <row r="80">
      <c r="J80" s="57"/>
      <c r="K80" s="24" t="s">
        <v>44</v>
      </c>
      <c r="L80" s="57"/>
      <c r="M80" s="24" t="s">
        <v>2366</v>
      </c>
      <c r="N80" s="25"/>
    </row>
    <row r="81">
      <c r="J81" s="60"/>
      <c r="K81" s="17" t="s">
        <v>44</v>
      </c>
      <c r="L81" s="60"/>
      <c r="M81" s="17" t="s">
        <v>2366</v>
      </c>
      <c r="N81" s="18"/>
    </row>
    <row r="82">
      <c r="J82" s="57"/>
      <c r="K82" s="24" t="s">
        <v>44</v>
      </c>
      <c r="L82" s="57"/>
      <c r="M82" s="24" t="s">
        <v>2366</v>
      </c>
      <c r="N82" s="25"/>
    </row>
    <row r="83">
      <c r="J83" s="60"/>
      <c r="K83" s="17" t="s">
        <v>44</v>
      </c>
      <c r="L83" s="60"/>
      <c r="M83" s="17" t="s">
        <v>2366</v>
      </c>
      <c r="N83" s="18"/>
    </row>
    <row r="84">
      <c r="J84" s="57"/>
      <c r="K84" s="24" t="s">
        <v>44</v>
      </c>
      <c r="L84" s="57"/>
      <c r="M84" s="24" t="s">
        <v>2366</v>
      </c>
      <c r="N84" s="25"/>
    </row>
    <row r="85">
      <c r="J85" s="60"/>
      <c r="K85" s="17" t="s">
        <v>54</v>
      </c>
      <c r="L85" s="17" t="s">
        <v>2502</v>
      </c>
      <c r="M85" s="17" t="s">
        <v>2366</v>
      </c>
      <c r="N85" s="18"/>
    </row>
    <row r="86">
      <c r="J86" s="57"/>
      <c r="K86" s="24" t="s">
        <v>54</v>
      </c>
      <c r="L86" s="24" t="s">
        <v>2505</v>
      </c>
      <c r="M86" s="24" t="s">
        <v>2366</v>
      </c>
      <c r="N86" s="25"/>
    </row>
    <row r="87">
      <c r="J87" s="60"/>
      <c r="K87" s="17" t="s">
        <v>44</v>
      </c>
      <c r="L87" s="60"/>
      <c r="M87" s="17" t="s">
        <v>2366</v>
      </c>
      <c r="N87" s="18"/>
    </row>
    <row r="88">
      <c r="J88" s="57"/>
      <c r="K88" s="24" t="s">
        <v>54</v>
      </c>
      <c r="L88" s="24" t="s">
        <v>2509</v>
      </c>
      <c r="M88" s="24" t="s">
        <v>2366</v>
      </c>
      <c r="N88" s="23" t="s">
        <v>2510</v>
      </c>
    </row>
    <row r="89">
      <c r="J89" s="60"/>
      <c r="K89" s="17" t="s">
        <v>44</v>
      </c>
      <c r="L89" s="60"/>
      <c r="M89" s="17" t="s">
        <v>2366</v>
      </c>
      <c r="N89" s="18"/>
    </row>
    <row r="90">
      <c r="J90" s="57"/>
      <c r="K90" s="24" t="s">
        <v>44</v>
      </c>
      <c r="L90" s="57"/>
      <c r="M90" s="24" t="s">
        <v>2366</v>
      </c>
      <c r="N90" s="25"/>
    </row>
    <row r="91">
      <c r="J91" s="60"/>
      <c r="K91" s="17" t="s">
        <v>44</v>
      </c>
      <c r="L91" s="17" t="s">
        <v>2384</v>
      </c>
      <c r="M91" s="17" t="s">
        <v>2366</v>
      </c>
      <c r="N91" s="18"/>
    </row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>
      <c r="F218" s="66"/>
    </row>
    <row r="219">
      <c r="F219" s="66"/>
    </row>
    <row r="220">
      <c r="F220" s="66"/>
    </row>
    <row r="221">
      <c r="F221" s="66"/>
    </row>
    <row r="222">
      <c r="F222" s="66"/>
    </row>
    <row r="223">
      <c r="F223" s="66"/>
    </row>
    <row r="224">
      <c r="F224" s="66"/>
    </row>
    <row r="225">
      <c r="F225" s="66"/>
    </row>
    <row r="226">
      <c r="F226" s="66"/>
    </row>
    <row r="227">
      <c r="F227" s="66"/>
    </row>
    <row r="228">
      <c r="F228" s="66"/>
    </row>
    <row r="229">
      <c r="F229" s="66"/>
    </row>
    <row r="230">
      <c r="F230" s="66"/>
    </row>
    <row r="231">
      <c r="F231" s="66"/>
    </row>
    <row r="232">
      <c r="F232" s="66"/>
    </row>
    <row r="233">
      <c r="F233" s="66"/>
    </row>
    <row r="234">
      <c r="F234" s="66"/>
    </row>
    <row r="235">
      <c r="F235" s="66"/>
    </row>
    <row r="236">
      <c r="F236" s="66"/>
    </row>
    <row r="237">
      <c r="F237" s="66"/>
    </row>
    <row r="238">
      <c r="F238" s="66"/>
    </row>
    <row r="239">
      <c r="F239" s="66"/>
    </row>
    <row r="240">
      <c r="F240" s="66"/>
    </row>
    <row r="241">
      <c r="F241" s="66"/>
    </row>
    <row r="242">
      <c r="F242" s="66"/>
    </row>
    <row r="243">
      <c r="F243" s="66"/>
    </row>
    <row r="244">
      <c r="F244" s="66"/>
    </row>
    <row r="245">
      <c r="F245" s="66"/>
    </row>
    <row r="246">
      <c r="F246" s="66"/>
    </row>
    <row r="247">
      <c r="F247" s="66"/>
    </row>
    <row r="248">
      <c r="F248" s="66"/>
    </row>
    <row r="249">
      <c r="F249" s="66"/>
    </row>
    <row r="250">
      <c r="F250" s="66"/>
    </row>
    <row r="251">
      <c r="F251" s="66"/>
    </row>
    <row r="252">
      <c r="F252" s="66"/>
    </row>
    <row r="253">
      <c r="F253" s="66"/>
    </row>
    <row r="254">
      <c r="F254" s="66"/>
    </row>
    <row r="255">
      <c r="F255" s="66"/>
    </row>
    <row r="256">
      <c r="F256" s="66"/>
    </row>
    <row r="257">
      <c r="F257" s="66"/>
    </row>
    <row r="258">
      <c r="F258" s="66"/>
    </row>
    <row r="259">
      <c r="F259" s="66"/>
    </row>
    <row r="260">
      <c r="F260" s="66"/>
    </row>
    <row r="261">
      <c r="F261" s="66"/>
    </row>
    <row r="262">
      <c r="F262" s="66"/>
    </row>
    <row r="263">
      <c r="F263" s="66"/>
    </row>
    <row r="264">
      <c r="F264" s="66"/>
    </row>
    <row r="265">
      <c r="F265" s="66"/>
    </row>
    <row r="266">
      <c r="F266" s="66"/>
    </row>
    <row r="267">
      <c r="F267" s="66"/>
    </row>
    <row r="268">
      <c r="F268" s="66"/>
    </row>
    <row r="269">
      <c r="F269" s="66"/>
    </row>
    <row r="270">
      <c r="F270" s="66"/>
    </row>
    <row r="271">
      <c r="F271" s="66"/>
    </row>
    <row r="272">
      <c r="F272" s="66"/>
    </row>
    <row r="273">
      <c r="F273" s="66"/>
    </row>
    <row r="274">
      <c r="F274" s="66"/>
    </row>
    <row r="275">
      <c r="F275" s="66"/>
    </row>
    <row r="276">
      <c r="F276" s="66"/>
    </row>
    <row r="277">
      <c r="F277" s="66"/>
    </row>
    <row r="278">
      <c r="F278" s="66"/>
    </row>
    <row r="279">
      <c r="F279" s="66"/>
    </row>
    <row r="280">
      <c r="F280" s="66"/>
    </row>
    <row r="281">
      <c r="F281" s="66"/>
    </row>
    <row r="282">
      <c r="F282" s="66"/>
    </row>
    <row r="283">
      <c r="F283" s="66"/>
    </row>
    <row r="284">
      <c r="F284" s="66"/>
    </row>
    <row r="285">
      <c r="F285" s="66"/>
    </row>
    <row r="286">
      <c r="F286" s="66"/>
    </row>
    <row r="287">
      <c r="F287" s="66"/>
    </row>
    <row r="288">
      <c r="F288" s="66"/>
    </row>
    <row r="289">
      <c r="F289" s="66"/>
    </row>
    <row r="290">
      <c r="F290" s="66"/>
    </row>
    <row r="291">
      <c r="F291" s="66"/>
    </row>
    <row r="292">
      <c r="F292" s="66"/>
    </row>
    <row r="293">
      <c r="F293" s="66"/>
    </row>
    <row r="294">
      <c r="F294" s="66"/>
    </row>
    <row r="295">
      <c r="F295" s="66"/>
    </row>
    <row r="296">
      <c r="F296" s="66"/>
    </row>
    <row r="297">
      <c r="F297" s="66"/>
    </row>
    <row r="298">
      <c r="F298" s="66"/>
    </row>
    <row r="299">
      <c r="F299" s="66"/>
    </row>
    <row r="300">
      <c r="F300" s="66"/>
    </row>
    <row r="301">
      <c r="F301" s="66"/>
    </row>
    <row r="302">
      <c r="F302" s="66"/>
    </row>
    <row r="303">
      <c r="F303" s="66"/>
    </row>
    <row r="304">
      <c r="F304" s="66"/>
    </row>
    <row r="305">
      <c r="F305" s="66"/>
    </row>
    <row r="306">
      <c r="F306" s="66"/>
    </row>
    <row r="307">
      <c r="F307" s="66"/>
    </row>
    <row r="308">
      <c r="F308" s="66"/>
    </row>
    <row r="309">
      <c r="F309" s="66"/>
    </row>
    <row r="310">
      <c r="F310" s="66"/>
    </row>
    <row r="311">
      <c r="F311" s="66"/>
    </row>
    <row r="312">
      <c r="F312" s="66"/>
    </row>
    <row r="313">
      <c r="F313" s="66"/>
    </row>
    <row r="314">
      <c r="F314" s="66"/>
    </row>
    <row r="315">
      <c r="F315" s="66"/>
    </row>
    <row r="316">
      <c r="F316" s="66"/>
    </row>
    <row r="317">
      <c r="F317" s="66"/>
    </row>
    <row r="318">
      <c r="F318" s="66"/>
    </row>
    <row r="319">
      <c r="F319" s="66"/>
    </row>
    <row r="320">
      <c r="F320" s="66"/>
    </row>
    <row r="321">
      <c r="F321" s="66"/>
    </row>
    <row r="322">
      <c r="F322" s="66"/>
    </row>
    <row r="323">
      <c r="F323" s="66"/>
    </row>
    <row r="324">
      <c r="F324" s="66"/>
    </row>
    <row r="325">
      <c r="F325" s="66"/>
    </row>
    <row r="326">
      <c r="F326" s="66"/>
    </row>
    <row r="327">
      <c r="F327" s="66"/>
    </row>
    <row r="328">
      <c r="F328" s="66"/>
    </row>
    <row r="329">
      <c r="F329" s="66"/>
    </row>
    <row r="330">
      <c r="F330" s="66"/>
    </row>
    <row r="331">
      <c r="F331" s="66"/>
    </row>
    <row r="332">
      <c r="F332" s="66"/>
    </row>
    <row r="333">
      <c r="F333" s="66"/>
    </row>
    <row r="334">
      <c r="F334" s="66"/>
    </row>
    <row r="335">
      <c r="F335" s="66"/>
    </row>
    <row r="336">
      <c r="F336" s="66"/>
    </row>
    <row r="337">
      <c r="F337" s="66"/>
    </row>
    <row r="338">
      <c r="F338" s="66"/>
    </row>
    <row r="339">
      <c r="F339" s="66"/>
    </row>
    <row r="340">
      <c r="F340" s="66"/>
    </row>
    <row r="341">
      <c r="F341" s="66"/>
    </row>
    <row r="342">
      <c r="F342" s="66"/>
    </row>
    <row r="343">
      <c r="F343" s="66"/>
    </row>
    <row r="344">
      <c r="F344" s="66"/>
    </row>
    <row r="345">
      <c r="F345" s="66"/>
    </row>
    <row r="346">
      <c r="F346" s="66"/>
    </row>
    <row r="347">
      <c r="F347" s="66"/>
    </row>
    <row r="348">
      <c r="F348" s="66"/>
    </row>
    <row r="349">
      <c r="F349" s="66"/>
    </row>
    <row r="350">
      <c r="F350" s="66"/>
    </row>
    <row r="351">
      <c r="F351" s="66"/>
    </row>
    <row r="352">
      <c r="F352" s="66"/>
    </row>
    <row r="353">
      <c r="F353" s="66"/>
    </row>
    <row r="354">
      <c r="F354" s="66"/>
    </row>
    <row r="355">
      <c r="F355" s="66"/>
    </row>
    <row r="356">
      <c r="F356" s="66"/>
    </row>
    <row r="357">
      <c r="F357" s="66"/>
    </row>
    <row r="358">
      <c r="F358" s="66"/>
    </row>
    <row r="359">
      <c r="F359" s="66"/>
    </row>
    <row r="360">
      <c r="F360" s="66"/>
    </row>
    <row r="361">
      <c r="F361" s="66"/>
    </row>
    <row r="362">
      <c r="F362" s="66"/>
    </row>
    <row r="363">
      <c r="F363" s="66"/>
    </row>
    <row r="364">
      <c r="F364" s="66"/>
    </row>
    <row r="365">
      <c r="F365" s="66"/>
    </row>
    <row r="366">
      <c r="F366" s="66"/>
    </row>
    <row r="367">
      <c r="F367" s="66"/>
    </row>
    <row r="368">
      <c r="F368" s="66"/>
    </row>
    <row r="369">
      <c r="F369" s="66"/>
    </row>
    <row r="370">
      <c r="F370" s="66"/>
    </row>
    <row r="371">
      <c r="F371" s="66"/>
    </row>
    <row r="372">
      <c r="F372" s="66"/>
    </row>
    <row r="373">
      <c r="F373" s="66"/>
    </row>
    <row r="374">
      <c r="F374" s="66"/>
    </row>
    <row r="375">
      <c r="F375" s="66"/>
    </row>
    <row r="376">
      <c r="F376" s="66"/>
    </row>
    <row r="377">
      <c r="F377" s="66"/>
    </row>
    <row r="378">
      <c r="F378" s="66"/>
    </row>
    <row r="379">
      <c r="F379" s="66"/>
    </row>
    <row r="380">
      <c r="F380" s="66"/>
    </row>
    <row r="381">
      <c r="F381" s="66"/>
    </row>
    <row r="382">
      <c r="F382" s="66"/>
    </row>
    <row r="383">
      <c r="F383" s="66"/>
    </row>
    <row r="384">
      <c r="F384" s="66"/>
    </row>
    <row r="385">
      <c r="F385" s="66"/>
    </row>
    <row r="386">
      <c r="F386" s="66"/>
    </row>
    <row r="387">
      <c r="F387" s="66"/>
    </row>
    <row r="388">
      <c r="F388" s="66"/>
    </row>
    <row r="389">
      <c r="F389" s="66"/>
    </row>
    <row r="390">
      <c r="F390" s="66"/>
    </row>
    <row r="391">
      <c r="F391" s="66"/>
    </row>
    <row r="392">
      <c r="F392" s="66"/>
    </row>
    <row r="393">
      <c r="F393" s="66"/>
    </row>
    <row r="394">
      <c r="F394" s="66"/>
    </row>
    <row r="395">
      <c r="F395" s="66"/>
    </row>
    <row r="396">
      <c r="F396" s="66"/>
    </row>
    <row r="397">
      <c r="F397" s="66"/>
    </row>
    <row r="398">
      <c r="F398" s="66"/>
    </row>
    <row r="399">
      <c r="F399" s="66"/>
    </row>
    <row r="400">
      <c r="F400" s="66"/>
    </row>
    <row r="401">
      <c r="F401" s="66"/>
    </row>
    <row r="402">
      <c r="F402" s="66"/>
    </row>
    <row r="403">
      <c r="F403" s="66"/>
    </row>
    <row r="404">
      <c r="F404" s="66"/>
    </row>
    <row r="405">
      <c r="F405" s="66"/>
    </row>
    <row r="406">
      <c r="F406" s="66"/>
    </row>
    <row r="407">
      <c r="F407" s="66"/>
    </row>
    <row r="408">
      <c r="F408" s="66"/>
    </row>
    <row r="409">
      <c r="F409" s="66"/>
    </row>
    <row r="410">
      <c r="F410" s="66"/>
    </row>
    <row r="411">
      <c r="F411" s="66"/>
    </row>
    <row r="412">
      <c r="F412" s="66"/>
    </row>
    <row r="413">
      <c r="F413" s="66"/>
    </row>
    <row r="414">
      <c r="F414" s="66"/>
    </row>
    <row r="415">
      <c r="F415" s="66"/>
    </row>
    <row r="416">
      <c r="F416" s="66"/>
    </row>
    <row r="417">
      <c r="F417" s="66"/>
    </row>
    <row r="418">
      <c r="F418" s="66"/>
    </row>
    <row r="419">
      <c r="F419" s="66"/>
    </row>
    <row r="420">
      <c r="F420" s="66"/>
    </row>
    <row r="421">
      <c r="F421" s="66"/>
    </row>
    <row r="422">
      <c r="F422" s="66"/>
    </row>
    <row r="423">
      <c r="F423" s="66"/>
    </row>
    <row r="424">
      <c r="F424" s="66"/>
    </row>
    <row r="425">
      <c r="F425" s="66"/>
    </row>
    <row r="426">
      <c r="F426" s="66"/>
    </row>
    <row r="427">
      <c r="F427" s="66"/>
    </row>
    <row r="428">
      <c r="F428" s="66"/>
    </row>
    <row r="429">
      <c r="F429" s="66"/>
    </row>
    <row r="430">
      <c r="F430" s="66"/>
    </row>
    <row r="431">
      <c r="F431" s="66"/>
    </row>
    <row r="432">
      <c r="F432" s="66"/>
    </row>
    <row r="433">
      <c r="F433" s="66"/>
    </row>
    <row r="434">
      <c r="F434" s="66"/>
    </row>
    <row r="435">
      <c r="F435" s="66"/>
    </row>
    <row r="436">
      <c r="F436" s="66"/>
    </row>
    <row r="437">
      <c r="F437" s="66"/>
    </row>
    <row r="438">
      <c r="F438" s="66"/>
    </row>
    <row r="439">
      <c r="F439" s="66"/>
    </row>
    <row r="440">
      <c r="F440" s="66"/>
    </row>
    <row r="441">
      <c r="F441" s="66"/>
    </row>
    <row r="442">
      <c r="F442" s="66"/>
    </row>
    <row r="443">
      <c r="F443" s="66"/>
    </row>
    <row r="444">
      <c r="F444" s="66"/>
    </row>
    <row r="445">
      <c r="F445" s="66"/>
    </row>
    <row r="446">
      <c r="F446" s="66"/>
    </row>
    <row r="447">
      <c r="F447" s="66"/>
    </row>
    <row r="448">
      <c r="F448" s="66"/>
    </row>
    <row r="449">
      <c r="F449" s="66"/>
    </row>
    <row r="450">
      <c r="F450" s="66"/>
    </row>
    <row r="451">
      <c r="F451" s="66"/>
    </row>
    <row r="452">
      <c r="F452" s="66"/>
    </row>
    <row r="453">
      <c r="F453" s="66"/>
    </row>
    <row r="454">
      <c r="F454" s="66"/>
    </row>
    <row r="455">
      <c r="F455" s="66"/>
    </row>
    <row r="456">
      <c r="F456" s="66"/>
    </row>
    <row r="457">
      <c r="F457" s="66"/>
    </row>
    <row r="458">
      <c r="F458" s="66"/>
    </row>
    <row r="459">
      <c r="F459" s="66"/>
    </row>
    <row r="460">
      <c r="F460" s="66"/>
    </row>
    <row r="461">
      <c r="F461" s="66"/>
    </row>
    <row r="462">
      <c r="F462" s="66"/>
    </row>
    <row r="463">
      <c r="F463" s="66"/>
    </row>
    <row r="464">
      <c r="F464" s="66"/>
    </row>
    <row r="465">
      <c r="F465" s="66"/>
    </row>
    <row r="466">
      <c r="F466" s="66"/>
    </row>
    <row r="467">
      <c r="F467" s="66"/>
    </row>
    <row r="468">
      <c r="F468" s="66"/>
    </row>
    <row r="469">
      <c r="F469" s="66"/>
    </row>
    <row r="470">
      <c r="F470" s="66"/>
    </row>
    <row r="471">
      <c r="F471" s="66"/>
    </row>
    <row r="472">
      <c r="F472" s="66"/>
    </row>
    <row r="473">
      <c r="F473" s="66"/>
    </row>
    <row r="474">
      <c r="F474" s="66"/>
    </row>
    <row r="475">
      <c r="F475" s="66"/>
    </row>
    <row r="476">
      <c r="F476" s="66"/>
    </row>
    <row r="477">
      <c r="F477" s="66"/>
    </row>
    <row r="478">
      <c r="F478" s="66"/>
    </row>
    <row r="479">
      <c r="F479" s="66"/>
    </row>
    <row r="480">
      <c r="F480" s="66"/>
    </row>
    <row r="481">
      <c r="F481" s="66"/>
    </row>
    <row r="482">
      <c r="F482" s="66"/>
    </row>
    <row r="483">
      <c r="F483" s="66"/>
    </row>
    <row r="484">
      <c r="F484" s="66"/>
    </row>
    <row r="485">
      <c r="F485" s="66"/>
    </row>
    <row r="486">
      <c r="F486" s="66"/>
    </row>
    <row r="487">
      <c r="F487" s="66"/>
    </row>
    <row r="488">
      <c r="F488" s="66"/>
    </row>
    <row r="489">
      <c r="F489" s="66"/>
    </row>
    <row r="490">
      <c r="F490" s="66"/>
    </row>
    <row r="491">
      <c r="F491" s="66"/>
    </row>
    <row r="492">
      <c r="F492" s="66"/>
    </row>
    <row r="493">
      <c r="F493" s="66"/>
    </row>
    <row r="494">
      <c r="F494" s="66"/>
    </row>
    <row r="495">
      <c r="F495" s="66"/>
    </row>
    <row r="496">
      <c r="F496" s="66"/>
    </row>
    <row r="497">
      <c r="F497" s="66"/>
    </row>
    <row r="498">
      <c r="F498" s="66"/>
    </row>
    <row r="499">
      <c r="F499" s="66"/>
    </row>
    <row r="500">
      <c r="F500" s="66"/>
    </row>
    <row r="501">
      <c r="F501" s="66"/>
    </row>
    <row r="502">
      <c r="F502" s="66"/>
    </row>
    <row r="503">
      <c r="F503" s="66"/>
    </row>
    <row r="504">
      <c r="F504" s="66"/>
    </row>
    <row r="505">
      <c r="F505" s="66"/>
    </row>
    <row r="506">
      <c r="F506" s="66"/>
    </row>
    <row r="507">
      <c r="F507" s="66"/>
    </row>
    <row r="508">
      <c r="F508" s="66"/>
    </row>
    <row r="509">
      <c r="F509" s="66"/>
    </row>
    <row r="510">
      <c r="F510" s="66"/>
    </row>
    <row r="511">
      <c r="F511" s="66"/>
    </row>
    <row r="512">
      <c r="F512" s="66"/>
    </row>
    <row r="513">
      <c r="F513" s="66"/>
    </row>
    <row r="514">
      <c r="F514" s="66"/>
    </row>
    <row r="515">
      <c r="F515" s="66"/>
    </row>
    <row r="516">
      <c r="F516" s="66"/>
    </row>
    <row r="517">
      <c r="F517" s="66"/>
    </row>
    <row r="518">
      <c r="F518" s="66"/>
    </row>
    <row r="519">
      <c r="F519" s="66"/>
    </row>
    <row r="520">
      <c r="F520" s="66"/>
    </row>
    <row r="521">
      <c r="F521" s="66"/>
    </row>
    <row r="522">
      <c r="F522" s="66"/>
    </row>
    <row r="523">
      <c r="F523" s="66"/>
    </row>
    <row r="524">
      <c r="F524" s="66"/>
    </row>
    <row r="525">
      <c r="F525" s="66"/>
    </row>
    <row r="526">
      <c r="F526" s="66"/>
    </row>
    <row r="527">
      <c r="F527" s="66"/>
    </row>
    <row r="528">
      <c r="F528" s="66"/>
    </row>
    <row r="529">
      <c r="F529" s="66"/>
    </row>
    <row r="530">
      <c r="F530" s="66"/>
    </row>
    <row r="531">
      <c r="F531" s="66"/>
    </row>
    <row r="532">
      <c r="F532" s="66"/>
    </row>
    <row r="533">
      <c r="F533" s="66"/>
    </row>
    <row r="534">
      <c r="F534" s="66"/>
    </row>
    <row r="535">
      <c r="F535" s="66"/>
    </row>
    <row r="536">
      <c r="F536" s="66"/>
    </row>
    <row r="537">
      <c r="F537" s="66"/>
    </row>
    <row r="538">
      <c r="F538" s="66"/>
    </row>
    <row r="539">
      <c r="F539" s="66"/>
    </row>
    <row r="540">
      <c r="F540" s="66"/>
    </row>
    <row r="541">
      <c r="F541" s="66"/>
    </row>
    <row r="542">
      <c r="F542" s="66"/>
    </row>
    <row r="543">
      <c r="F543" s="66"/>
    </row>
    <row r="544">
      <c r="F544" s="66"/>
    </row>
    <row r="545">
      <c r="F545" s="66"/>
    </row>
    <row r="546">
      <c r="F546" s="66"/>
    </row>
    <row r="547">
      <c r="F547" s="66"/>
    </row>
    <row r="548">
      <c r="F548" s="66"/>
    </row>
    <row r="549">
      <c r="F549" s="66"/>
    </row>
    <row r="550">
      <c r="F550" s="66"/>
    </row>
    <row r="551">
      <c r="F551" s="66"/>
    </row>
    <row r="552">
      <c r="F552" s="66"/>
    </row>
    <row r="553">
      <c r="F553" s="66"/>
    </row>
    <row r="554">
      <c r="F554" s="66"/>
    </row>
    <row r="555">
      <c r="F555" s="66"/>
    </row>
    <row r="556">
      <c r="F556" s="66"/>
    </row>
    <row r="557">
      <c r="F557" s="66"/>
    </row>
    <row r="558">
      <c r="F558" s="66"/>
    </row>
    <row r="559">
      <c r="F559" s="66"/>
    </row>
    <row r="560">
      <c r="F560" s="66"/>
    </row>
    <row r="561">
      <c r="F561" s="66"/>
    </row>
    <row r="562">
      <c r="F562" s="66"/>
    </row>
    <row r="563">
      <c r="F563" s="66"/>
    </row>
    <row r="564">
      <c r="F564" s="66"/>
    </row>
    <row r="565">
      <c r="F565" s="66"/>
    </row>
    <row r="566">
      <c r="F566" s="66"/>
    </row>
    <row r="567">
      <c r="F567" s="66"/>
    </row>
    <row r="568">
      <c r="F568" s="66"/>
    </row>
    <row r="569">
      <c r="F569" s="66"/>
    </row>
    <row r="570">
      <c r="F570" s="66"/>
    </row>
    <row r="571">
      <c r="F571" s="66"/>
    </row>
    <row r="572">
      <c r="F572" s="66"/>
    </row>
    <row r="573">
      <c r="F573" s="66"/>
    </row>
    <row r="574">
      <c r="F574" s="66"/>
    </row>
    <row r="575">
      <c r="F575" s="66"/>
    </row>
    <row r="576">
      <c r="F576" s="66"/>
    </row>
    <row r="577">
      <c r="F577" s="66"/>
    </row>
    <row r="578">
      <c r="F578" s="66"/>
    </row>
    <row r="579">
      <c r="F579" s="66"/>
    </row>
    <row r="580">
      <c r="F580" s="66"/>
    </row>
    <row r="581">
      <c r="F581" s="66"/>
    </row>
    <row r="582">
      <c r="F582" s="66"/>
    </row>
    <row r="583">
      <c r="F583" s="66"/>
    </row>
    <row r="584">
      <c r="F584" s="66"/>
    </row>
    <row r="585">
      <c r="F585" s="66"/>
    </row>
    <row r="586">
      <c r="F586" s="66"/>
    </row>
    <row r="587">
      <c r="F587" s="66"/>
    </row>
    <row r="588">
      <c r="F588" s="66"/>
    </row>
    <row r="589">
      <c r="F589" s="66"/>
    </row>
    <row r="590">
      <c r="F590" s="66"/>
    </row>
    <row r="591">
      <c r="F591" s="66"/>
    </row>
    <row r="592">
      <c r="F592" s="66"/>
    </row>
    <row r="593">
      <c r="F593" s="66"/>
    </row>
    <row r="594">
      <c r="F594" s="66"/>
    </row>
    <row r="595">
      <c r="F595" s="66"/>
    </row>
    <row r="596">
      <c r="F596" s="66"/>
    </row>
    <row r="597">
      <c r="F597" s="66"/>
    </row>
    <row r="598">
      <c r="F598" s="66"/>
    </row>
    <row r="599">
      <c r="F599" s="66"/>
    </row>
    <row r="600">
      <c r="F600" s="66"/>
    </row>
    <row r="601">
      <c r="F601" s="66"/>
    </row>
    <row r="602">
      <c r="F602" s="66"/>
    </row>
    <row r="603">
      <c r="F603" s="66"/>
    </row>
    <row r="604">
      <c r="F604" s="66"/>
    </row>
    <row r="605">
      <c r="F605" s="66"/>
    </row>
    <row r="606">
      <c r="F606" s="66"/>
    </row>
    <row r="607">
      <c r="F607" s="66"/>
    </row>
    <row r="608">
      <c r="F608" s="66"/>
    </row>
    <row r="609">
      <c r="F609" s="66"/>
    </row>
    <row r="610">
      <c r="F610" s="66"/>
    </row>
    <row r="611">
      <c r="F611" s="66"/>
    </row>
    <row r="612">
      <c r="F612" s="66"/>
    </row>
    <row r="613">
      <c r="F613" s="66"/>
    </row>
    <row r="614">
      <c r="F614" s="66"/>
    </row>
    <row r="615">
      <c r="F615" s="66"/>
    </row>
    <row r="616">
      <c r="F616" s="66"/>
    </row>
    <row r="617">
      <c r="F617" s="66"/>
    </row>
    <row r="618">
      <c r="F618" s="66"/>
    </row>
    <row r="619">
      <c r="F619" s="66"/>
    </row>
    <row r="620">
      <c r="F620" s="66"/>
    </row>
    <row r="621">
      <c r="F621" s="66"/>
    </row>
    <row r="622">
      <c r="F622" s="66"/>
    </row>
    <row r="623">
      <c r="F623" s="66"/>
    </row>
    <row r="624">
      <c r="F624" s="66"/>
    </row>
    <row r="625">
      <c r="F625" s="66"/>
    </row>
    <row r="626">
      <c r="F626" s="66"/>
    </row>
    <row r="627">
      <c r="F627" s="66"/>
    </row>
    <row r="628">
      <c r="F628" s="66"/>
    </row>
    <row r="629">
      <c r="F629" s="66"/>
    </row>
    <row r="630">
      <c r="F630" s="66"/>
    </row>
    <row r="631">
      <c r="F631" s="66"/>
    </row>
    <row r="632">
      <c r="F632" s="66"/>
    </row>
    <row r="633">
      <c r="F633" s="66"/>
    </row>
    <row r="634">
      <c r="F634" s="66"/>
    </row>
    <row r="635">
      <c r="F635" s="66"/>
    </row>
    <row r="636">
      <c r="F636" s="66"/>
    </row>
    <row r="637">
      <c r="F637" s="66"/>
    </row>
    <row r="638">
      <c r="F638" s="66"/>
    </row>
    <row r="639">
      <c r="F639" s="66"/>
    </row>
    <row r="640">
      <c r="F640" s="66"/>
    </row>
    <row r="641">
      <c r="F641" s="66"/>
    </row>
    <row r="642">
      <c r="F642" s="66"/>
    </row>
    <row r="643">
      <c r="F643" s="66"/>
    </row>
    <row r="644">
      <c r="F644" s="66"/>
    </row>
    <row r="645">
      <c r="F645" s="66"/>
    </row>
    <row r="646">
      <c r="F646" s="66"/>
    </row>
    <row r="647">
      <c r="F647" s="66"/>
    </row>
    <row r="648">
      <c r="F648" s="66"/>
    </row>
    <row r="649">
      <c r="F649" s="66"/>
    </row>
    <row r="650">
      <c r="F650" s="66"/>
    </row>
    <row r="651">
      <c r="F651" s="66"/>
    </row>
    <row r="652">
      <c r="F652" s="66"/>
    </row>
    <row r="653">
      <c r="F653" s="66"/>
    </row>
    <row r="654">
      <c r="F654" s="66"/>
    </row>
    <row r="655">
      <c r="F655" s="66"/>
    </row>
    <row r="656">
      <c r="F656" s="66"/>
    </row>
    <row r="657">
      <c r="F657" s="66"/>
    </row>
    <row r="658">
      <c r="F658" s="66"/>
    </row>
    <row r="659">
      <c r="F659" s="66"/>
    </row>
    <row r="660">
      <c r="F660" s="66"/>
    </row>
    <row r="661">
      <c r="F661" s="66"/>
    </row>
    <row r="662">
      <c r="F662" s="66"/>
    </row>
    <row r="663">
      <c r="F663" s="66"/>
    </row>
    <row r="664">
      <c r="F664" s="66"/>
    </row>
    <row r="665">
      <c r="F665" s="66"/>
    </row>
    <row r="666">
      <c r="F666" s="66"/>
    </row>
    <row r="667">
      <c r="F667" s="66"/>
    </row>
    <row r="668">
      <c r="F668" s="66"/>
    </row>
    <row r="669">
      <c r="F669" s="66"/>
    </row>
    <row r="670">
      <c r="F670" s="66"/>
    </row>
    <row r="671">
      <c r="F671" s="66"/>
    </row>
    <row r="672">
      <c r="F672" s="66"/>
    </row>
    <row r="673">
      <c r="F673" s="66"/>
    </row>
    <row r="674">
      <c r="F674" s="66"/>
    </row>
    <row r="675">
      <c r="F675" s="66"/>
    </row>
    <row r="676">
      <c r="F676" s="66"/>
    </row>
    <row r="677">
      <c r="F677" s="66"/>
    </row>
    <row r="678">
      <c r="F678" s="66"/>
    </row>
    <row r="679">
      <c r="F679" s="66"/>
    </row>
    <row r="680">
      <c r="F680" s="66"/>
    </row>
    <row r="681">
      <c r="F681" s="66"/>
    </row>
    <row r="682">
      <c r="F682" s="66"/>
    </row>
    <row r="683">
      <c r="F683" s="66"/>
    </row>
    <row r="684">
      <c r="F684" s="66"/>
    </row>
    <row r="685">
      <c r="F685" s="66"/>
    </row>
    <row r="686">
      <c r="F686" s="66"/>
    </row>
    <row r="687">
      <c r="F687" s="66"/>
    </row>
    <row r="688">
      <c r="F688" s="66"/>
    </row>
    <row r="689">
      <c r="F689" s="66"/>
    </row>
    <row r="690">
      <c r="F690" s="66"/>
    </row>
    <row r="691">
      <c r="F691" s="66"/>
    </row>
    <row r="692">
      <c r="F692" s="66"/>
    </row>
    <row r="693">
      <c r="F693" s="66"/>
    </row>
    <row r="694">
      <c r="F694" s="66"/>
    </row>
    <row r="695">
      <c r="F695" s="66"/>
    </row>
    <row r="696">
      <c r="F696" s="66"/>
    </row>
    <row r="697">
      <c r="F697" s="66"/>
    </row>
    <row r="698">
      <c r="F698" s="66"/>
    </row>
    <row r="699">
      <c r="F699" s="66"/>
    </row>
    <row r="700">
      <c r="F700" s="66"/>
    </row>
    <row r="701">
      <c r="F701" s="66"/>
    </row>
    <row r="702">
      <c r="F702" s="66"/>
    </row>
    <row r="703">
      <c r="F703" s="66"/>
    </row>
    <row r="704">
      <c r="F704" s="66"/>
    </row>
    <row r="705">
      <c r="F705" s="66"/>
    </row>
    <row r="706">
      <c r="F706" s="66"/>
    </row>
    <row r="707">
      <c r="F707" s="66"/>
    </row>
    <row r="708">
      <c r="F708" s="66"/>
    </row>
    <row r="709">
      <c r="F709" s="66"/>
    </row>
    <row r="710">
      <c r="F710" s="66"/>
    </row>
    <row r="711">
      <c r="F711" s="66"/>
    </row>
    <row r="712">
      <c r="F712" s="66"/>
    </row>
    <row r="713">
      <c r="F713" s="66"/>
    </row>
    <row r="714">
      <c r="F714" s="66"/>
    </row>
    <row r="715">
      <c r="F715" s="66"/>
    </row>
    <row r="716">
      <c r="F716" s="66"/>
    </row>
    <row r="717">
      <c r="F717" s="66"/>
    </row>
    <row r="718">
      <c r="F718" s="66"/>
    </row>
    <row r="719">
      <c r="F719" s="66"/>
    </row>
    <row r="720">
      <c r="F720" s="66"/>
    </row>
    <row r="721">
      <c r="F721" s="66"/>
    </row>
    <row r="722">
      <c r="F722" s="66"/>
    </row>
    <row r="723">
      <c r="F723" s="66"/>
    </row>
    <row r="724">
      <c r="F724" s="66"/>
    </row>
    <row r="725">
      <c r="F725" s="66"/>
    </row>
    <row r="726">
      <c r="F726" s="66"/>
    </row>
    <row r="727">
      <c r="F727" s="66"/>
    </row>
    <row r="728">
      <c r="F728" s="66"/>
    </row>
    <row r="729">
      <c r="F729" s="66"/>
    </row>
    <row r="730">
      <c r="F730" s="66"/>
    </row>
    <row r="731">
      <c r="F731" s="66"/>
    </row>
    <row r="732">
      <c r="F732" s="66"/>
    </row>
    <row r="733">
      <c r="F733" s="66"/>
    </row>
    <row r="734">
      <c r="F734" s="66"/>
    </row>
    <row r="735">
      <c r="F735" s="66"/>
    </row>
    <row r="736">
      <c r="F736" s="66"/>
    </row>
    <row r="737">
      <c r="F737" s="66"/>
    </row>
    <row r="738">
      <c r="F738" s="66"/>
    </row>
    <row r="739">
      <c r="F739" s="66"/>
    </row>
    <row r="740">
      <c r="F740" s="66"/>
    </row>
    <row r="741">
      <c r="F741" s="66"/>
    </row>
    <row r="742">
      <c r="F742" s="66"/>
    </row>
    <row r="743">
      <c r="F743" s="66"/>
    </row>
    <row r="744">
      <c r="F744" s="66"/>
    </row>
    <row r="745">
      <c r="F745" s="66"/>
    </row>
    <row r="746">
      <c r="F746" s="66"/>
    </row>
    <row r="747">
      <c r="F747" s="66"/>
    </row>
    <row r="748">
      <c r="F748" s="66"/>
    </row>
    <row r="749">
      <c r="F749" s="66"/>
    </row>
    <row r="750">
      <c r="F750" s="66"/>
    </row>
    <row r="751">
      <c r="F751" s="66"/>
    </row>
    <row r="752">
      <c r="F752" s="66"/>
    </row>
    <row r="753">
      <c r="F753" s="66"/>
    </row>
    <row r="754">
      <c r="F754" s="66"/>
    </row>
    <row r="755">
      <c r="F755" s="66"/>
    </row>
    <row r="756">
      <c r="F756" s="66"/>
    </row>
    <row r="757">
      <c r="F757" s="66"/>
    </row>
    <row r="758">
      <c r="F758" s="66"/>
    </row>
    <row r="759">
      <c r="F759" s="66"/>
    </row>
    <row r="760">
      <c r="F760" s="66"/>
    </row>
    <row r="761">
      <c r="F761" s="66"/>
    </row>
    <row r="762">
      <c r="F762" s="66"/>
    </row>
    <row r="763">
      <c r="F763" s="66"/>
    </row>
    <row r="764">
      <c r="F764" s="66"/>
    </row>
    <row r="765">
      <c r="F765" s="66"/>
    </row>
    <row r="766">
      <c r="F766" s="66"/>
    </row>
    <row r="767">
      <c r="F767" s="66"/>
    </row>
    <row r="768">
      <c r="F768" s="66"/>
    </row>
    <row r="769">
      <c r="F769" s="66"/>
    </row>
    <row r="770">
      <c r="F770" s="66"/>
    </row>
    <row r="771">
      <c r="F771" s="66"/>
    </row>
    <row r="772">
      <c r="F772" s="66"/>
    </row>
    <row r="773">
      <c r="F773" s="66"/>
    </row>
    <row r="774">
      <c r="F774" s="66"/>
    </row>
    <row r="775">
      <c r="F775" s="66"/>
    </row>
    <row r="776">
      <c r="F776" s="66"/>
    </row>
    <row r="777">
      <c r="F777" s="66"/>
    </row>
    <row r="778">
      <c r="F778" s="66"/>
    </row>
    <row r="779">
      <c r="F779" s="66"/>
    </row>
    <row r="780">
      <c r="F780" s="66"/>
    </row>
    <row r="781">
      <c r="F781" s="66"/>
    </row>
    <row r="782">
      <c r="F782" s="66"/>
    </row>
    <row r="783">
      <c r="F783" s="66"/>
    </row>
    <row r="784">
      <c r="F784" s="66"/>
    </row>
    <row r="785">
      <c r="F785" s="66"/>
    </row>
    <row r="786">
      <c r="F786" s="66"/>
    </row>
    <row r="787">
      <c r="F787" s="66"/>
    </row>
    <row r="788">
      <c r="F788" s="66"/>
    </row>
    <row r="789">
      <c r="F789" s="66"/>
    </row>
    <row r="790">
      <c r="F790" s="66"/>
    </row>
    <row r="791">
      <c r="F791" s="66"/>
    </row>
    <row r="792">
      <c r="F792" s="66"/>
    </row>
    <row r="793">
      <c r="F793" s="66"/>
    </row>
    <row r="794">
      <c r="F794" s="66"/>
    </row>
    <row r="795">
      <c r="F795" s="66"/>
    </row>
    <row r="796">
      <c r="F796" s="66"/>
    </row>
    <row r="797">
      <c r="F797" s="66"/>
    </row>
    <row r="798">
      <c r="F798" s="66"/>
    </row>
    <row r="799">
      <c r="F799" s="66"/>
    </row>
    <row r="800">
      <c r="F800" s="66"/>
    </row>
    <row r="801">
      <c r="F801" s="66"/>
    </row>
    <row r="802">
      <c r="F802" s="66"/>
    </row>
    <row r="803">
      <c r="F803" s="66"/>
    </row>
    <row r="804">
      <c r="F804" s="66"/>
    </row>
    <row r="805">
      <c r="F805" s="66"/>
    </row>
    <row r="806">
      <c r="F806" s="66"/>
    </row>
    <row r="807">
      <c r="F807" s="66"/>
    </row>
    <row r="808">
      <c r="F808" s="66"/>
    </row>
    <row r="809">
      <c r="F809" s="66"/>
    </row>
    <row r="810">
      <c r="F810" s="66"/>
    </row>
    <row r="811">
      <c r="F811" s="66"/>
    </row>
    <row r="812">
      <c r="F812" s="66"/>
    </row>
    <row r="813">
      <c r="F813" s="66"/>
    </row>
    <row r="814">
      <c r="F814" s="66"/>
    </row>
    <row r="815">
      <c r="F815" s="66"/>
    </row>
    <row r="816">
      <c r="F816" s="66"/>
    </row>
    <row r="817">
      <c r="F817" s="66"/>
    </row>
    <row r="818">
      <c r="F818" s="66"/>
    </row>
    <row r="819">
      <c r="F819" s="66"/>
    </row>
    <row r="820">
      <c r="F820" s="66"/>
    </row>
    <row r="821">
      <c r="F821" s="66"/>
    </row>
    <row r="822">
      <c r="F822" s="66"/>
    </row>
    <row r="823">
      <c r="F823" s="66"/>
    </row>
    <row r="824">
      <c r="F824" s="66"/>
    </row>
    <row r="825">
      <c r="F825" s="66"/>
    </row>
    <row r="826">
      <c r="F826" s="66"/>
    </row>
    <row r="827">
      <c r="F827" s="66"/>
    </row>
    <row r="828">
      <c r="F828" s="66"/>
    </row>
    <row r="829">
      <c r="F829" s="66"/>
    </row>
    <row r="830">
      <c r="F830" s="66"/>
    </row>
    <row r="831">
      <c r="F831" s="66"/>
    </row>
    <row r="832">
      <c r="F832" s="66"/>
    </row>
    <row r="833">
      <c r="F833" s="66"/>
    </row>
    <row r="834">
      <c r="F834" s="66"/>
    </row>
    <row r="835">
      <c r="F835" s="66"/>
    </row>
    <row r="836">
      <c r="F836" s="66"/>
    </row>
    <row r="837">
      <c r="F837" s="66"/>
    </row>
    <row r="838">
      <c r="F838" s="66"/>
    </row>
    <row r="839">
      <c r="F839" s="66"/>
    </row>
    <row r="840">
      <c r="F840" s="66"/>
    </row>
    <row r="841">
      <c r="F841" s="66"/>
    </row>
    <row r="842">
      <c r="F842" s="66"/>
    </row>
    <row r="843">
      <c r="F843" s="66"/>
    </row>
    <row r="844">
      <c r="F844" s="66"/>
    </row>
    <row r="845">
      <c r="F845" s="66"/>
    </row>
    <row r="846">
      <c r="F846" s="66"/>
    </row>
    <row r="847">
      <c r="F847" s="66"/>
    </row>
    <row r="848">
      <c r="F848" s="66"/>
    </row>
    <row r="849">
      <c r="F849" s="66"/>
    </row>
    <row r="850">
      <c r="F850" s="66"/>
    </row>
    <row r="851">
      <c r="F851" s="66"/>
    </row>
    <row r="852">
      <c r="F852" s="66"/>
    </row>
    <row r="853">
      <c r="F853" s="66"/>
    </row>
    <row r="854">
      <c r="F854" s="66"/>
    </row>
    <row r="855">
      <c r="F855" s="66"/>
    </row>
    <row r="856">
      <c r="F856" s="66"/>
    </row>
    <row r="857">
      <c r="F857" s="66"/>
    </row>
    <row r="858">
      <c r="F858" s="66"/>
    </row>
    <row r="859">
      <c r="F859" s="66"/>
    </row>
    <row r="860">
      <c r="F860" s="66"/>
    </row>
    <row r="861">
      <c r="F861" s="66"/>
    </row>
    <row r="862">
      <c r="F862" s="66"/>
    </row>
    <row r="863">
      <c r="F863" s="66"/>
    </row>
    <row r="864">
      <c r="F864" s="66"/>
    </row>
    <row r="865">
      <c r="F865" s="66"/>
    </row>
    <row r="866">
      <c r="F866" s="66"/>
    </row>
    <row r="867">
      <c r="F867" s="66"/>
    </row>
    <row r="868">
      <c r="F868" s="66"/>
    </row>
    <row r="869">
      <c r="F869" s="66"/>
    </row>
    <row r="870">
      <c r="F870" s="66"/>
    </row>
    <row r="871">
      <c r="F871" s="66"/>
    </row>
    <row r="872">
      <c r="F872" s="66"/>
    </row>
    <row r="873">
      <c r="F873" s="66"/>
    </row>
    <row r="874">
      <c r="F874" s="66"/>
    </row>
    <row r="875">
      <c r="F875" s="66"/>
    </row>
    <row r="876">
      <c r="F876" s="66"/>
    </row>
    <row r="877">
      <c r="F877" s="66"/>
    </row>
    <row r="878">
      <c r="F878" s="66"/>
    </row>
    <row r="879">
      <c r="F879" s="66"/>
    </row>
    <row r="880">
      <c r="F880" s="66"/>
    </row>
    <row r="881">
      <c r="F881" s="66"/>
    </row>
    <row r="882">
      <c r="F882" s="66"/>
    </row>
    <row r="883">
      <c r="F883" s="66"/>
    </row>
    <row r="884">
      <c r="F884" s="66"/>
    </row>
    <row r="885">
      <c r="F885" s="66"/>
    </row>
    <row r="886">
      <c r="F886" s="66"/>
    </row>
    <row r="887">
      <c r="F887" s="66"/>
    </row>
    <row r="888">
      <c r="F888" s="66"/>
    </row>
    <row r="889">
      <c r="F889" s="66"/>
    </row>
    <row r="890">
      <c r="F890" s="66"/>
    </row>
    <row r="891">
      <c r="F891" s="66"/>
    </row>
    <row r="892">
      <c r="F892" s="66"/>
    </row>
    <row r="893">
      <c r="F893" s="66"/>
    </row>
    <row r="894">
      <c r="F894" s="66"/>
    </row>
    <row r="895">
      <c r="F895" s="66"/>
    </row>
    <row r="896">
      <c r="F896" s="66"/>
    </row>
    <row r="897">
      <c r="F897" s="66"/>
    </row>
    <row r="898">
      <c r="F898" s="66"/>
    </row>
    <row r="899">
      <c r="F899" s="66"/>
    </row>
    <row r="900">
      <c r="F900" s="66"/>
    </row>
    <row r="901">
      <c r="F901" s="66"/>
    </row>
    <row r="902">
      <c r="F902" s="66"/>
    </row>
    <row r="903">
      <c r="F903" s="66"/>
    </row>
    <row r="904">
      <c r="F904" s="66"/>
    </row>
    <row r="905">
      <c r="F905" s="66"/>
    </row>
    <row r="906">
      <c r="F906" s="66"/>
    </row>
    <row r="907">
      <c r="F907" s="66"/>
    </row>
    <row r="908">
      <c r="F908" s="66"/>
    </row>
    <row r="909">
      <c r="F909" s="66"/>
    </row>
    <row r="910">
      <c r="F910" s="66"/>
    </row>
    <row r="911">
      <c r="F911" s="66"/>
    </row>
    <row r="912">
      <c r="F912" s="66"/>
    </row>
    <row r="913">
      <c r="F913" s="66"/>
    </row>
    <row r="914">
      <c r="F914" s="66"/>
    </row>
    <row r="915">
      <c r="F915" s="66"/>
    </row>
    <row r="916">
      <c r="F916" s="66"/>
    </row>
    <row r="917">
      <c r="F917" s="66"/>
    </row>
    <row r="918">
      <c r="F918" s="66"/>
    </row>
    <row r="919">
      <c r="F919" s="66"/>
    </row>
    <row r="920">
      <c r="F920" s="66"/>
    </row>
    <row r="921">
      <c r="F921" s="66"/>
    </row>
    <row r="922">
      <c r="F922" s="66"/>
    </row>
    <row r="923">
      <c r="F923" s="66"/>
    </row>
    <row r="924">
      <c r="F924" s="66"/>
    </row>
    <row r="925">
      <c r="F925" s="66"/>
    </row>
    <row r="926">
      <c r="F926" s="66"/>
    </row>
    <row r="927">
      <c r="F927" s="66"/>
    </row>
    <row r="928">
      <c r="F928" s="66"/>
    </row>
    <row r="929">
      <c r="F929" s="66"/>
    </row>
    <row r="930">
      <c r="F930" s="66"/>
    </row>
    <row r="931">
      <c r="F931" s="66"/>
    </row>
    <row r="932">
      <c r="F932" s="66"/>
    </row>
    <row r="933">
      <c r="F933" s="66"/>
    </row>
    <row r="934">
      <c r="F934" s="66"/>
    </row>
    <row r="935">
      <c r="F935" s="66"/>
    </row>
    <row r="936">
      <c r="F936" s="66"/>
    </row>
    <row r="937">
      <c r="F937" s="66"/>
    </row>
    <row r="938">
      <c r="F938" s="66"/>
    </row>
    <row r="939">
      <c r="F939" s="66"/>
    </row>
    <row r="940">
      <c r="F940" s="66"/>
    </row>
    <row r="941">
      <c r="F941" s="66"/>
    </row>
    <row r="942">
      <c r="F942" s="66"/>
    </row>
    <row r="943">
      <c r="F943" s="66"/>
    </row>
    <row r="944">
      <c r="F944" s="66"/>
    </row>
    <row r="945">
      <c r="F945" s="66"/>
    </row>
    <row r="946">
      <c r="F946" s="66"/>
    </row>
    <row r="947">
      <c r="F947" s="66"/>
    </row>
    <row r="948">
      <c r="F948" s="66"/>
    </row>
    <row r="949">
      <c r="F949" s="66"/>
    </row>
    <row r="950">
      <c r="F950" s="66"/>
    </row>
    <row r="951">
      <c r="F951" s="66"/>
    </row>
    <row r="952">
      <c r="F952" s="66"/>
    </row>
    <row r="953">
      <c r="F953" s="66"/>
    </row>
    <row r="954">
      <c r="F954" s="66"/>
    </row>
    <row r="955">
      <c r="F955" s="66"/>
    </row>
    <row r="956">
      <c r="F956" s="66"/>
    </row>
    <row r="957">
      <c r="F957" s="66"/>
    </row>
    <row r="958">
      <c r="F958" s="66"/>
    </row>
    <row r="959">
      <c r="F959" s="66"/>
    </row>
    <row r="960">
      <c r="F960" s="66"/>
    </row>
    <row r="961">
      <c r="F961" s="66"/>
    </row>
    <row r="962">
      <c r="F962" s="66"/>
    </row>
    <row r="963">
      <c r="F963" s="66"/>
    </row>
    <row r="964">
      <c r="F964" s="66"/>
    </row>
    <row r="965">
      <c r="F965" s="66"/>
    </row>
    <row r="966">
      <c r="F966" s="66"/>
    </row>
    <row r="967">
      <c r="F967" s="66"/>
    </row>
    <row r="968">
      <c r="F968" s="66"/>
    </row>
    <row r="969">
      <c r="F969" s="66"/>
    </row>
    <row r="970">
      <c r="F970" s="66"/>
    </row>
    <row r="971">
      <c r="F971" s="66"/>
    </row>
    <row r="972">
      <c r="F972" s="66"/>
    </row>
    <row r="973">
      <c r="F973" s="66"/>
    </row>
    <row r="974">
      <c r="F974" s="66"/>
    </row>
    <row r="975">
      <c r="F975" s="66"/>
    </row>
    <row r="976">
      <c r="F976" s="66"/>
    </row>
    <row r="977">
      <c r="F977" s="66"/>
    </row>
    <row r="978">
      <c r="F978" s="66"/>
    </row>
    <row r="979">
      <c r="F979" s="66"/>
    </row>
    <row r="980">
      <c r="F980" s="66"/>
    </row>
    <row r="981">
      <c r="F981" s="66"/>
    </row>
    <row r="982">
      <c r="F982" s="66"/>
    </row>
    <row r="983">
      <c r="F983" s="66"/>
    </row>
    <row r="984">
      <c r="F984" s="66"/>
    </row>
    <row r="985">
      <c r="F985" s="66"/>
    </row>
    <row r="986">
      <c r="F986" s="66"/>
    </row>
    <row r="987">
      <c r="F987" s="66"/>
    </row>
    <row r="988">
      <c r="F988" s="66"/>
    </row>
    <row r="989">
      <c r="F989" s="66"/>
    </row>
    <row r="990">
      <c r="F990" s="66"/>
    </row>
    <row r="991">
      <c r="F991" s="66"/>
    </row>
    <row r="992">
      <c r="F992" s="66"/>
    </row>
    <row r="993">
      <c r="F993" s="66"/>
    </row>
    <row r="994">
      <c r="F994" s="66"/>
    </row>
    <row r="995">
      <c r="F995" s="66"/>
    </row>
    <row r="996">
      <c r="F996" s="66"/>
    </row>
    <row r="997">
      <c r="F997" s="66"/>
    </row>
    <row r="998">
      <c r="F998" s="66"/>
    </row>
    <row r="999">
      <c r="F999" s="66"/>
    </row>
    <row r="1000">
      <c r="F1000" s="66"/>
    </row>
  </sheetData>
  <autoFilter ref="$A$1:$M$1"/>
  <dataValidations>
    <dataValidation type="list" allowBlank="1" showErrorMessage="1" sqref="K2:K91">
      <formula1>"Lolos Administrasi,Tidak Lolos Administrasi"</formula1>
    </dataValidation>
  </dataValidations>
  <hyperlinks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8"/>
    <hyperlink r:id="rId27" ref="H29"/>
    <hyperlink r:id="rId28" ref="H30"/>
    <hyperlink r:id="rId29" ref="H31"/>
    <hyperlink r:id="rId30" ref="H32"/>
    <hyperlink r:id="rId31" ref="H33"/>
    <hyperlink r:id="rId32" ref="H34"/>
    <hyperlink r:id="rId33" ref="H35"/>
    <hyperlink r:id="rId34" ref="H36"/>
    <hyperlink r:id="rId35" ref="H38"/>
    <hyperlink r:id="rId36" ref="H39"/>
    <hyperlink r:id="rId37" ref="H40"/>
    <hyperlink r:id="rId38" ref="H41"/>
    <hyperlink r:id="rId39" ref="H42"/>
    <hyperlink r:id="rId40" ref="H43"/>
    <hyperlink r:id="rId41" ref="H44"/>
    <hyperlink r:id="rId42" ref="H45"/>
    <hyperlink r:id="rId43" ref="H46"/>
    <hyperlink r:id="rId44" ref="H47"/>
    <hyperlink r:id="rId45" ref="H48"/>
    <hyperlink r:id="rId46" ref="H49"/>
    <hyperlink r:id="rId47" ref="H50"/>
    <hyperlink r:id="rId48" ref="H51"/>
    <hyperlink r:id="rId49" ref="H52"/>
    <hyperlink r:id="rId50" ref="H53"/>
    <hyperlink r:id="rId51" ref="H54"/>
    <hyperlink r:id="rId52" ref="H56"/>
    <hyperlink r:id="rId53" ref="H57"/>
    <hyperlink r:id="rId54" ref="H58"/>
    <hyperlink r:id="rId55" ref="H59"/>
    <hyperlink r:id="rId56" ref="H60"/>
    <hyperlink r:id="rId57" ref="H61"/>
    <hyperlink r:id="rId58" ref="H62"/>
    <hyperlink r:id="rId59" ref="H63"/>
    <hyperlink r:id="rId60" ref="H64"/>
    <hyperlink r:id="rId61" ref="H65"/>
    <hyperlink r:id="rId62" ref="H66"/>
    <hyperlink r:id="rId63" ref="H67"/>
    <hyperlink r:id="rId64" ref="H68"/>
    <hyperlink r:id="rId65" ref="H69"/>
    <hyperlink r:id="rId66" ref="H70"/>
    <hyperlink r:id="rId67" ref="H71"/>
    <hyperlink r:id="rId68" ref="H72"/>
    <hyperlink r:id="rId69" ref="H73"/>
    <hyperlink r:id="rId70" ref="H74"/>
    <hyperlink r:id="rId71" ref="H75"/>
    <hyperlink r:id="rId72" ref="H76"/>
    <hyperlink r:id="rId73" ref="H77"/>
    <hyperlink r:id="rId74" ref="H78"/>
    <hyperlink r:id="rId75" ref="H79"/>
    <hyperlink r:id="rId76" ref="H80"/>
    <hyperlink r:id="rId77" ref="H81"/>
    <hyperlink r:id="rId78" ref="H82"/>
    <hyperlink r:id="rId79" ref="H83"/>
    <hyperlink r:id="rId80" ref="H84"/>
    <hyperlink r:id="rId81" ref="H86"/>
    <hyperlink r:id="rId82" ref="H87"/>
    <hyperlink r:id="rId83" ref="H88"/>
    <hyperlink r:id="rId84" ref="H89"/>
    <hyperlink r:id="rId85" ref="H90"/>
    <hyperlink r:id="rId86" ref="H91"/>
    <hyperlink r:id="rId87" ref="H92"/>
    <hyperlink r:id="rId88" ref="H93"/>
    <hyperlink r:id="rId89" ref="H94"/>
    <hyperlink r:id="rId90" ref="H95"/>
    <hyperlink r:id="rId91" ref="H96"/>
    <hyperlink r:id="rId92" ref="H97"/>
    <hyperlink r:id="rId93" ref="H98"/>
    <hyperlink r:id="rId94" ref="H99"/>
    <hyperlink r:id="rId95" ref="H100"/>
    <hyperlink r:id="rId96" ref="H101"/>
    <hyperlink r:id="rId97" ref="H102"/>
    <hyperlink r:id="rId98" ref="H103"/>
    <hyperlink r:id="rId99" ref="H104"/>
    <hyperlink r:id="rId100" ref="H105"/>
    <hyperlink r:id="rId101" ref="H106"/>
    <hyperlink r:id="rId102" ref="H107"/>
    <hyperlink r:id="rId103" ref="H108"/>
    <hyperlink r:id="rId104" ref="H109"/>
    <hyperlink r:id="rId105" ref="H110"/>
    <hyperlink r:id="rId106" ref="H111"/>
    <hyperlink r:id="rId107" ref="H112"/>
    <hyperlink r:id="rId108" ref="H113"/>
    <hyperlink r:id="rId109" ref="H114"/>
    <hyperlink r:id="rId110" ref="H115"/>
    <hyperlink r:id="rId111" ref="H116"/>
    <hyperlink r:id="rId112" ref="H117"/>
    <hyperlink r:id="rId113" ref="H118"/>
    <hyperlink r:id="rId114" ref="H119"/>
    <hyperlink r:id="rId115" ref="H120"/>
    <hyperlink r:id="rId116" ref="H121"/>
    <hyperlink r:id="rId117" ref="H122"/>
    <hyperlink r:id="rId118" ref="H123"/>
    <hyperlink r:id="rId119" ref="H124"/>
    <hyperlink r:id="rId120" ref="H125"/>
    <hyperlink r:id="rId121" ref="H126"/>
    <hyperlink r:id="rId122" ref="H127"/>
    <hyperlink r:id="rId123" ref="H128"/>
    <hyperlink r:id="rId124" ref="H129"/>
    <hyperlink r:id="rId125" ref="H130"/>
    <hyperlink r:id="rId126" ref="H131"/>
    <hyperlink r:id="rId127" ref="H132"/>
    <hyperlink r:id="rId128" ref="H133"/>
    <hyperlink r:id="rId129" ref="H134"/>
    <hyperlink r:id="rId130" ref="H135"/>
    <hyperlink r:id="rId131" ref="H136"/>
    <hyperlink r:id="rId132" ref="H137"/>
    <hyperlink r:id="rId133" ref="H138"/>
    <hyperlink r:id="rId134" ref="H139"/>
    <hyperlink r:id="rId135" ref="H140"/>
    <hyperlink r:id="rId136" ref="H141"/>
    <hyperlink r:id="rId137" ref="H142"/>
    <hyperlink r:id="rId138" ref="H143"/>
    <hyperlink r:id="rId139" ref="H144"/>
    <hyperlink r:id="rId140" ref="H145"/>
    <hyperlink r:id="rId141" ref="H146"/>
    <hyperlink r:id="rId142" ref="H147"/>
    <hyperlink r:id="rId143" ref="H148"/>
    <hyperlink r:id="rId144" ref="H149"/>
    <hyperlink r:id="rId145" ref="H150"/>
    <hyperlink r:id="rId146" ref="H151"/>
    <hyperlink r:id="rId147" ref="H152"/>
    <hyperlink r:id="rId148" ref="H153"/>
    <hyperlink r:id="rId149" ref="H154"/>
    <hyperlink r:id="rId150" ref="H155"/>
    <hyperlink r:id="rId151" ref="H156"/>
    <hyperlink r:id="rId152" ref="H157"/>
    <hyperlink r:id="rId153" ref="H158"/>
    <hyperlink r:id="rId154" ref="H159"/>
    <hyperlink r:id="rId155" ref="H160"/>
    <hyperlink r:id="rId156" ref="H161"/>
    <hyperlink r:id="rId157" ref="H162"/>
    <hyperlink r:id="rId158" ref="H163"/>
    <hyperlink r:id="rId159" ref="H164"/>
    <hyperlink r:id="rId160" ref="H165"/>
    <hyperlink r:id="rId161" ref="H166"/>
    <hyperlink r:id="rId162" ref="H167"/>
    <hyperlink r:id="rId163" ref="H168"/>
    <hyperlink r:id="rId164" ref="H169"/>
    <hyperlink r:id="rId165" ref="H170"/>
    <hyperlink r:id="rId166" ref="H171"/>
    <hyperlink r:id="rId167" ref="H172"/>
    <hyperlink r:id="rId168" ref="H173"/>
    <hyperlink r:id="rId169" ref="H174"/>
    <hyperlink r:id="rId170" ref="H175"/>
    <hyperlink r:id="rId171" ref="H176"/>
    <hyperlink r:id="rId172" ref="H177"/>
    <hyperlink r:id="rId173" ref="H178"/>
    <hyperlink r:id="rId174" ref="H179"/>
    <hyperlink r:id="rId175" ref="H180"/>
    <hyperlink r:id="rId176" ref="H181"/>
    <hyperlink r:id="rId177" ref="H182"/>
    <hyperlink r:id="rId178" ref="H183"/>
    <hyperlink r:id="rId179" ref="H184"/>
    <hyperlink r:id="rId180" ref="H185"/>
    <hyperlink r:id="rId181" ref="H186"/>
    <hyperlink r:id="rId182" ref="H187"/>
    <hyperlink r:id="rId183" ref="H188"/>
    <hyperlink r:id="rId184" ref="H189"/>
    <hyperlink r:id="rId185" ref="H190"/>
    <hyperlink r:id="rId186" ref="H191"/>
    <hyperlink r:id="rId187" ref="H192"/>
    <hyperlink r:id="rId188" ref="H193"/>
    <hyperlink r:id="rId189" ref="H195"/>
    <hyperlink r:id="rId190" ref="H196"/>
    <hyperlink r:id="rId191" ref="H197"/>
    <hyperlink r:id="rId192" ref="H198"/>
    <hyperlink r:id="rId193" ref="H199"/>
    <hyperlink r:id="rId194" ref="H200"/>
    <hyperlink r:id="rId195" ref="H201"/>
    <hyperlink r:id="rId196" ref="H202"/>
    <hyperlink r:id="rId197" ref="H203"/>
    <hyperlink r:id="rId198" ref="H204"/>
    <hyperlink r:id="rId199" ref="H205"/>
    <hyperlink r:id="rId200" ref="H206"/>
    <hyperlink r:id="rId201" ref="H207"/>
    <hyperlink r:id="rId202" ref="H208"/>
    <hyperlink r:id="rId203" ref="H209"/>
    <hyperlink r:id="rId204" ref="H210"/>
    <hyperlink r:id="rId205" ref="H211"/>
    <hyperlink r:id="rId206" ref="H212"/>
    <hyperlink r:id="rId207" ref="H213"/>
    <hyperlink r:id="rId208" ref="H214"/>
    <hyperlink r:id="rId209" ref="H215"/>
    <hyperlink r:id="rId210" ref="H216"/>
    <hyperlink r:id="rId211" ref="H217"/>
  </hyperlinks>
  <drawing r:id="rId21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7.5"/>
    <col customWidth="1" min="2" max="2" width="82.75"/>
    <col customWidth="1" min="3" max="3" width="36.0"/>
    <col customWidth="1" min="4" max="4" width="11.88"/>
    <col customWidth="1" min="5" max="5" width="45.63"/>
    <col customWidth="1" min="6" max="6" width="23.38"/>
    <col customWidth="1" min="7" max="7" width="44.25"/>
    <col customWidth="1" min="8" max="8" width="74.63"/>
    <col customWidth="1" hidden="1" min="9" max="9" width="74.63"/>
    <col hidden="1" min="10" max="10" width="12.63"/>
    <col customWidth="1" min="11" max="11" width="24.88"/>
    <col customWidth="1" min="12" max="12" width="32.63"/>
    <col customWidth="1" min="13" max="13" width="14.5"/>
  </cols>
  <sheetData>
    <row r="1">
      <c r="J1" s="53"/>
      <c r="K1" s="55" t="s">
        <v>2238</v>
      </c>
      <c r="L1" s="55" t="s">
        <v>1</v>
      </c>
      <c r="M1" s="55" t="s">
        <v>2240</v>
      </c>
      <c r="N1" s="56"/>
    </row>
    <row r="2">
      <c r="J2" s="57"/>
      <c r="K2" s="57"/>
      <c r="L2" s="57"/>
      <c r="M2" s="57"/>
      <c r="N2" s="59"/>
    </row>
    <row r="3">
      <c r="J3" s="60"/>
      <c r="K3" s="17" t="s">
        <v>44</v>
      </c>
      <c r="L3" s="60"/>
      <c r="M3" s="17" t="s">
        <v>2243</v>
      </c>
      <c r="N3" s="18"/>
    </row>
    <row r="4">
      <c r="J4" s="57"/>
      <c r="K4" s="24" t="s">
        <v>44</v>
      </c>
      <c r="L4" s="57"/>
      <c r="M4" s="24" t="s">
        <v>2243</v>
      </c>
      <c r="N4" s="25"/>
    </row>
    <row r="5">
      <c r="J5" s="60"/>
      <c r="K5" s="17" t="s">
        <v>44</v>
      </c>
      <c r="L5" s="60"/>
      <c r="M5" s="17" t="s">
        <v>2243</v>
      </c>
      <c r="N5" s="18"/>
    </row>
    <row r="6">
      <c r="J6" s="57"/>
      <c r="K6" s="24" t="s">
        <v>44</v>
      </c>
      <c r="L6" s="57"/>
      <c r="M6" s="24" t="s">
        <v>2243</v>
      </c>
      <c r="N6" s="25"/>
    </row>
    <row r="7">
      <c r="J7" s="60"/>
      <c r="K7" s="17" t="s">
        <v>44</v>
      </c>
      <c r="L7" s="60"/>
      <c r="M7" s="17" t="s">
        <v>2243</v>
      </c>
      <c r="N7" s="18"/>
    </row>
    <row r="8">
      <c r="J8" s="57"/>
      <c r="K8" s="24" t="s">
        <v>54</v>
      </c>
      <c r="L8" s="24" t="s">
        <v>2260</v>
      </c>
      <c r="M8" s="24" t="s">
        <v>2243</v>
      </c>
      <c r="N8" s="25"/>
    </row>
    <row r="9">
      <c r="J9" s="60"/>
      <c r="K9" s="17" t="s">
        <v>44</v>
      </c>
      <c r="M9" s="17" t="s">
        <v>2243</v>
      </c>
      <c r="N9" s="18"/>
    </row>
    <row r="10">
      <c r="J10" s="57"/>
      <c r="K10" s="24" t="s">
        <v>44</v>
      </c>
      <c r="L10" s="57"/>
      <c r="M10" s="24" t="s">
        <v>2243</v>
      </c>
      <c r="N10" s="25"/>
    </row>
    <row r="11">
      <c r="J11" s="60"/>
      <c r="K11" s="17" t="s">
        <v>44</v>
      </c>
      <c r="L11" s="60"/>
      <c r="M11" s="17" t="s">
        <v>2243</v>
      </c>
      <c r="N11" s="18"/>
    </row>
    <row r="12">
      <c r="J12" s="57"/>
      <c r="K12" s="24" t="s">
        <v>44</v>
      </c>
      <c r="L12" s="57"/>
      <c r="M12" s="24" t="s">
        <v>2243</v>
      </c>
      <c r="N12" s="25"/>
    </row>
    <row r="13">
      <c r="J13" s="60"/>
      <c r="K13" s="17" t="s">
        <v>54</v>
      </c>
      <c r="L13" s="17" t="s">
        <v>2276</v>
      </c>
      <c r="M13" s="17" t="s">
        <v>2243</v>
      </c>
      <c r="N13" s="18"/>
    </row>
    <row r="14">
      <c r="J14" s="57"/>
      <c r="K14" s="24" t="s">
        <v>44</v>
      </c>
      <c r="M14" s="24" t="s">
        <v>2243</v>
      </c>
      <c r="N14" s="25"/>
    </row>
    <row r="15">
      <c r="J15" s="60"/>
      <c r="K15" s="17" t="s">
        <v>54</v>
      </c>
      <c r="L15" s="17" t="s">
        <v>2279</v>
      </c>
      <c r="M15" s="17" t="s">
        <v>2243</v>
      </c>
      <c r="N15" s="18"/>
    </row>
    <row r="16">
      <c r="J16" s="57"/>
      <c r="K16" s="24" t="s">
        <v>54</v>
      </c>
      <c r="L16" s="24" t="s">
        <v>2282</v>
      </c>
      <c r="M16" s="24" t="s">
        <v>2243</v>
      </c>
      <c r="N16" s="25"/>
    </row>
    <row r="17">
      <c r="J17" s="60"/>
      <c r="K17" s="17" t="s">
        <v>44</v>
      </c>
      <c r="L17" s="60"/>
      <c r="M17" s="17" t="s">
        <v>2243</v>
      </c>
      <c r="N17" s="18"/>
    </row>
    <row r="18">
      <c r="J18" s="57"/>
      <c r="K18" s="24" t="s">
        <v>54</v>
      </c>
      <c r="L18" s="24" t="s">
        <v>2290</v>
      </c>
      <c r="M18" s="24" t="s">
        <v>2243</v>
      </c>
      <c r="N18" s="25"/>
    </row>
    <row r="19">
      <c r="J19" s="60"/>
      <c r="K19" s="17" t="s">
        <v>44</v>
      </c>
      <c r="L19" s="60"/>
      <c r="M19" s="17" t="s">
        <v>2243</v>
      </c>
      <c r="N19" s="18"/>
    </row>
    <row r="20">
      <c r="J20" s="57"/>
      <c r="K20" s="24" t="s">
        <v>44</v>
      </c>
      <c r="L20" s="57"/>
      <c r="M20" s="24" t="s">
        <v>2243</v>
      </c>
      <c r="N20" s="25"/>
    </row>
    <row r="21">
      <c r="J21" s="60"/>
      <c r="K21" s="17" t="s">
        <v>44</v>
      </c>
      <c r="L21" s="60"/>
      <c r="M21" s="17" t="s">
        <v>2243</v>
      </c>
      <c r="N21" s="18"/>
    </row>
    <row r="22">
      <c r="J22" s="57"/>
      <c r="K22" s="24" t="s">
        <v>44</v>
      </c>
      <c r="L22" s="57"/>
      <c r="M22" s="24" t="s">
        <v>2243</v>
      </c>
      <c r="N22" s="25"/>
    </row>
    <row r="23">
      <c r="J23" s="60"/>
      <c r="K23" s="17" t="s">
        <v>44</v>
      </c>
      <c r="L23" s="60"/>
      <c r="M23" s="17" t="s">
        <v>2243</v>
      </c>
      <c r="N23" s="18"/>
    </row>
    <row r="24">
      <c r="J24" s="57"/>
      <c r="K24" s="24" t="s">
        <v>44</v>
      </c>
      <c r="L24" s="57"/>
      <c r="M24" s="24" t="s">
        <v>2243</v>
      </c>
      <c r="N24" s="25"/>
    </row>
    <row r="25">
      <c r="J25" s="60"/>
      <c r="K25" s="17" t="s">
        <v>44</v>
      </c>
      <c r="L25" s="60"/>
      <c r="M25" s="17" t="s">
        <v>2243</v>
      </c>
      <c r="N25" s="18"/>
    </row>
    <row r="26">
      <c r="J26" s="57"/>
      <c r="K26" s="24" t="s">
        <v>54</v>
      </c>
      <c r="L26" s="24" t="s">
        <v>2314</v>
      </c>
      <c r="M26" s="24" t="s">
        <v>2243</v>
      </c>
      <c r="N26" s="25"/>
    </row>
    <row r="27">
      <c r="J27" s="60"/>
      <c r="K27" s="17" t="s">
        <v>44</v>
      </c>
      <c r="L27" s="60"/>
      <c r="M27" s="17" t="s">
        <v>2243</v>
      </c>
      <c r="N27" s="18"/>
    </row>
    <row r="28">
      <c r="J28" s="57"/>
      <c r="K28" s="24" t="s">
        <v>44</v>
      </c>
      <c r="L28" s="57"/>
      <c r="M28" s="24" t="s">
        <v>2243</v>
      </c>
      <c r="N28" s="25"/>
    </row>
    <row r="29">
      <c r="J29" s="60"/>
      <c r="K29" s="17" t="s">
        <v>44</v>
      </c>
      <c r="L29" s="60"/>
      <c r="M29" s="17" t="s">
        <v>2243</v>
      </c>
      <c r="N29" s="18"/>
    </row>
    <row r="30">
      <c r="J30" s="57"/>
      <c r="K30" s="24" t="s">
        <v>44</v>
      </c>
      <c r="L30" s="57"/>
      <c r="M30" s="24" t="s">
        <v>2243</v>
      </c>
      <c r="N30" s="25"/>
    </row>
    <row r="31">
      <c r="J31" s="60"/>
      <c r="K31" s="17" t="s">
        <v>44</v>
      </c>
      <c r="L31" s="60"/>
      <c r="M31" s="17" t="s">
        <v>2243</v>
      </c>
      <c r="N31" s="18"/>
    </row>
    <row r="32">
      <c r="J32" s="57"/>
      <c r="K32" s="24" t="s">
        <v>44</v>
      </c>
      <c r="L32" s="57"/>
      <c r="M32" s="24" t="s">
        <v>2243</v>
      </c>
      <c r="N32" s="25"/>
    </row>
    <row r="33">
      <c r="J33" s="60"/>
      <c r="K33" s="17" t="s">
        <v>44</v>
      </c>
      <c r="L33" s="60"/>
      <c r="M33" s="17" t="s">
        <v>2243</v>
      </c>
      <c r="N33" s="18"/>
    </row>
    <row r="34">
      <c r="J34" s="57"/>
      <c r="K34" s="24" t="s">
        <v>44</v>
      </c>
      <c r="L34" s="57"/>
      <c r="M34" s="24" t="s">
        <v>2243</v>
      </c>
      <c r="N34" s="25"/>
    </row>
    <row r="35">
      <c r="J35" s="60"/>
      <c r="K35" s="17" t="s">
        <v>44</v>
      </c>
      <c r="L35" s="60"/>
      <c r="M35" s="17" t="s">
        <v>2243</v>
      </c>
      <c r="N35" s="18"/>
    </row>
    <row r="36">
      <c r="J36" s="57"/>
      <c r="K36" s="24" t="s">
        <v>44</v>
      </c>
      <c r="L36" s="57"/>
      <c r="M36" s="24" t="s">
        <v>2243</v>
      </c>
      <c r="N36" s="25"/>
    </row>
    <row r="37">
      <c r="J37" s="60"/>
      <c r="K37" s="17" t="s">
        <v>44</v>
      </c>
      <c r="L37" s="60"/>
      <c r="M37" s="17" t="s">
        <v>2243</v>
      </c>
      <c r="N37" s="18"/>
    </row>
    <row r="38">
      <c r="J38" s="57"/>
      <c r="K38" s="24" t="s">
        <v>54</v>
      </c>
      <c r="L38" s="24" t="s">
        <v>2337</v>
      </c>
      <c r="M38" s="24" t="s">
        <v>2243</v>
      </c>
      <c r="N38" s="25"/>
    </row>
    <row r="39">
      <c r="J39" s="60"/>
      <c r="K39" s="17" t="s">
        <v>44</v>
      </c>
      <c r="L39" s="60"/>
      <c r="M39" s="17" t="s">
        <v>2243</v>
      </c>
      <c r="N39" s="18"/>
    </row>
    <row r="40">
      <c r="J40" s="57"/>
      <c r="K40" s="24" t="s">
        <v>44</v>
      </c>
      <c r="L40" s="57"/>
      <c r="M40" s="24" t="s">
        <v>2243</v>
      </c>
      <c r="N40" s="25"/>
    </row>
    <row r="41">
      <c r="J41" s="60"/>
      <c r="K41" s="17" t="s">
        <v>44</v>
      </c>
      <c r="L41" s="60"/>
      <c r="M41" s="17" t="s">
        <v>2243</v>
      </c>
      <c r="N41" s="18"/>
    </row>
    <row r="42">
      <c r="J42" s="57"/>
      <c r="K42" s="24" t="s">
        <v>44</v>
      </c>
      <c r="L42" s="57"/>
      <c r="M42" s="24" t="s">
        <v>2243</v>
      </c>
      <c r="N42" s="25"/>
    </row>
    <row r="43">
      <c r="J43" s="60"/>
      <c r="K43" s="17" t="s">
        <v>44</v>
      </c>
      <c r="L43" s="60"/>
      <c r="M43" s="17" t="s">
        <v>2243</v>
      </c>
      <c r="N43" s="18"/>
    </row>
    <row r="44">
      <c r="J44" s="57"/>
      <c r="K44" s="24" t="s">
        <v>44</v>
      </c>
      <c r="L44" s="57"/>
      <c r="M44" s="24" t="s">
        <v>2243</v>
      </c>
      <c r="N44" s="25"/>
    </row>
    <row r="45">
      <c r="J45" s="60"/>
      <c r="K45" s="17" t="s">
        <v>44</v>
      </c>
      <c r="L45" s="60"/>
      <c r="M45" s="17" t="s">
        <v>2243</v>
      </c>
      <c r="N45" s="18"/>
    </row>
    <row r="46">
      <c r="J46" s="57"/>
      <c r="K46" s="24" t="s">
        <v>44</v>
      </c>
      <c r="L46" s="57"/>
      <c r="M46" s="24" t="s">
        <v>2243</v>
      </c>
      <c r="N46" s="25"/>
    </row>
    <row r="47">
      <c r="J47" s="60"/>
      <c r="K47" s="17" t="s">
        <v>44</v>
      </c>
      <c r="L47" s="60"/>
      <c r="M47" s="17" t="s">
        <v>2243</v>
      </c>
      <c r="N47" s="18"/>
    </row>
    <row r="48">
      <c r="J48" s="57"/>
      <c r="K48" s="24" t="s">
        <v>54</v>
      </c>
      <c r="L48" s="24" t="s">
        <v>2279</v>
      </c>
      <c r="M48" s="24" t="s">
        <v>2366</v>
      </c>
      <c r="N48" s="25"/>
    </row>
    <row r="49">
      <c r="J49" s="60"/>
      <c r="K49" s="17" t="s">
        <v>44</v>
      </c>
      <c r="L49" s="60"/>
      <c r="M49" s="17" t="s">
        <v>2366</v>
      </c>
      <c r="N49" s="18"/>
    </row>
    <row r="50">
      <c r="J50" s="57"/>
      <c r="K50" s="24" t="s">
        <v>44</v>
      </c>
      <c r="L50" s="57"/>
      <c r="M50" s="24" t="s">
        <v>2366</v>
      </c>
      <c r="N50" s="25"/>
    </row>
    <row r="51">
      <c r="J51" s="60"/>
      <c r="K51" s="17" t="s">
        <v>44</v>
      </c>
      <c r="L51" s="60"/>
      <c r="M51" s="17" t="s">
        <v>2366</v>
      </c>
      <c r="N51" s="18"/>
    </row>
    <row r="52">
      <c r="J52" s="57"/>
      <c r="K52" s="24" t="s">
        <v>54</v>
      </c>
      <c r="L52" s="24" t="s">
        <v>2379</v>
      </c>
      <c r="M52" s="24" t="s">
        <v>2366</v>
      </c>
      <c r="N52" s="23" t="s">
        <v>2380</v>
      </c>
    </row>
    <row r="53">
      <c r="J53" s="60"/>
      <c r="K53" s="17" t="s">
        <v>44</v>
      </c>
      <c r="L53" s="17" t="s">
        <v>2384</v>
      </c>
      <c r="M53" s="17" t="s">
        <v>2366</v>
      </c>
      <c r="N53" s="18"/>
    </row>
    <row r="54">
      <c r="J54" s="57"/>
      <c r="K54" s="24" t="s">
        <v>44</v>
      </c>
      <c r="L54" s="24" t="s">
        <v>2387</v>
      </c>
      <c r="M54" s="24" t="s">
        <v>2366</v>
      </c>
      <c r="N54" s="25"/>
    </row>
    <row r="55">
      <c r="J55" s="60"/>
      <c r="K55" s="17" t="s">
        <v>44</v>
      </c>
      <c r="L55" s="17" t="s">
        <v>2387</v>
      </c>
      <c r="M55" s="17" t="s">
        <v>2366</v>
      </c>
      <c r="N55" s="18"/>
    </row>
    <row r="56">
      <c r="J56" s="57"/>
      <c r="K56" s="24" t="s">
        <v>44</v>
      </c>
      <c r="L56" s="24" t="s">
        <v>2384</v>
      </c>
      <c r="M56" s="24" t="s">
        <v>2366</v>
      </c>
      <c r="N56" s="25"/>
    </row>
    <row r="57">
      <c r="J57" s="60"/>
      <c r="K57" s="17" t="s">
        <v>44</v>
      </c>
      <c r="L57" s="17" t="s">
        <v>2400</v>
      </c>
      <c r="M57" s="17" t="s">
        <v>2366</v>
      </c>
      <c r="N57" s="18"/>
    </row>
    <row r="58">
      <c r="J58" s="57"/>
      <c r="K58" s="24" t="s">
        <v>44</v>
      </c>
      <c r="L58" s="57"/>
      <c r="M58" s="24" t="s">
        <v>2366</v>
      </c>
      <c r="N58" s="25"/>
    </row>
    <row r="59">
      <c r="J59" s="60"/>
      <c r="K59" s="17" t="s">
        <v>54</v>
      </c>
      <c r="L59" s="17" t="s">
        <v>1073</v>
      </c>
      <c r="M59" s="17" t="s">
        <v>2366</v>
      </c>
      <c r="N59" s="18"/>
    </row>
    <row r="60">
      <c r="J60" s="57"/>
      <c r="K60" s="24" t="s">
        <v>44</v>
      </c>
      <c r="L60" s="57"/>
      <c r="M60" s="24" t="s">
        <v>2366</v>
      </c>
      <c r="N60" s="25"/>
    </row>
    <row r="61">
      <c r="J61" s="60"/>
      <c r="K61" s="17" t="s">
        <v>44</v>
      </c>
      <c r="L61" s="17" t="s">
        <v>2414</v>
      </c>
      <c r="M61" s="17" t="s">
        <v>2366</v>
      </c>
      <c r="N61" s="18"/>
    </row>
    <row r="62">
      <c r="J62" s="57"/>
      <c r="K62" s="24" t="s">
        <v>44</v>
      </c>
      <c r="L62" s="57"/>
      <c r="M62" s="24" t="s">
        <v>2366</v>
      </c>
      <c r="N62" s="25"/>
    </row>
    <row r="63">
      <c r="J63" s="60"/>
      <c r="K63" s="17" t="s">
        <v>44</v>
      </c>
      <c r="L63" s="60"/>
      <c r="M63" s="17" t="s">
        <v>2366</v>
      </c>
      <c r="N63" s="18"/>
    </row>
    <row r="64">
      <c r="J64" s="57"/>
      <c r="K64" s="24" t="s">
        <v>44</v>
      </c>
      <c r="L64" s="57"/>
      <c r="M64" s="24" t="s">
        <v>2366</v>
      </c>
      <c r="N64" s="25"/>
    </row>
    <row r="65">
      <c r="J65" s="60"/>
      <c r="K65" s="17" t="s">
        <v>44</v>
      </c>
      <c r="L65" s="60"/>
      <c r="M65" s="17" t="s">
        <v>2366</v>
      </c>
      <c r="N65" s="18"/>
    </row>
    <row r="66">
      <c r="J66" s="57"/>
      <c r="K66" s="24" t="s">
        <v>54</v>
      </c>
      <c r="L66" s="24" t="s">
        <v>2440</v>
      </c>
      <c r="M66" s="24" t="s">
        <v>2366</v>
      </c>
      <c r="N66" s="25"/>
    </row>
    <row r="67">
      <c r="J67" s="60"/>
      <c r="K67" s="17" t="s">
        <v>44</v>
      </c>
      <c r="L67" s="60"/>
      <c r="M67" s="17" t="s">
        <v>2366</v>
      </c>
      <c r="N67" s="18"/>
    </row>
    <row r="68">
      <c r="J68" s="57"/>
      <c r="K68" s="24" t="s">
        <v>54</v>
      </c>
      <c r="L68" s="24" t="s">
        <v>2448</v>
      </c>
      <c r="M68" s="24" t="s">
        <v>2366</v>
      </c>
      <c r="N68" s="25"/>
    </row>
    <row r="69">
      <c r="J69" s="60"/>
      <c r="K69" s="17" t="s">
        <v>54</v>
      </c>
      <c r="L69" s="17" t="s">
        <v>2290</v>
      </c>
      <c r="M69" s="17" t="s">
        <v>2366</v>
      </c>
      <c r="N69" s="18"/>
    </row>
    <row r="70">
      <c r="J70" s="57"/>
      <c r="K70" s="24" t="s">
        <v>44</v>
      </c>
      <c r="L70" s="24" t="s">
        <v>2384</v>
      </c>
      <c r="M70" s="24" t="s">
        <v>2366</v>
      </c>
      <c r="N70" s="25"/>
    </row>
    <row r="71">
      <c r="J71" s="60"/>
      <c r="K71" s="17" t="s">
        <v>44</v>
      </c>
      <c r="L71" s="60"/>
      <c r="M71" s="17" t="s">
        <v>2366</v>
      </c>
      <c r="N71" s="18"/>
    </row>
    <row r="72">
      <c r="J72" s="57"/>
      <c r="K72" s="24" t="s">
        <v>54</v>
      </c>
      <c r="L72" s="24" t="s">
        <v>2463</v>
      </c>
      <c r="M72" s="24" t="s">
        <v>2366</v>
      </c>
      <c r="N72" s="25"/>
    </row>
    <row r="73">
      <c r="J73" s="60"/>
      <c r="K73" s="17" t="s">
        <v>44</v>
      </c>
      <c r="L73" s="17" t="s">
        <v>2470</v>
      </c>
      <c r="M73" s="17" t="s">
        <v>2366</v>
      </c>
      <c r="N73" s="18"/>
    </row>
    <row r="74">
      <c r="J74" s="57"/>
      <c r="K74" s="24" t="s">
        <v>54</v>
      </c>
      <c r="L74" s="24" t="s">
        <v>2474</v>
      </c>
      <c r="M74" s="24" t="s">
        <v>2366</v>
      </c>
      <c r="N74" s="25"/>
    </row>
    <row r="75">
      <c r="J75" s="60"/>
      <c r="K75" s="17" t="s">
        <v>44</v>
      </c>
      <c r="L75" s="60"/>
      <c r="M75" s="17" t="s">
        <v>2366</v>
      </c>
      <c r="N75" s="18"/>
    </row>
    <row r="76">
      <c r="J76" s="57"/>
      <c r="K76" s="24" t="s">
        <v>44</v>
      </c>
      <c r="L76" s="57"/>
      <c r="M76" s="24" t="s">
        <v>2366</v>
      </c>
      <c r="N76" s="25"/>
    </row>
    <row r="77">
      <c r="J77" s="60"/>
      <c r="K77" s="17" t="s">
        <v>44</v>
      </c>
      <c r="L77" s="60"/>
      <c r="M77" s="17" t="s">
        <v>2366</v>
      </c>
      <c r="N77" s="18"/>
    </row>
    <row r="78">
      <c r="J78" s="57"/>
      <c r="K78" s="24" t="s">
        <v>44</v>
      </c>
      <c r="L78" s="24" t="s">
        <v>2384</v>
      </c>
      <c r="M78" s="24" t="s">
        <v>2366</v>
      </c>
      <c r="N78" s="25"/>
    </row>
    <row r="79">
      <c r="J79" s="60"/>
      <c r="K79" s="17" t="s">
        <v>44</v>
      </c>
      <c r="L79" s="60"/>
      <c r="M79" s="17" t="s">
        <v>2366</v>
      </c>
      <c r="N79" s="18"/>
    </row>
    <row r="80">
      <c r="J80" s="57"/>
      <c r="K80" s="24" t="s">
        <v>44</v>
      </c>
      <c r="L80" s="57"/>
      <c r="M80" s="24" t="s">
        <v>2366</v>
      </c>
      <c r="N80" s="25"/>
    </row>
    <row r="81">
      <c r="J81" s="60"/>
      <c r="K81" s="17" t="s">
        <v>44</v>
      </c>
      <c r="L81" s="60"/>
      <c r="M81" s="17" t="s">
        <v>2366</v>
      </c>
      <c r="N81" s="18"/>
    </row>
    <row r="82">
      <c r="J82" s="57"/>
      <c r="K82" s="24" t="s">
        <v>44</v>
      </c>
      <c r="L82" s="57"/>
      <c r="M82" s="24" t="s">
        <v>2366</v>
      </c>
      <c r="N82" s="25"/>
    </row>
    <row r="83">
      <c r="J83" s="60"/>
      <c r="K83" s="17" t="s">
        <v>44</v>
      </c>
      <c r="L83" s="60"/>
      <c r="M83" s="17" t="s">
        <v>2366</v>
      </c>
      <c r="N83" s="18"/>
    </row>
    <row r="84">
      <c r="J84" s="57"/>
      <c r="K84" s="24" t="s">
        <v>44</v>
      </c>
      <c r="L84" s="57"/>
      <c r="M84" s="24" t="s">
        <v>2366</v>
      </c>
      <c r="N84" s="25"/>
    </row>
    <row r="85">
      <c r="J85" s="60"/>
      <c r="K85" s="17" t="s">
        <v>54</v>
      </c>
      <c r="L85" s="17" t="s">
        <v>2502</v>
      </c>
      <c r="M85" s="17" t="s">
        <v>2366</v>
      </c>
      <c r="N85" s="18"/>
    </row>
    <row r="86">
      <c r="J86" s="57"/>
      <c r="K86" s="24" t="s">
        <v>54</v>
      </c>
      <c r="L86" s="24" t="s">
        <v>2505</v>
      </c>
      <c r="M86" s="24" t="s">
        <v>2366</v>
      </c>
      <c r="N86" s="25"/>
    </row>
    <row r="87">
      <c r="J87" s="60"/>
      <c r="K87" s="17" t="s">
        <v>44</v>
      </c>
      <c r="L87" s="60"/>
      <c r="M87" s="17" t="s">
        <v>2366</v>
      </c>
      <c r="N87" s="18"/>
    </row>
    <row r="88">
      <c r="J88" s="57"/>
      <c r="K88" s="24" t="s">
        <v>54</v>
      </c>
      <c r="L88" s="24" t="s">
        <v>2509</v>
      </c>
      <c r="M88" s="24" t="s">
        <v>2366</v>
      </c>
      <c r="N88" s="23" t="s">
        <v>2510</v>
      </c>
    </row>
    <row r="89">
      <c r="J89" s="60"/>
      <c r="K89" s="17" t="s">
        <v>44</v>
      </c>
      <c r="L89" s="60"/>
      <c r="M89" s="17" t="s">
        <v>2366</v>
      </c>
      <c r="N89" s="18"/>
    </row>
    <row r="90">
      <c r="J90" s="57"/>
      <c r="K90" s="24" t="s">
        <v>44</v>
      </c>
      <c r="L90" s="57"/>
      <c r="M90" s="24" t="s">
        <v>2366</v>
      </c>
      <c r="N90" s="25"/>
    </row>
    <row r="91">
      <c r="J91" s="60"/>
      <c r="K91" s="17" t="s">
        <v>44</v>
      </c>
      <c r="L91" s="17" t="s">
        <v>2384</v>
      </c>
      <c r="M91" s="17" t="s">
        <v>2366</v>
      </c>
      <c r="N91" s="18"/>
    </row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>
      <c r="F218" s="66"/>
    </row>
    <row r="219">
      <c r="F219" s="66"/>
    </row>
    <row r="220">
      <c r="F220" s="66"/>
    </row>
    <row r="221">
      <c r="F221" s="66"/>
    </row>
    <row r="222">
      <c r="F222" s="66"/>
    </row>
    <row r="223">
      <c r="F223" s="66"/>
    </row>
    <row r="224">
      <c r="F224" s="66"/>
    </row>
    <row r="225">
      <c r="F225" s="66"/>
    </row>
    <row r="226">
      <c r="F226" s="66"/>
    </row>
    <row r="227">
      <c r="F227" s="66"/>
    </row>
    <row r="228">
      <c r="F228" s="66"/>
    </row>
    <row r="229">
      <c r="F229" s="66"/>
    </row>
    <row r="230">
      <c r="F230" s="66"/>
    </row>
    <row r="231">
      <c r="F231" s="66"/>
    </row>
    <row r="232">
      <c r="F232" s="66"/>
    </row>
    <row r="233">
      <c r="F233" s="66"/>
    </row>
    <row r="234">
      <c r="F234" s="66"/>
    </row>
    <row r="235">
      <c r="F235" s="66"/>
    </row>
    <row r="236">
      <c r="F236" s="66"/>
    </row>
    <row r="237">
      <c r="F237" s="66"/>
    </row>
    <row r="238">
      <c r="F238" s="66"/>
    </row>
    <row r="239">
      <c r="F239" s="66"/>
    </row>
    <row r="240">
      <c r="F240" s="66"/>
    </row>
    <row r="241">
      <c r="F241" s="66"/>
    </row>
    <row r="242">
      <c r="F242" s="66"/>
    </row>
    <row r="243">
      <c r="F243" s="66"/>
    </row>
    <row r="244">
      <c r="F244" s="66"/>
    </row>
    <row r="245">
      <c r="F245" s="66"/>
    </row>
    <row r="246">
      <c r="F246" s="66"/>
    </row>
    <row r="247">
      <c r="F247" s="66"/>
    </row>
    <row r="248">
      <c r="F248" s="66"/>
    </row>
    <row r="249">
      <c r="F249" s="66"/>
    </row>
    <row r="250">
      <c r="F250" s="66"/>
    </row>
    <row r="251">
      <c r="F251" s="66"/>
    </row>
    <row r="252">
      <c r="F252" s="66"/>
    </row>
    <row r="253">
      <c r="F253" s="66"/>
    </row>
    <row r="254">
      <c r="F254" s="66"/>
    </row>
    <row r="255">
      <c r="F255" s="66"/>
    </row>
    <row r="256">
      <c r="F256" s="66"/>
    </row>
    <row r="257">
      <c r="F257" s="66"/>
    </row>
    <row r="258">
      <c r="F258" s="66"/>
    </row>
    <row r="259">
      <c r="F259" s="66"/>
    </row>
    <row r="260">
      <c r="F260" s="66"/>
    </row>
    <row r="261">
      <c r="F261" s="66"/>
    </row>
    <row r="262">
      <c r="F262" s="66"/>
    </row>
    <row r="263">
      <c r="F263" s="66"/>
    </row>
    <row r="264">
      <c r="F264" s="66"/>
    </row>
    <row r="265">
      <c r="F265" s="66"/>
    </row>
    <row r="266">
      <c r="F266" s="66"/>
    </row>
    <row r="267">
      <c r="F267" s="66"/>
    </row>
    <row r="268">
      <c r="F268" s="66"/>
    </row>
    <row r="269">
      <c r="F269" s="66"/>
    </row>
    <row r="270">
      <c r="F270" s="66"/>
    </row>
    <row r="271">
      <c r="F271" s="66"/>
    </row>
    <row r="272">
      <c r="F272" s="66"/>
    </row>
    <row r="273">
      <c r="F273" s="66"/>
    </row>
    <row r="274">
      <c r="F274" s="66"/>
    </row>
    <row r="275">
      <c r="F275" s="66"/>
    </row>
    <row r="276">
      <c r="F276" s="66"/>
    </row>
    <row r="277">
      <c r="F277" s="66"/>
    </row>
    <row r="278">
      <c r="F278" s="66"/>
    </row>
    <row r="279">
      <c r="F279" s="66"/>
    </row>
    <row r="280">
      <c r="F280" s="66"/>
    </row>
    <row r="281">
      <c r="F281" s="66"/>
    </row>
    <row r="282">
      <c r="F282" s="66"/>
    </row>
    <row r="283">
      <c r="F283" s="66"/>
    </row>
    <row r="284">
      <c r="F284" s="66"/>
    </row>
    <row r="285">
      <c r="F285" s="66"/>
    </row>
    <row r="286">
      <c r="F286" s="66"/>
    </row>
    <row r="287">
      <c r="F287" s="66"/>
    </row>
    <row r="288">
      <c r="F288" s="66"/>
    </row>
    <row r="289">
      <c r="F289" s="66"/>
    </row>
    <row r="290">
      <c r="F290" s="66"/>
    </row>
    <row r="291">
      <c r="F291" s="66"/>
    </row>
    <row r="292">
      <c r="F292" s="66"/>
    </row>
    <row r="293">
      <c r="F293" s="66"/>
    </row>
    <row r="294">
      <c r="F294" s="66"/>
    </row>
    <row r="295">
      <c r="F295" s="66"/>
    </row>
    <row r="296">
      <c r="F296" s="66"/>
    </row>
    <row r="297">
      <c r="F297" s="66"/>
    </row>
    <row r="298">
      <c r="F298" s="66"/>
    </row>
    <row r="299">
      <c r="F299" s="66"/>
    </row>
    <row r="300">
      <c r="F300" s="66"/>
    </row>
    <row r="301">
      <c r="F301" s="66"/>
    </row>
    <row r="302">
      <c r="F302" s="66"/>
    </row>
    <row r="303">
      <c r="F303" s="66"/>
    </row>
    <row r="304">
      <c r="F304" s="66"/>
    </row>
    <row r="305">
      <c r="F305" s="66"/>
    </row>
    <row r="306">
      <c r="F306" s="66"/>
    </row>
    <row r="307">
      <c r="F307" s="66"/>
    </row>
    <row r="308">
      <c r="F308" s="66"/>
    </row>
    <row r="309">
      <c r="F309" s="66"/>
    </row>
    <row r="310">
      <c r="F310" s="66"/>
    </row>
    <row r="311">
      <c r="F311" s="66"/>
    </row>
    <row r="312">
      <c r="F312" s="66"/>
    </row>
    <row r="313">
      <c r="F313" s="66"/>
    </row>
    <row r="314">
      <c r="F314" s="66"/>
    </row>
    <row r="315">
      <c r="F315" s="66"/>
    </row>
    <row r="316">
      <c r="F316" s="66"/>
    </row>
    <row r="317">
      <c r="F317" s="66"/>
    </row>
    <row r="318">
      <c r="F318" s="66"/>
    </row>
    <row r="319">
      <c r="F319" s="66"/>
    </row>
    <row r="320">
      <c r="F320" s="66"/>
    </row>
    <row r="321">
      <c r="F321" s="66"/>
    </row>
    <row r="322">
      <c r="F322" s="66"/>
    </row>
    <row r="323">
      <c r="F323" s="66"/>
    </row>
    <row r="324">
      <c r="F324" s="66"/>
    </row>
    <row r="325">
      <c r="F325" s="66"/>
    </row>
    <row r="326">
      <c r="F326" s="66"/>
    </row>
    <row r="327">
      <c r="F327" s="66"/>
    </row>
    <row r="328">
      <c r="F328" s="66"/>
    </row>
    <row r="329">
      <c r="F329" s="66"/>
    </row>
    <row r="330">
      <c r="F330" s="66"/>
    </row>
    <row r="331">
      <c r="F331" s="66"/>
    </row>
    <row r="332">
      <c r="F332" s="66"/>
    </row>
    <row r="333">
      <c r="F333" s="66"/>
    </row>
    <row r="334">
      <c r="F334" s="66"/>
    </row>
    <row r="335">
      <c r="F335" s="66"/>
    </row>
    <row r="336">
      <c r="F336" s="66"/>
    </row>
    <row r="337">
      <c r="F337" s="66"/>
    </row>
    <row r="338">
      <c r="F338" s="66"/>
    </row>
    <row r="339">
      <c r="F339" s="66"/>
    </row>
    <row r="340">
      <c r="F340" s="66"/>
    </row>
    <row r="341">
      <c r="F341" s="66"/>
    </row>
    <row r="342">
      <c r="F342" s="66"/>
    </row>
    <row r="343">
      <c r="F343" s="66"/>
    </row>
    <row r="344">
      <c r="F344" s="66"/>
    </row>
    <row r="345">
      <c r="F345" s="66"/>
    </row>
    <row r="346">
      <c r="F346" s="66"/>
    </row>
    <row r="347">
      <c r="F347" s="66"/>
    </row>
    <row r="348">
      <c r="F348" s="66"/>
    </row>
    <row r="349">
      <c r="F349" s="66"/>
    </row>
    <row r="350">
      <c r="F350" s="66"/>
    </row>
    <row r="351">
      <c r="F351" s="66"/>
    </row>
    <row r="352">
      <c r="F352" s="66"/>
    </row>
    <row r="353">
      <c r="F353" s="66"/>
    </row>
    <row r="354">
      <c r="F354" s="66"/>
    </row>
    <row r="355">
      <c r="F355" s="66"/>
    </row>
    <row r="356">
      <c r="F356" s="66"/>
    </row>
    <row r="357">
      <c r="F357" s="66"/>
    </row>
    <row r="358">
      <c r="F358" s="66"/>
    </row>
    <row r="359">
      <c r="F359" s="66"/>
    </row>
    <row r="360">
      <c r="F360" s="66"/>
    </row>
    <row r="361">
      <c r="F361" s="66"/>
    </row>
    <row r="362">
      <c r="F362" s="66"/>
    </row>
    <row r="363">
      <c r="F363" s="66"/>
    </row>
    <row r="364">
      <c r="F364" s="66"/>
    </row>
    <row r="365">
      <c r="F365" s="66"/>
    </row>
    <row r="366">
      <c r="F366" s="66"/>
    </row>
    <row r="367">
      <c r="F367" s="66"/>
    </row>
    <row r="368">
      <c r="F368" s="66"/>
    </row>
    <row r="369">
      <c r="F369" s="66"/>
    </row>
    <row r="370">
      <c r="F370" s="66"/>
    </row>
    <row r="371">
      <c r="F371" s="66"/>
    </row>
    <row r="372">
      <c r="F372" s="66"/>
    </row>
    <row r="373">
      <c r="F373" s="66"/>
    </row>
    <row r="374">
      <c r="F374" s="66"/>
    </row>
    <row r="375">
      <c r="F375" s="66"/>
    </row>
    <row r="376">
      <c r="F376" s="66"/>
    </row>
    <row r="377">
      <c r="F377" s="66"/>
    </row>
    <row r="378">
      <c r="F378" s="66"/>
    </row>
    <row r="379">
      <c r="F379" s="66"/>
    </row>
    <row r="380">
      <c r="F380" s="66"/>
    </row>
    <row r="381">
      <c r="F381" s="66"/>
    </row>
    <row r="382">
      <c r="F382" s="66"/>
    </row>
    <row r="383">
      <c r="F383" s="66"/>
    </row>
    <row r="384">
      <c r="F384" s="66"/>
    </row>
    <row r="385">
      <c r="F385" s="66"/>
    </row>
    <row r="386">
      <c r="F386" s="66"/>
    </row>
    <row r="387">
      <c r="F387" s="66"/>
    </row>
    <row r="388">
      <c r="F388" s="66"/>
    </row>
    <row r="389">
      <c r="F389" s="66"/>
    </row>
    <row r="390">
      <c r="F390" s="66"/>
    </row>
    <row r="391">
      <c r="F391" s="66"/>
    </row>
    <row r="392">
      <c r="F392" s="66"/>
    </row>
    <row r="393">
      <c r="F393" s="66"/>
    </row>
    <row r="394">
      <c r="F394" s="66"/>
    </row>
    <row r="395">
      <c r="F395" s="66"/>
    </row>
    <row r="396">
      <c r="F396" s="66"/>
    </row>
    <row r="397">
      <c r="F397" s="66"/>
    </row>
    <row r="398">
      <c r="F398" s="66"/>
    </row>
    <row r="399">
      <c r="F399" s="66"/>
    </row>
    <row r="400">
      <c r="F400" s="66"/>
    </row>
    <row r="401">
      <c r="F401" s="66"/>
    </row>
    <row r="402">
      <c r="F402" s="66"/>
    </row>
    <row r="403">
      <c r="F403" s="66"/>
    </row>
    <row r="404">
      <c r="F404" s="66"/>
    </row>
    <row r="405">
      <c r="F405" s="66"/>
    </row>
    <row r="406">
      <c r="F406" s="66"/>
    </row>
    <row r="407">
      <c r="F407" s="66"/>
    </row>
    <row r="408">
      <c r="F408" s="66"/>
    </row>
    <row r="409">
      <c r="F409" s="66"/>
    </row>
    <row r="410">
      <c r="F410" s="66"/>
    </row>
    <row r="411">
      <c r="F411" s="66"/>
    </row>
    <row r="412">
      <c r="F412" s="66"/>
    </row>
    <row r="413">
      <c r="F413" s="66"/>
    </row>
    <row r="414">
      <c r="F414" s="66"/>
    </row>
    <row r="415">
      <c r="F415" s="66"/>
    </row>
    <row r="416">
      <c r="F416" s="66"/>
    </row>
    <row r="417">
      <c r="F417" s="66"/>
    </row>
    <row r="418">
      <c r="F418" s="66"/>
    </row>
    <row r="419">
      <c r="F419" s="66"/>
    </row>
    <row r="420">
      <c r="F420" s="66"/>
    </row>
    <row r="421">
      <c r="F421" s="66"/>
    </row>
    <row r="422">
      <c r="F422" s="66"/>
    </row>
    <row r="423">
      <c r="F423" s="66"/>
    </row>
    <row r="424">
      <c r="F424" s="66"/>
    </row>
    <row r="425">
      <c r="F425" s="66"/>
    </row>
    <row r="426">
      <c r="F426" s="66"/>
    </row>
    <row r="427">
      <c r="F427" s="66"/>
    </row>
    <row r="428">
      <c r="F428" s="66"/>
    </row>
    <row r="429">
      <c r="F429" s="66"/>
    </row>
    <row r="430">
      <c r="F430" s="66"/>
    </row>
    <row r="431">
      <c r="F431" s="66"/>
    </row>
    <row r="432">
      <c r="F432" s="66"/>
    </row>
    <row r="433">
      <c r="F433" s="66"/>
    </row>
    <row r="434">
      <c r="F434" s="66"/>
    </row>
    <row r="435">
      <c r="F435" s="66"/>
    </row>
    <row r="436">
      <c r="F436" s="66"/>
    </row>
    <row r="437">
      <c r="F437" s="66"/>
    </row>
    <row r="438">
      <c r="F438" s="66"/>
    </row>
    <row r="439">
      <c r="F439" s="66"/>
    </row>
    <row r="440">
      <c r="F440" s="66"/>
    </row>
    <row r="441">
      <c r="F441" s="66"/>
    </row>
    <row r="442">
      <c r="F442" s="66"/>
    </row>
    <row r="443">
      <c r="F443" s="66"/>
    </row>
    <row r="444">
      <c r="F444" s="66"/>
    </row>
    <row r="445">
      <c r="F445" s="66"/>
    </row>
    <row r="446">
      <c r="F446" s="66"/>
    </row>
    <row r="447">
      <c r="F447" s="66"/>
    </row>
    <row r="448">
      <c r="F448" s="66"/>
    </row>
    <row r="449">
      <c r="F449" s="66"/>
    </row>
    <row r="450">
      <c r="F450" s="66"/>
    </row>
    <row r="451">
      <c r="F451" s="66"/>
    </row>
    <row r="452">
      <c r="F452" s="66"/>
    </row>
    <row r="453">
      <c r="F453" s="66"/>
    </row>
    <row r="454">
      <c r="F454" s="66"/>
    </row>
    <row r="455">
      <c r="F455" s="66"/>
    </row>
    <row r="456">
      <c r="F456" s="66"/>
    </row>
    <row r="457">
      <c r="F457" s="66"/>
    </row>
    <row r="458">
      <c r="F458" s="66"/>
    </row>
    <row r="459">
      <c r="F459" s="66"/>
    </row>
    <row r="460">
      <c r="F460" s="66"/>
    </row>
    <row r="461">
      <c r="F461" s="66"/>
    </row>
    <row r="462">
      <c r="F462" s="66"/>
    </row>
    <row r="463">
      <c r="F463" s="66"/>
    </row>
    <row r="464">
      <c r="F464" s="66"/>
    </row>
    <row r="465">
      <c r="F465" s="66"/>
    </row>
    <row r="466">
      <c r="F466" s="66"/>
    </row>
    <row r="467">
      <c r="F467" s="66"/>
    </row>
    <row r="468">
      <c r="F468" s="66"/>
    </row>
    <row r="469">
      <c r="F469" s="66"/>
    </row>
    <row r="470">
      <c r="F470" s="66"/>
    </row>
    <row r="471">
      <c r="F471" s="66"/>
    </row>
    <row r="472">
      <c r="F472" s="66"/>
    </row>
    <row r="473">
      <c r="F473" s="66"/>
    </row>
    <row r="474">
      <c r="F474" s="66"/>
    </row>
    <row r="475">
      <c r="F475" s="66"/>
    </row>
    <row r="476">
      <c r="F476" s="66"/>
    </row>
    <row r="477">
      <c r="F477" s="66"/>
    </row>
    <row r="478">
      <c r="F478" s="66"/>
    </row>
    <row r="479">
      <c r="F479" s="66"/>
    </row>
    <row r="480">
      <c r="F480" s="66"/>
    </row>
    <row r="481">
      <c r="F481" s="66"/>
    </row>
    <row r="482">
      <c r="F482" s="66"/>
    </row>
    <row r="483">
      <c r="F483" s="66"/>
    </row>
    <row r="484">
      <c r="F484" s="66"/>
    </row>
    <row r="485">
      <c r="F485" s="66"/>
    </row>
    <row r="486">
      <c r="F486" s="66"/>
    </row>
    <row r="487">
      <c r="F487" s="66"/>
    </row>
    <row r="488">
      <c r="F488" s="66"/>
    </row>
    <row r="489">
      <c r="F489" s="66"/>
    </row>
    <row r="490">
      <c r="F490" s="66"/>
    </row>
    <row r="491">
      <c r="F491" s="66"/>
    </row>
    <row r="492">
      <c r="F492" s="66"/>
    </row>
    <row r="493">
      <c r="F493" s="66"/>
    </row>
    <row r="494">
      <c r="F494" s="66"/>
    </row>
    <row r="495">
      <c r="F495" s="66"/>
    </row>
    <row r="496">
      <c r="F496" s="66"/>
    </row>
    <row r="497">
      <c r="F497" s="66"/>
    </row>
    <row r="498">
      <c r="F498" s="66"/>
    </row>
    <row r="499">
      <c r="F499" s="66"/>
    </row>
    <row r="500">
      <c r="F500" s="66"/>
    </row>
    <row r="501">
      <c r="F501" s="66"/>
    </row>
    <row r="502">
      <c r="F502" s="66"/>
    </row>
    <row r="503">
      <c r="F503" s="66"/>
    </row>
    <row r="504">
      <c r="F504" s="66"/>
    </row>
    <row r="505">
      <c r="F505" s="66"/>
    </row>
    <row r="506">
      <c r="F506" s="66"/>
    </row>
    <row r="507">
      <c r="F507" s="66"/>
    </row>
    <row r="508">
      <c r="F508" s="66"/>
    </row>
    <row r="509">
      <c r="F509" s="66"/>
    </row>
    <row r="510">
      <c r="F510" s="66"/>
    </row>
    <row r="511">
      <c r="F511" s="66"/>
    </row>
    <row r="512">
      <c r="F512" s="66"/>
    </row>
    <row r="513">
      <c r="F513" s="66"/>
    </row>
    <row r="514">
      <c r="F514" s="66"/>
    </row>
    <row r="515">
      <c r="F515" s="66"/>
    </row>
    <row r="516">
      <c r="F516" s="66"/>
    </row>
    <row r="517">
      <c r="F517" s="66"/>
    </row>
    <row r="518">
      <c r="F518" s="66"/>
    </row>
    <row r="519">
      <c r="F519" s="66"/>
    </row>
    <row r="520">
      <c r="F520" s="66"/>
    </row>
    <row r="521">
      <c r="F521" s="66"/>
    </row>
    <row r="522">
      <c r="F522" s="66"/>
    </row>
    <row r="523">
      <c r="F523" s="66"/>
    </row>
    <row r="524">
      <c r="F524" s="66"/>
    </row>
    <row r="525">
      <c r="F525" s="66"/>
    </row>
    <row r="526">
      <c r="F526" s="66"/>
    </row>
    <row r="527">
      <c r="F527" s="66"/>
    </row>
    <row r="528">
      <c r="F528" s="66"/>
    </row>
    <row r="529">
      <c r="F529" s="66"/>
    </row>
    <row r="530">
      <c r="F530" s="66"/>
    </row>
    <row r="531">
      <c r="F531" s="66"/>
    </row>
    <row r="532">
      <c r="F532" s="66"/>
    </row>
    <row r="533">
      <c r="F533" s="66"/>
    </row>
    <row r="534">
      <c r="F534" s="66"/>
    </row>
    <row r="535">
      <c r="F535" s="66"/>
    </row>
    <row r="536">
      <c r="F536" s="66"/>
    </row>
    <row r="537">
      <c r="F537" s="66"/>
    </row>
    <row r="538">
      <c r="F538" s="66"/>
    </row>
    <row r="539">
      <c r="F539" s="66"/>
    </row>
    <row r="540">
      <c r="F540" s="66"/>
    </row>
    <row r="541">
      <c r="F541" s="66"/>
    </row>
    <row r="542">
      <c r="F542" s="66"/>
    </row>
    <row r="543">
      <c r="F543" s="66"/>
    </row>
    <row r="544">
      <c r="F544" s="66"/>
    </row>
    <row r="545">
      <c r="F545" s="66"/>
    </row>
    <row r="546">
      <c r="F546" s="66"/>
    </row>
    <row r="547">
      <c r="F547" s="66"/>
    </row>
    <row r="548">
      <c r="F548" s="66"/>
    </row>
    <row r="549">
      <c r="F549" s="66"/>
    </row>
    <row r="550">
      <c r="F550" s="66"/>
    </row>
    <row r="551">
      <c r="F551" s="66"/>
    </row>
    <row r="552">
      <c r="F552" s="66"/>
    </row>
    <row r="553">
      <c r="F553" s="66"/>
    </row>
    <row r="554">
      <c r="F554" s="66"/>
    </row>
    <row r="555">
      <c r="F555" s="66"/>
    </row>
    <row r="556">
      <c r="F556" s="66"/>
    </row>
    <row r="557">
      <c r="F557" s="66"/>
    </row>
    <row r="558">
      <c r="F558" s="66"/>
    </row>
    <row r="559">
      <c r="F559" s="66"/>
    </row>
    <row r="560">
      <c r="F560" s="66"/>
    </row>
    <row r="561">
      <c r="F561" s="66"/>
    </row>
    <row r="562">
      <c r="F562" s="66"/>
    </row>
    <row r="563">
      <c r="F563" s="66"/>
    </row>
    <row r="564">
      <c r="F564" s="66"/>
    </row>
    <row r="565">
      <c r="F565" s="66"/>
    </row>
    <row r="566">
      <c r="F566" s="66"/>
    </row>
    <row r="567">
      <c r="F567" s="66"/>
    </row>
    <row r="568">
      <c r="F568" s="66"/>
    </row>
    <row r="569">
      <c r="F569" s="66"/>
    </row>
    <row r="570">
      <c r="F570" s="66"/>
    </row>
    <row r="571">
      <c r="F571" s="66"/>
    </row>
    <row r="572">
      <c r="F572" s="66"/>
    </row>
    <row r="573">
      <c r="F573" s="66"/>
    </row>
    <row r="574">
      <c r="F574" s="66"/>
    </row>
    <row r="575">
      <c r="F575" s="66"/>
    </row>
    <row r="576">
      <c r="F576" s="66"/>
    </row>
    <row r="577">
      <c r="F577" s="66"/>
    </row>
    <row r="578">
      <c r="F578" s="66"/>
    </row>
    <row r="579">
      <c r="F579" s="66"/>
    </row>
    <row r="580">
      <c r="F580" s="66"/>
    </row>
    <row r="581">
      <c r="F581" s="66"/>
    </row>
    <row r="582">
      <c r="F582" s="66"/>
    </row>
    <row r="583">
      <c r="F583" s="66"/>
    </row>
    <row r="584">
      <c r="F584" s="66"/>
    </row>
    <row r="585">
      <c r="F585" s="66"/>
    </row>
    <row r="586">
      <c r="F586" s="66"/>
    </row>
    <row r="587">
      <c r="F587" s="66"/>
    </row>
    <row r="588">
      <c r="F588" s="66"/>
    </row>
    <row r="589">
      <c r="F589" s="66"/>
    </row>
    <row r="590">
      <c r="F590" s="66"/>
    </row>
    <row r="591">
      <c r="F591" s="66"/>
    </row>
    <row r="592">
      <c r="F592" s="66"/>
    </row>
    <row r="593">
      <c r="F593" s="66"/>
    </row>
    <row r="594">
      <c r="F594" s="66"/>
    </row>
    <row r="595">
      <c r="F595" s="66"/>
    </row>
    <row r="596">
      <c r="F596" s="66"/>
    </row>
    <row r="597">
      <c r="F597" s="66"/>
    </row>
    <row r="598">
      <c r="F598" s="66"/>
    </row>
    <row r="599">
      <c r="F599" s="66"/>
    </row>
    <row r="600">
      <c r="F600" s="66"/>
    </row>
    <row r="601">
      <c r="F601" s="66"/>
    </row>
    <row r="602">
      <c r="F602" s="66"/>
    </row>
    <row r="603">
      <c r="F603" s="66"/>
    </row>
    <row r="604">
      <c r="F604" s="66"/>
    </row>
    <row r="605">
      <c r="F605" s="66"/>
    </row>
    <row r="606">
      <c r="F606" s="66"/>
    </row>
    <row r="607">
      <c r="F607" s="66"/>
    </row>
    <row r="608">
      <c r="F608" s="66"/>
    </row>
    <row r="609">
      <c r="F609" s="66"/>
    </row>
    <row r="610">
      <c r="F610" s="66"/>
    </row>
    <row r="611">
      <c r="F611" s="66"/>
    </row>
    <row r="612">
      <c r="F612" s="66"/>
    </row>
    <row r="613">
      <c r="F613" s="66"/>
    </row>
    <row r="614">
      <c r="F614" s="66"/>
    </row>
    <row r="615">
      <c r="F615" s="66"/>
    </row>
    <row r="616">
      <c r="F616" s="66"/>
    </row>
    <row r="617">
      <c r="F617" s="66"/>
    </row>
    <row r="618">
      <c r="F618" s="66"/>
    </row>
    <row r="619">
      <c r="F619" s="66"/>
    </row>
    <row r="620">
      <c r="F620" s="66"/>
    </row>
    <row r="621">
      <c r="F621" s="66"/>
    </row>
    <row r="622">
      <c r="F622" s="66"/>
    </row>
    <row r="623">
      <c r="F623" s="66"/>
    </row>
    <row r="624">
      <c r="F624" s="66"/>
    </row>
    <row r="625">
      <c r="F625" s="66"/>
    </row>
    <row r="626">
      <c r="F626" s="66"/>
    </row>
    <row r="627">
      <c r="F627" s="66"/>
    </row>
    <row r="628">
      <c r="F628" s="66"/>
    </row>
    <row r="629">
      <c r="F629" s="66"/>
    </row>
    <row r="630">
      <c r="F630" s="66"/>
    </row>
    <row r="631">
      <c r="F631" s="66"/>
    </row>
    <row r="632">
      <c r="F632" s="66"/>
    </row>
    <row r="633">
      <c r="F633" s="66"/>
    </row>
    <row r="634">
      <c r="F634" s="66"/>
    </row>
    <row r="635">
      <c r="F635" s="66"/>
    </row>
    <row r="636">
      <c r="F636" s="66"/>
    </row>
    <row r="637">
      <c r="F637" s="66"/>
    </row>
    <row r="638">
      <c r="F638" s="66"/>
    </row>
    <row r="639">
      <c r="F639" s="66"/>
    </row>
    <row r="640">
      <c r="F640" s="66"/>
    </row>
    <row r="641">
      <c r="F641" s="66"/>
    </row>
    <row r="642">
      <c r="F642" s="66"/>
    </row>
    <row r="643">
      <c r="F643" s="66"/>
    </row>
    <row r="644">
      <c r="F644" s="66"/>
    </row>
    <row r="645">
      <c r="F645" s="66"/>
    </row>
    <row r="646">
      <c r="F646" s="66"/>
    </row>
    <row r="647">
      <c r="F647" s="66"/>
    </row>
    <row r="648">
      <c r="F648" s="66"/>
    </row>
    <row r="649">
      <c r="F649" s="66"/>
    </row>
    <row r="650">
      <c r="F650" s="66"/>
    </row>
    <row r="651">
      <c r="F651" s="66"/>
    </row>
    <row r="652">
      <c r="F652" s="66"/>
    </row>
    <row r="653">
      <c r="F653" s="66"/>
    </row>
    <row r="654">
      <c r="F654" s="66"/>
    </row>
    <row r="655">
      <c r="F655" s="66"/>
    </row>
    <row r="656">
      <c r="F656" s="66"/>
    </row>
    <row r="657">
      <c r="F657" s="66"/>
    </row>
    <row r="658">
      <c r="F658" s="66"/>
    </row>
    <row r="659">
      <c r="F659" s="66"/>
    </row>
    <row r="660">
      <c r="F660" s="66"/>
    </row>
    <row r="661">
      <c r="F661" s="66"/>
    </row>
    <row r="662">
      <c r="F662" s="66"/>
    </row>
    <row r="663">
      <c r="F663" s="66"/>
    </row>
    <row r="664">
      <c r="F664" s="66"/>
    </row>
    <row r="665">
      <c r="F665" s="66"/>
    </row>
    <row r="666">
      <c r="F666" s="66"/>
    </row>
    <row r="667">
      <c r="F667" s="66"/>
    </row>
    <row r="668">
      <c r="F668" s="66"/>
    </row>
    <row r="669">
      <c r="F669" s="66"/>
    </row>
    <row r="670">
      <c r="F670" s="66"/>
    </row>
    <row r="671">
      <c r="F671" s="66"/>
    </row>
    <row r="672">
      <c r="F672" s="66"/>
    </row>
    <row r="673">
      <c r="F673" s="66"/>
    </row>
    <row r="674">
      <c r="F674" s="66"/>
    </row>
    <row r="675">
      <c r="F675" s="66"/>
    </row>
    <row r="676">
      <c r="F676" s="66"/>
    </row>
    <row r="677">
      <c r="F677" s="66"/>
    </row>
    <row r="678">
      <c r="F678" s="66"/>
    </row>
    <row r="679">
      <c r="F679" s="66"/>
    </row>
    <row r="680">
      <c r="F680" s="66"/>
    </row>
    <row r="681">
      <c r="F681" s="66"/>
    </row>
    <row r="682">
      <c r="F682" s="66"/>
    </row>
    <row r="683">
      <c r="F683" s="66"/>
    </row>
    <row r="684">
      <c r="F684" s="66"/>
    </row>
    <row r="685">
      <c r="F685" s="66"/>
    </row>
    <row r="686">
      <c r="F686" s="66"/>
    </row>
    <row r="687">
      <c r="F687" s="66"/>
    </row>
    <row r="688">
      <c r="F688" s="66"/>
    </row>
    <row r="689">
      <c r="F689" s="66"/>
    </row>
    <row r="690">
      <c r="F690" s="66"/>
    </row>
    <row r="691">
      <c r="F691" s="66"/>
    </row>
    <row r="692">
      <c r="F692" s="66"/>
    </row>
    <row r="693">
      <c r="F693" s="66"/>
    </row>
    <row r="694">
      <c r="F694" s="66"/>
    </row>
    <row r="695">
      <c r="F695" s="66"/>
    </row>
    <row r="696">
      <c r="F696" s="66"/>
    </row>
    <row r="697">
      <c r="F697" s="66"/>
    </row>
    <row r="698">
      <c r="F698" s="66"/>
    </row>
    <row r="699">
      <c r="F699" s="66"/>
    </row>
    <row r="700">
      <c r="F700" s="66"/>
    </row>
    <row r="701">
      <c r="F701" s="66"/>
    </row>
    <row r="702">
      <c r="F702" s="66"/>
    </row>
    <row r="703">
      <c r="F703" s="66"/>
    </row>
    <row r="704">
      <c r="F704" s="66"/>
    </row>
    <row r="705">
      <c r="F705" s="66"/>
    </row>
    <row r="706">
      <c r="F706" s="66"/>
    </row>
    <row r="707">
      <c r="F707" s="66"/>
    </row>
    <row r="708">
      <c r="F708" s="66"/>
    </row>
    <row r="709">
      <c r="F709" s="66"/>
    </row>
    <row r="710">
      <c r="F710" s="66"/>
    </row>
    <row r="711">
      <c r="F711" s="66"/>
    </row>
    <row r="712">
      <c r="F712" s="66"/>
    </row>
    <row r="713">
      <c r="F713" s="66"/>
    </row>
    <row r="714">
      <c r="F714" s="66"/>
    </row>
    <row r="715">
      <c r="F715" s="66"/>
    </row>
    <row r="716">
      <c r="F716" s="66"/>
    </row>
    <row r="717">
      <c r="F717" s="66"/>
    </row>
    <row r="718">
      <c r="F718" s="66"/>
    </row>
    <row r="719">
      <c r="F719" s="66"/>
    </row>
    <row r="720">
      <c r="F720" s="66"/>
    </row>
    <row r="721">
      <c r="F721" s="66"/>
    </row>
    <row r="722">
      <c r="F722" s="66"/>
    </row>
    <row r="723">
      <c r="F723" s="66"/>
    </row>
    <row r="724">
      <c r="F724" s="66"/>
    </row>
    <row r="725">
      <c r="F725" s="66"/>
    </row>
    <row r="726">
      <c r="F726" s="66"/>
    </row>
    <row r="727">
      <c r="F727" s="66"/>
    </row>
    <row r="728">
      <c r="F728" s="66"/>
    </row>
    <row r="729">
      <c r="F729" s="66"/>
    </row>
    <row r="730">
      <c r="F730" s="66"/>
    </row>
    <row r="731">
      <c r="F731" s="66"/>
    </row>
    <row r="732">
      <c r="F732" s="66"/>
    </row>
    <row r="733">
      <c r="F733" s="66"/>
    </row>
    <row r="734">
      <c r="F734" s="66"/>
    </row>
    <row r="735">
      <c r="F735" s="66"/>
    </row>
    <row r="736">
      <c r="F736" s="66"/>
    </row>
    <row r="737">
      <c r="F737" s="66"/>
    </row>
    <row r="738">
      <c r="F738" s="66"/>
    </row>
    <row r="739">
      <c r="F739" s="66"/>
    </row>
    <row r="740">
      <c r="F740" s="66"/>
    </row>
    <row r="741">
      <c r="F741" s="66"/>
    </row>
    <row r="742">
      <c r="F742" s="66"/>
    </row>
    <row r="743">
      <c r="F743" s="66"/>
    </row>
    <row r="744">
      <c r="F744" s="66"/>
    </row>
    <row r="745">
      <c r="F745" s="66"/>
    </row>
    <row r="746">
      <c r="F746" s="66"/>
    </row>
    <row r="747">
      <c r="F747" s="66"/>
    </row>
    <row r="748">
      <c r="F748" s="66"/>
    </row>
    <row r="749">
      <c r="F749" s="66"/>
    </row>
    <row r="750">
      <c r="F750" s="66"/>
    </row>
    <row r="751">
      <c r="F751" s="66"/>
    </row>
    <row r="752">
      <c r="F752" s="66"/>
    </row>
    <row r="753">
      <c r="F753" s="66"/>
    </row>
    <row r="754">
      <c r="F754" s="66"/>
    </row>
    <row r="755">
      <c r="F755" s="66"/>
    </row>
    <row r="756">
      <c r="F756" s="66"/>
    </row>
    <row r="757">
      <c r="F757" s="66"/>
    </row>
    <row r="758">
      <c r="F758" s="66"/>
    </row>
    <row r="759">
      <c r="F759" s="66"/>
    </row>
    <row r="760">
      <c r="F760" s="66"/>
    </row>
    <row r="761">
      <c r="F761" s="66"/>
    </row>
    <row r="762">
      <c r="F762" s="66"/>
    </row>
    <row r="763">
      <c r="F763" s="66"/>
    </row>
    <row r="764">
      <c r="F764" s="66"/>
    </row>
    <row r="765">
      <c r="F765" s="66"/>
    </row>
    <row r="766">
      <c r="F766" s="66"/>
    </row>
    <row r="767">
      <c r="F767" s="66"/>
    </row>
    <row r="768">
      <c r="F768" s="66"/>
    </row>
    <row r="769">
      <c r="F769" s="66"/>
    </row>
    <row r="770">
      <c r="F770" s="66"/>
    </row>
    <row r="771">
      <c r="F771" s="66"/>
    </row>
    <row r="772">
      <c r="F772" s="66"/>
    </row>
    <row r="773">
      <c r="F773" s="66"/>
    </row>
    <row r="774">
      <c r="F774" s="66"/>
    </row>
    <row r="775">
      <c r="F775" s="66"/>
    </row>
    <row r="776">
      <c r="F776" s="66"/>
    </row>
    <row r="777">
      <c r="F777" s="66"/>
    </row>
    <row r="778">
      <c r="F778" s="66"/>
    </row>
    <row r="779">
      <c r="F779" s="66"/>
    </row>
    <row r="780">
      <c r="F780" s="66"/>
    </row>
    <row r="781">
      <c r="F781" s="66"/>
    </row>
    <row r="782">
      <c r="F782" s="66"/>
    </row>
    <row r="783">
      <c r="F783" s="66"/>
    </row>
    <row r="784">
      <c r="F784" s="66"/>
    </row>
    <row r="785">
      <c r="F785" s="66"/>
    </row>
    <row r="786">
      <c r="F786" s="66"/>
    </row>
    <row r="787">
      <c r="F787" s="66"/>
    </row>
    <row r="788">
      <c r="F788" s="66"/>
    </row>
    <row r="789">
      <c r="F789" s="66"/>
    </row>
    <row r="790">
      <c r="F790" s="66"/>
    </row>
    <row r="791">
      <c r="F791" s="66"/>
    </row>
    <row r="792">
      <c r="F792" s="66"/>
    </row>
    <row r="793">
      <c r="F793" s="66"/>
    </row>
    <row r="794">
      <c r="F794" s="66"/>
    </row>
    <row r="795">
      <c r="F795" s="66"/>
    </row>
    <row r="796">
      <c r="F796" s="66"/>
    </row>
    <row r="797">
      <c r="F797" s="66"/>
    </row>
    <row r="798">
      <c r="F798" s="66"/>
    </row>
    <row r="799">
      <c r="F799" s="66"/>
    </row>
    <row r="800">
      <c r="F800" s="66"/>
    </row>
    <row r="801">
      <c r="F801" s="66"/>
    </row>
    <row r="802">
      <c r="F802" s="66"/>
    </row>
    <row r="803">
      <c r="F803" s="66"/>
    </row>
    <row r="804">
      <c r="F804" s="66"/>
    </row>
    <row r="805">
      <c r="F805" s="66"/>
    </row>
    <row r="806">
      <c r="F806" s="66"/>
    </row>
    <row r="807">
      <c r="F807" s="66"/>
    </row>
    <row r="808">
      <c r="F808" s="66"/>
    </row>
    <row r="809">
      <c r="F809" s="66"/>
    </row>
    <row r="810">
      <c r="F810" s="66"/>
    </row>
    <row r="811">
      <c r="F811" s="66"/>
    </row>
    <row r="812">
      <c r="F812" s="66"/>
    </row>
    <row r="813">
      <c r="F813" s="66"/>
    </row>
    <row r="814">
      <c r="F814" s="66"/>
    </row>
    <row r="815">
      <c r="F815" s="66"/>
    </row>
    <row r="816">
      <c r="F816" s="66"/>
    </row>
    <row r="817">
      <c r="F817" s="66"/>
    </row>
    <row r="818">
      <c r="F818" s="66"/>
    </row>
    <row r="819">
      <c r="F819" s="66"/>
    </row>
    <row r="820">
      <c r="F820" s="66"/>
    </row>
    <row r="821">
      <c r="F821" s="66"/>
    </row>
    <row r="822">
      <c r="F822" s="66"/>
    </row>
    <row r="823">
      <c r="F823" s="66"/>
    </row>
    <row r="824">
      <c r="F824" s="66"/>
    </row>
    <row r="825">
      <c r="F825" s="66"/>
    </row>
    <row r="826">
      <c r="F826" s="66"/>
    </row>
    <row r="827">
      <c r="F827" s="66"/>
    </row>
    <row r="828">
      <c r="F828" s="66"/>
    </row>
    <row r="829">
      <c r="F829" s="66"/>
    </row>
    <row r="830">
      <c r="F830" s="66"/>
    </row>
    <row r="831">
      <c r="F831" s="66"/>
    </row>
    <row r="832">
      <c r="F832" s="66"/>
    </row>
    <row r="833">
      <c r="F833" s="66"/>
    </row>
    <row r="834">
      <c r="F834" s="66"/>
    </row>
    <row r="835">
      <c r="F835" s="66"/>
    </row>
    <row r="836">
      <c r="F836" s="66"/>
    </row>
    <row r="837">
      <c r="F837" s="66"/>
    </row>
    <row r="838">
      <c r="F838" s="66"/>
    </row>
    <row r="839">
      <c r="F839" s="66"/>
    </row>
    <row r="840">
      <c r="F840" s="66"/>
    </row>
    <row r="841">
      <c r="F841" s="66"/>
    </row>
    <row r="842">
      <c r="F842" s="66"/>
    </row>
    <row r="843">
      <c r="F843" s="66"/>
    </row>
    <row r="844">
      <c r="F844" s="66"/>
    </row>
    <row r="845">
      <c r="F845" s="66"/>
    </row>
    <row r="846">
      <c r="F846" s="66"/>
    </row>
    <row r="847">
      <c r="F847" s="66"/>
    </row>
    <row r="848">
      <c r="F848" s="66"/>
    </row>
    <row r="849">
      <c r="F849" s="66"/>
    </row>
    <row r="850">
      <c r="F850" s="66"/>
    </row>
    <row r="851">
      <c r="F851" s="66"/>
    </row>
    <row r="852">
      <c r="F852" s="66"/>
    </row>
    <row r="853">
      <c r="F853" s="66"/>
    </row>
    <row r="854">
      <c r="F854" s="66"/>
    </row>
    <row r="855">
      <c r="F855" s="66"/>
    </row>
    <row r="856">
      <c r="F856" s="66"/>
    </row>
    <row r="857">
      <c r="F857" s="66"/>
    </row>
    <row r="858">
      <c r="F858" s="66"/>
    </row>
    <row r="859">
      <c r="F859" s="66"/>
    </row>
    <row r="860">
      <c r="F860" s="66"/>
    </row>
    <row r="861">
      <c r="F861" s="66"/>
    </row>
    <row r="862">
      <c r="F862" s="66"/>
    </row>
    <row r="863">
      <c r="F863" s="66"/>
    </row>
    <row r="864">
      <c r="F864" s="66"/>
    </row>
    <row r="865">
      <c r="F865" s="66"/>
    </row>
    <row r="866">
      <c r="F866" s="66"/>
    </row>
    <row r="867">
      <c r="F867" s="66"/>
    </row>
    <row r="868">
      <c r="F868" s="66"/>
    </row>
    <row r="869">
      <c r="F869" s="66"/>
    </row>
    <row r="870">
      <c r="F870" s="66"/>
    </row>
    <row r="871">
      <c r="F871" s="66"/>
    </row>
    <row r="872">
      <c r="F872" s="66"/>
    </row>
    <row r="873">
      <c r="F873" s="66"/>
    </row>
    <row r="874">
      <c r="F874" s="66"/>
    </row>
    <row r="875">
      <c r="F875" s="66"/>
    </row>
    <row r="876">
      <c r="F876" s="66"/>
    </row>
    <row r="877">
      <c r="F877" s="66"/>
    </row>
    <row r="878">
      <c r="F878" s="66"/>
    </row>
    <row r="879">
      <c r="F879" s="66"/>
    </row>
    <row r="880">
      <c r="F880" s="66"/>
    </row>
    <row r="881">
      <c r="F881" s="66"/>
    </row>
    <row r="882">
      <c r="F882" s="66"/>
    </row>
    <row r="883">
      <c r="F883" s="66"/>
    </row>
    <row r="884">
      <c r="F884" s="66"/>
    </row>
    <row r="885">
      <c r="F885" s="66"/>
    </row>
    <row r="886">
      <c r="F886" s="66"/>
    </row>
    <row r="887">
      <c r="F887" s="66"/>
    </row>
    <row r="888">
      <c r="F888" s="66"/>
    </row>
    <row r="889">
      <c r="F889" s="66"/>
    </row>
    <row r="890">
      <c r="F890" s="66"/>
    </row>
    <row r="891">
      <c r="F891" s="66"/>
    </row>
    <row r="892">
      <c r="F892" s="66"/>
    </row>
    <row r="893">
      <c r="F893" s="66"/>
    </row>
    <row r="894">
      <c r="F894" s="66"/>
    </row>
    <row r="895">
      <c r="F895" s="66"/>
    </row>
    <row r="896">
      <c r="F896" s="66"/>
    </row>
    <row r="897">
      <c r="F897" s="66"/>
    </row>
    <row r="898">
      <c r="F898" s="66"/>
    </row>
    <row r="899">
      <c r="F899" s="66"/>
    </row>
    <row r="900">
      <c r="F900" s="66"/>
    </row>
    <row r="901">
      <c r="F901" s="66"/>
    </row>
    <row r="902">
      <c r="F902" s="66"/>
    </row>
    <row r="903">
      <c r="F903" s="66"/>
    </row>
    <row r="904">
      <c r="F904" s="66"/>
    </row>
    <row r="905">
      <c r="F905" s="66"/>
    </row>
    <row r="906">
      <c r="F906" s="66"/>
    </row>
    <row r="907">
      <c r="F907" s="66"/>
    </row>
    <row r="908">
      <c r="F908" s="66"/>
    </row>
    <row r="909">
      <c r="F909" s="66"/>
    </row>
    <row r="910">
      <c r="F910" s="66"/>
    </row>
    <row r="911">
      <c r="F911" s="66"/>
    </row>
    <row r="912">
      <c r="F912" s="66"/>
    </row>
    <row r="913">
      <c r="F913" s="66"/>
    </row>
    <row r="914">
      <c r="F914" s="66"/>
    </row>
    <row r="915">
      <c r="F915" s="66"/>
    </row>
    <row r="916">
      <c r="F916" s="66"/>
    </row>
    <row r="917">
      <c r="F917" s="66"/>
    </row>
    <row r="918">
      <c r="F918" s="66"/>
    </row>
    <row r="919">
      <c r="F919" s="66"/>
    </row>
    <row r="920">
      <c r="F920" s="66"/>
    </row>
    <row r="921">
      <c r="F921" s="66"/>
    </row>
    <row r="922">
      <c r="F922" s="66"/>
    </row>
    <row r="923">
      <c r="F923" s="66"/>
    </row>
    <row r="924">
      <c r="F924" s="66"/>
    </row>
    <row r="925">
      <c r="F925" s="66"/>
    </row>
    <row r="926">
      <c r="F926" s="66"/>
    </row>
    <row r="927">
      <c r="F927" s="66"/>
    </row>
    <row r="928">
      <c r="F928" s="66"/>
    </row>
    <row r="929">
      <c r="F929" s="66"/>
    </row>
    <row r="930">
      <c r="F930" s="66"/>
    </row>
    <row r="931">
      <c r="F931" s="66"/>
    </row>
    <row r="932">
      <c r="F932" s="66"/>
    </row>
    <row r="933">
      <c r="F933" s="66"/>
    </row>
    <row r="934">
      <c r="F934" s="66"/>
    </row>
    <row r="935">
      <c r="F935" s="66"/>
    </row>
    <row r="936">
      <c r="F936" s="66"/>
    </row>
    <row r="937">
      <c r="F937" s="66"/>
    </row>
    <row r="938">
      <c r="F938" s="66"/>
    </row>
    <row r="939">
      <c r="F939" s="66"/>
    </row>
    <row r="940">
      <c r="F940" s="66"/>
    </row>
    <row r="941">
      <c r="F941" s="66"/>
    </row>
    <row r="942">
      <c r="F942" s="66"/>
    </row>
    <row r="943">
      <c r="F943" s="66"/>
    </row>
    <row r="944">
      <c r="F944" s="66"/>
    </row>
    <row r="945">
      <c r="F945" s="66"/>
    </row>
    <row r="946">
      <c r="F946" s="66"/>
    </row>
    <row r="947">
      <c r="F947" s="66"/>
    </row>
    <row r="948">
      <c r="F948" s="66"/>
    </row>
    <row r="949">
      <c r="F949" s="66"/>
    </row>
    <row r="950">
      <c r="F950" s="66"/>
    </row>
    <row r="951">
      <c r="F951" s="66"/>
    </row>
    <row r="952">
      <c r="F952" s="66"/>
    </row>
    <row r="953">
      <c r="F953" s="66"/>
    </row>
    <row r="954">
      <c r="F954" s="66"/>
    </row>
    <row r="955">
      <c r="F955" s="66"/>
    </row>
    <row r="956">
      <c r="F956" s="66"/>
    </row>
    <row r="957">
      <c r="F957" s="66"/>
    </row>
    <row r="958">
      <c r="F958" s="66"/>
    </row>
    <row r="959">
      <c r="F959" s="66"/>
    </row>
    <row r="960">
      <c r="F960" s="66"/>
    </row>
    <row r="961">
      <c r="F961" s="66"/>
    </row>
    <row r="962">
      <c r="F962" s="66"/>
    </row>
    <row r="963">
      <c r="F963" s="66"/>
    </row>
    <row r="964">
      <c r="F964" s="66"/>
    </row>
    <row r="965">
      <c r="F965" s="66"/>
    </row>
    <row r="966">
      <c r="F966" s="66"/>
    </row>
    <row r="967">
      <c r="F967" s="66"/>
    </row>
    <row r="968">
      <c r="F968" s="66"/>
    </row>
    <row r="969">
      <c r="F969" s="66"/>
    </row>
    <row r="970">
      <c r="F970" s="66"/>
    </row>
    <row r="971">
      <c r="F971" s="66"/>
    </row>
    <row r="972">
      <c r="F972" s="66"/>
    </row>
    <row r="973">
      <c r="F973" s="66"/>
    </row>
    <row r="974">
      <c r="F974" s="66"/>
    </row>
    <row r="975">
      <c r="F975" s="66"/>
    </row>
    <row r="976">
      <c r="F976" s="66"/>
    </row>
    <row r="977">
      <c r="F977" s="66"/>
    </row>
    <row r="978">
      <c r="F978" s="66"/>
    </row>
    <row r="979">
      <c r="F979" s="66"/>
    </row>
    <row r="980">
      <c r="F980" s="66"/>
    </row>
    <row r="981">
      <c r="F981" s="66"/>
    </row>
    <row r="982">
      <c r="F982" s="66"/>
    </row>
    <row r="983">
      <c r="F983" s="66"/>
    </row>
    <row r="984">
      <c r="F984" s="66"/>
    </row>
    <row r="985">
      <c r="F985" s="66"/>
    </row>
    <row r="986">
      <c r="F986" s="66"/>
    </row>
    <row r="987">
      <c r="F987" s="66"/>
    </row>
    <row r="988">
      <c r="F988" s="66"/>
    </row>
    <row r="989">
      <c r="F989" s="66"/>
    </row>
    <row r="990">
      <c r="F990" s="66"/>
    </row>
    <row r="991">
      <c r="F991" s="66"/>
    </row>
    <row r="992">
      <c r="F992" s="66"/>
    </row>
    <row r="993">
      <c r="F993" s="66"/>
    </row>
    <row r="994">
      <c r="F994" s="66"/>
    </row>
    <row r="995">
      <c r="F995" s="66"/>
    </row>
    <row r="996">
      <c r="F996" s="66"/>
    </row>
    <row r="997">
      <c r="F997" s="66"/>
    </row>
    <row r="998">
      <c r="F998" s="66"/>
    </row>
    <row r="999">
      <c r="F999" s="66"/>
    </row>
    <row r="1000">
      <c r="F1000" s="66"/>
    </row>
  </sheetData>
  <autoFilter ref="$A$1:$M$1"/>
  <dataValidations>
    <dataValidation type="list" allowBlank="1" showErrorMessage="1" sqref="K2:K91">
      <formula1>"Lolos Administrasi,Tidak Lolos Administrasi"</formula1>
    </dataValidation>
  </dataValidations>
  <hyperlinks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8"/>
    <hyperlink r:id="rId27" ref="H29"/>
    <hyperlink r:id="rId28" ref="H30"/>
    <hyperlink r:id="rId29" ref="H31"/>
    <hyperlink r:id="rId30" ref="H32"/>
    <hyperlink r:id="rId31" ref="H33"/>
    <hyperlink r:id="rId32" ref="H34"/>
    <hyperlink r:id="rId33" ref="H35"/>
    <hyperlink r:id="rId34" ref="H36"/>
    <hyperlink r:id="rId35" ref="H38"/>
    <hyperlink r:id="rId36" ref="H39"/>
    <hyperlink r:id="rId37" ref="H40"/>
    <hyperlink r:id="rId38" ref="H41"/>
    <hyperlink r:id="rId39" ref="H42"/>
    <hyperlink r:id="rId40" ref="H43"/>
    <hyperlink r:id="rId41" ref="H44"/>
    <hyperlink r:id="rId42" ref="H45"/>
    <hyperlink r:id="rId43" ref="H46"/>
    <hyperlink r:id="rId44" ref="H47"/>
    <hyperlink r:id="rId45" ref="H48"/>
    <hyperlink r:id="rId46" ref="H49"/>
    <hyperlink r:id="rId47" ref="H50"/>
    <hyperlink r:id="rId48" ref="H51"/>
    <hyperlink r:id="rId49" ref="H52"/>
    <hyperlink r:id="rId50" ref="H53"/>
    <hyperlink r:id="rId51" ref="H54"/>
    <hyperlink r:id="rId52" ref="H56"/>
    <hyperlink r:id="rId53" ref="H57"/>
    <hyperlink r:id="rId54" ref="H58"/>
    <hyperlink r:id="rId55" ref="H59"/>
    <hyperlink r:id="rId56" ref="H60"/>
    <hyperlink r:id="rId57" ref="H61"/>
    <hyperlink r:id="rId58" ref="H62"/>
    <hyperlink r:id="rId59" ref="H63"/>
    <hyperlink r:id="rId60" ref="H64"/>
    <hyperlink r:id="rId61" ref="H65"/>
    <hyperlink r:id="rId62" ref="H66"/>
    <hyperlink r:id="rId63" ref="H67"/>
    <hyperlink r:id="rId64" ref="H68"/>
    <hyperlink r:id="rId65" ref="H69"/>
    <hyperlink r:id="rId66" ref="H70"/>
    <hyperlink r:id="rId67" ref="H71"/>
    <hyperlink r:id="rId68" ref="H72"/>
    <hyperlink r:id="rId69" ref="H73"/>
    <hyperlink r:id="rId70" ref="H74"/>
    <hyperlink r:id="rId71" ref="H75"/>
    <hyperlink r:id="rId72" ref="H76"/>
    <hyperlink r:id="rId73" ref="H77"/>
    <hyperlink r:id="rId74" ref="H78"/>
    <hyperlink r:id="rId75" ref="H79"/>
    <hyperlink r:id="rId76" ref="H80"/>
    <hyperlink r:id="rId77" ref="H81"/>
    <hyperlink r:id="rId78" ref="H82"/>
    <hyperlink r:id="rId79" ref="H83"/>
    <hyperlink r:id="rId80" ref="H84"/>
    <hyperlink r:id="rId81" ref="H86"/>
    <hyperlink r:id="rId82" ref="H87"/>
    <hyperlink r:id="rId83" ref="H88"/>
    <hyperlink r:id="rId84" ref="H89"/>
    <hyperlink r:id="rId85" ref="H90"/>
    <hyperlink r:id="rId86" ref="H91"/>
    <hyperlink r:id="rId87" ref="H92"/>
    <hyperlink r:id="rId88" ref="H93"/>
    <hyperlink r:id="rId89" ref="H94"/>
    <hyperlink r:id="rId90" ref="H95"/>
    <hyperlink r:id="rId91" ref="H96"/>
    <hyperlink r:id="rId92" ref="H97"/>
    <hyperlink r:id="rId93" ref="H98"/>
    <hyperlink r:id="rId94" ref="H99"/>
    <hyperlink r:id="rId95" ref="H100"/>
    <hyperlink r:id="rId96" ref="H101"/>
    <hyperlink r:id="rId97" ref="H102"/>
    <hyperlink r:id="rId98" ref="H103"/>
    <hyperlink r:id="rId99" ref="H104"/>
    <hyperlink r:id="rId100" ref="H105"/>
    <hyperlink r:id="rId101" ref="H106"/>
    <hyperlink r:id="rId102" ref="H107"/>
    <hyperlink r:id="rId103" ref="H108"/>
    <hyperlink r:id="rId104" ref="H109"/>
    <hyperlink r:id="rId105" ref="H110"/>
    <hyperlink r:id="rId106" ref="H111"/>
    <hyperlink r:id="rId107" ref="H112"/>
    <hyperlink r:id="rId108" ref="H113"/>
    <hyperlink r:id="rId109" ref="H114"/>
    <hyperlink r:id="rId110" ref="H115"/>
    <hyperlink r:id="rId111" ref="H116"/>
    <hyperlink r:id="rId112" ref="H117"/>
    <hyperlink r:id="rId113" ref="H118"/>
    <hyperlink r:id="rId114" ref="H119"/>
    <hyperlink r:id="rId115" ref="H120"/>
    <hyperlink r:id="rId116" ref="H121"/>
    <hyperlink r:id="rId117" ref="H122"/>
    <hyperlink r:id="rId118" ref="H123"/>
    <hyperlink r:id="rId119" ref="H124"/>
    <hyperlink r:id="rId120" ref="H125"/>
    <hyperlink r:id="rId121" ref="H126"/>
    <hyperlink r:id="rId122" ref="H127"/>
    <hyperlink r:id="rId123" ref="H128"/>
    <hyperlink r:id="rId124" ref="H129"/>
    <hyperlink r:id="rId125" ref="H130"/>
    <hyperlink r:id="rId126" ref="H131"/>
    <hyperlink r:id="rId127" ref="H132"/>
    <hyperlink r:id="rId128" ref="H133"/>
    <hyperlink r:id="rId129" ref="H134"/>
    <hyperlink r:id="rId130" ref="H135"/>
    <hyperlink r:id="rId131" ref="H136"/>
    <hyperlink r:id="rId132" ref="H137"/>
    <hyperlink r:id="rId133" ref="H138"/>
    <hyperlink r:id="rId134" ref="H139"/>
    <hyperlink r:id="rId135" ref="H140"/>
    <hyperlink r:id="rId136" ref="H141"/>
    <hyperlink r:id="rId137" ref="H142"/>
    <hyperlink r:id="rId138" ref="H143"/>
    <hyperlink r:id="rId139" ref="H144"/>
    <hyperlink r:id="rId140" ref="H145"/>
    <hyperlink r:id="rId141" ref="H146"/>
    <hyperlink r:id="rId142" ref="H147"/>
    <hyperlink r:id="rId143" ref="H148"/>
    <hyperlink r:id="rId144" ref="H149"/>
    <hyperlink r:id="rId145" ref="H150"/>
    <hyperlink r:id="rId146" ref="H151"/>
    <hyperlink r:id="rId147" ref="H152"/>
    <hyperlink r:id="rId148" ref="H153"/>
    <hyperlink r:id="rId149" ref="H154"/>
    <hyperlink r:id="rId150" ref="H155"/>
    <hyperlink r:id="rId151" ref="H156"/>
    <hyperlink r:id="rId152" ref="H157"/>
    <hyperlink r:id="rId153" ref="H158"/>
    <hyperlink r:id="rId154" ref="H159"/>
    <hyperlink r:id="rId155" ref="H160"/>
    <hyperlink r:id="rId156" ref="H161"/>
    <hyperlink r:id="rId157" ref="H162"/>
    <hyperlink r:id="rId158" ref="H163"/>
    <hyperlink r:id="rId159" ref="H164"/>
    <hyperlink r:id="rId160" ref="H165"/>
    <hyperlink r:id="rId161" ref="H166"/>
    <hyperlink r:id="rId162" ref="H167"/>
    <hyperlink r:id="rId163" ref="H168"/>
    <hyperlink r:id="rId164" ref="H169"/>
    <hyperlink r:id="rId165" ref="H170"/>
    <hyperlink r:id="rId166" ref="H171"/>
    <hyperlink r:id="rId167" ref="H172"/>
    <hyperlink r:id="rId168" ref="H173"/>
    <hyperlink r:id="rId169" ref="H174"/>
    <hyperlink r:id="rId170" ref="H175"/>
    <hyperlink r:id="rId171" ref="H176"/>
    <hyperlink r:id="rId172" ref="H177"/>
    <hyperlink r:id="rId173" ref="H178"/>
    <hyperlink r:id="rId174" ref="H179"/>
    <hyperlink r:id="rId175" ref="H180"/>
    <hyperlink r:id="rId176" ref="H181"/>
    <hyperlink r:id="rId177" ref="H182"/>
    <hyperlink r:id="rId178" ref="H183"/>
    <hyperlink r:id="rId179" ref="H184"/>
    <hyperlink r:id="rId180" ref="H185"/>
    <hyperlink r:id="rId181" ref="H186"/>
    <hyperlink r:id="rId182" ref="H187"/>
    <hyperlink r:id="rId183" ref="H188"/>
    <hyperlink r:id="rId184" ref="H189"/>
    <hyperlink r:id="rId185" ref="H190"/>
    <hyperlink r:id="rId186" ref="H191"/>
    <hyperlink r:id="rId187" ref="H192"/>
    <hyperlink r:id="rId188" ref="H193"/>
    <hyperlink r:id="rId189" ref="H195"/>
    <hyperlink r:id="rId190" ref="H196"/>
    <hyperlink r:id="rId191" ref="H197"/>
    <hyperlink r:id="rId192" ref="H198"/>
    <hyperlink r:id="rId193" ref="H199"/>
    <hyperlink r:id="rId194" ref="H200"/>
    <hyperlink r:id="rId195" ref="H201"/>
    <hyperlink r:id="rId196" ref="H202"/>
    <hyperlink r:id="rId197" ref="H203"/>
    <hyperlink r:id="rId198" ref="H204"/>
    <hyperlink r:id="rId199" ref="H205"/>
    <hyperlink r:id="rId200" ref="H206"/>
    <hyperlink r:id="rId201" ref="H207"/>
    <hyperlink r:id="rId202" ref="H208"/>
    <hyperlink r:id="rId203" ref="H209"/>
    <hyperlink r:id="rId204" ref="H210"/>
    <hyperlink r:id="rId205" ref="H211"/>
    <hyperlink r:id="rId206" ref="H212"/>
    <hyperlink r:id="rId207" ref="H213"/>
    <hyperlink r:id="rId208" ref="H214"/>
    <hyperlink r:id="rId209" ref="H215"/>
    <hyperlink r:id="rId210" ref="H216"/>
    <hyperlink r:id="rId211" ref="H217"/>
  </hyperlinks>
  <drawing r:id="rId21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3" max="3" width="33.63"/>
    <col customWidth="1" min="8" max="8" width="75.0"/>
    <col customWidth="1" min="9" max="9" width="19.13"/>
    <col customWidth="1" min="11" max="11" width="14.5"/>
    <col customWidth="1" min="12" max="12" width="24.63"/>
  </cols>
  <sheetData>
    <row r="1">
      <c r="A1" s="9" t="s">
        <v>12</v>
      </c>
      <c r="B1" s="9" t="s">
        <v>2699</v>
      </c>
      <c r="C1" s="9" t="s">
        <v>4</v>
      </c>
      <c r="D1" s="9" t="s">
        <v>7</v>
      </c>
      <c r="E1" s="9" t="s">
        <v>8</v>
      </c>
      <c r="F1" s="9" t="s">
        <v>15</v>
      </c>
      <c r="G1" s="9" t="s">
        <v>10</v>
      </c>
      <c r="H1" s="9" t="s">
        <v>18</v>
      </c>
      <c r="I1" s="10" t="s">
        <v>2238</v>
      </c>
      <c r="J1" s="10" t="s">
        <v>1</v>
      </c>
      <c r="K1" s="10" t="s">
        <v>2240</v>
      </c>
      <c r="L1" s="10" t="s">
        <v>2700</v>
      </c>
      <c r="M1" s="43"/>
    </row>
    <row r="2">
      <c r="A2" s="9" t="s">
        <v>21</v>
      </c>
      <c r="B2" s="9" t="s">
        <v>22</v>
      </c>
      <c r="C2" s="9" t="s">
        <v>24</v>
      </c>
      <c r="D2" s="12">
        <v>37176.0</v>
      </c>
      <c r="E2" s="9" t="s">
        <v>25</v>
      </c>
      <c r="F2" s="9" t="s">
        <v>26</v>
      </c>
      <c r="G2" s="9" t="s">
        <v>28</v>
      </c>
      <c r="H2" s="9" t="s">
        <v>30</v>
      </c>
      <c r="I2" s="10" t="s">
        <v>44</v>
      </c>
      <c r="K2" s="10" t="s">
        <v>2243</v>
      </c>
      <c r="L2" s="10">
        <f>vlookup(C2,'Form Responses 1'!$C:$D,2,false)</f>
        <v>7000242161</v>
      </c>
      <c r="M2" s="43"/>
    </row>
    <row r="3">
      <c r="A3" s="9" t="s">
        <v>21</v>
      </c>
      <c r="B3" s="9" t="s">
        <v>22</v>
      </c>
      <c r="C3" s="9" t="s">
        <v>46</v>
      </c>
      <c r="D3" s="12">
        <v>36538.0</v>
      </c>
      <c r="E3" s="9" t="s">
        <v>47</v>
      </c>
      <c r="F3" s="9" t="s">
        <v>49</v>
      </c>
      <c r="G3" s="9" t="s">
        <v>28</v>
      </c>
      <c r="H3" s="9" t="s">
        <v>52</v>
      </c>
      <c r="I3" s="10" t="s">
        <v>44</v>
      </c>
      <c r="K3" s="10" t="s">
        <v>2243</v>
      </c>
      <c r="L3" s="10">
        <f>vlookup(C3,'Form Responses 1'!$C:$D,2,false)</f>
        <v>7000145964</v>
      </c>
      <c r="M3" s="43"/>
    </row>
    <row r="4">
      <c r="A4" s="9" t="s">
        <v>21</v>
      </c>
      <c r="B4" s="9" t="s">
        <v>22</v>
      </c>
      <c r="C4" s="9" t="s">
        <v>67</v>
      </c>
      <c r="D4" s="12">
        <v>35061.0</v>
      </c>
      <c r="E4" s="9" t="s">
        <v>69</v>
      </c>
      <c r="F4" s="9" t="s">
        <v>70</v>
      </c>
      <c r="G4" s="9" t="s">
        <v>28</v>
      </c>
      <c r="H4" s="9" t="s">
        <v>71</v>
      </c>
      <c r="I4" s="10" t="s">
        <v>44</v>
      </c>
      <c r="K4" s="10" t="s">
        <v>2243</v>
      </c>
      <c r="L4" s="10">
        <f>vlookup(C4,'Form Responses 1'!$C:$D,2,false)</f>
        <v>7000115177</v>
      </c>
      <c r="M4" s="43"/>
    </row>
    <row r="5">
      <c r="A5" s="9" t="s">
        <v>21</v>
      </c>
      <c r="B5" s="9" t="s">
        <v>22</v>
      </c>
      <c r="C5" s="9" t="s">
        <v>78</v>
      </c>
      <c r="D5" s="12">
        <v>35061.0</v>
      </c>
      <c r="E5" s="9" t="s">
        <v>69</v>
      </c>
      <c r="F5" s="9" t="s">
        <v>79</v>
      </c>
      <c r="G5" s="9" t="s">
        <v>28</v>
      </c>
      <c r="H5" s="9" t="s">
        <v>80</v>
      </c>
      <c r="I5" s="10" t="s">
        <v>44</v>
      </c>
      <c r="K5" s="10" t="s">
        <v>2243</v>
      </c>
      <c r="L5" s="10">
        <f>vlookup(C5,'Form Responses 1'!$C:$D,2,false)</f>
        <v>7000196113</v>
      </c>
      <c r="M5" s="43"/>
    </row>
    <row r="6">
      <c r="A6" s="9" t="s">
        <v>21</v>
      </c>
      <c r="B6" s="9" t="s">
        <v>22</v>
      </c>
      <c r="C6" s="9" t="s">
        <v>83</v>
      </c>
      <c r="D6" s="12">
        <v>36870.0</v>
      </c>
      <c r="E6" s="9" t="s">
        <v>69</v>
      </c>
      <c r="F6" s="9" t="s">
        <v>84</v>
      </c>
      <c r="G6" s="9" t="s">
        <v>28</v>
      </c>
      <c r="H6" s="9" t="s">
        <v>85</v>
      </c>
      <c r="I6" s="10" t="s">
        <v>44</v>
      </c>
      <c r="K6" s="10" t="s">
        <v>2243</v>
      </c>
      <c r="L6" s="10">
        <f>vlookup(C6,'Form Responses 1'!$C:$D,2,false)</f>
        <v>7000143754</v>
      </c>
      <c r="M6" s="43"/>
    </row>
    <row r="7">
      <c r="A7" s="9" t="s">
        <v>21</v>
      </c>
      <c r="B7" s="9" t="s">
        <v>92</v>
      </c>
      <c r="C7" s="9" t="s">
        <v>93</v>
      </c>
      <c r="D7" s="12">
        <v>32365.0</v>
      </c>
      <c r="E7" s="9" t="s">
        <v>94</v>
      </c>
      <c r="F7" s="9" t="s">
        <v>95</v>
      </c>
      <c r="G7" s="9" t="s">
        <v>96</v>
      </c>
      <c r="H7" s="9" t="s">
        <v>98</v>
      </c>
      <c r="I7" s="10" t="s">
        <v>54</v>
      </c>
      <c r="J7" s="10" t="s">
        <v>2260</v>
      </c>
      <c r="K7" s="10" t="s">
        <v>2243</v>
      </c>
      <c r="L7" s="10" t="str">
        <f>vlookup(C7,'Form Responses 1'!$C:$D,2,false)</f>
        <v>AZ 5142766667230473</v>
      </c>
      <c r="M7" s="43"/>
    </row>
    <row r="8">
      <c r="A8" s="9" t="s">
        <v>21</v>
      </c>
      <c r="B8" s="9" t="s">
        <v>104</v>
      </c>
      <c r="C8" s="9" t="s">
        <v>105</v>
      </c>
      <c r="D8" s="12">
        <v>36969.0</v>
      </c>
      <c r="E8" s="9" t="s">
        <v>107</v>
      </c>
      <c r="F8" s="9" t="s">
        <v>108</v>
      </c>
      <c r="G8" s="9" t="s">
        <v>110</v>
      </c>
      <c r="H8" s="9" t="s">
        <v>112</v>
      </c>
      <c r="I8" s="10" t="s">
        <v>44</v>
      </c>
      <c r="K8" s="10" t="s">
        <v>2243</v>
      </c>
      <c r="L8" s="10">
        <f>vlookup(C8,'Form Responses 1'!$C:$D,2,false)</f>
        <v>7000194154</v>
      </c>
      <c r="M8" s="43"/>
    </row>
    <row r="9">
      <c r="A9" s="9" t="s">
        <v>21</v>
      </c>
      <c r="B9" s="9" t="s">
        <v>104</v>
      </c>
      <c r="C9" s="9" t="s">
        <v>120</v>
      </c>
      <c r="D9" s="12">
        <v>37084.0</v>
      </c>
      <c r="E9" s="9" t="s">
        <v>121</v>
      </c>
      <c r="F9" s="9" t="s">
        <v>122</v>
      </c>
      <c r="G9" s="9" t="s">
        <v>110</v>
      </c>
      <c r="H9" s="9" t="s">
        <v>123</v>
      </c>
      <c r="I9" s="10" t="s">
        <v>44</v>
      </c>
      <c r="K9" s="10" t="s">
        <v>2243</v>
      </c>
      <c r="L9" s="10">
        <f>vlookup(C9,'Form Responses 1'!$C:$D,2,false)</f>
        <v>7000288683</v>
      </c>
      <c r="M9" s="43"/>
    </row>
    <row r="10">
      <c r="A10" s="9" t="s">
        <v>21</v>
      </c>
      <c r="B10" s="9" t="s">
        <v>119</v>
      </c>
      <c r="C10" s="9" t="s">
        <v>126</v>
      </c>
      <c r="D10" s="12">
        <v>36431.0</v>
      </c>
      <c r="E10" s="9" t="s">
        <v>106</v>
      </c>
      <c r="F10" s="9" t="s">
        <v>127</v>
      </c>
      <c r="G10" s="9" t="s">
        <v>128</v>
      </c>
      <c r="H10" s="9" t="s">
        <v>129</v>
      </c>
      <c r="I10" s="10" t="s">
        <v>44</v>
      </c>
      <c r="K10" s="10" t="s">
        <v>2243</v>
      </c>
      <c r="L10" s="10">
        <f>vlookup(C10,'Form Responses 1'!$C:$D,2,false)</f>
        <v>7000132328</v>
      </c>
      <c r="M10" s="43"/>
    </row>
    <row r="11">
      <c r="A11" s="9" t="s">
        <v>21</v>
      </c>
      <c r="B11" s="9" t="s">
        <v>119</v>
      </c>
      <c r="C11" s="9" t="s">
        <v>139</v>
      </c>
      <c r="D11" s="12">
        <v>37049.0</v>
      </c>
      <c r="E11" s="9" t="s">
        <v>140</v>
      </c>
      <c r="F11" s="9">
        <v>3.88</v>
      </c>
      <c r="G11" s="9" t="s">
        <v>128</v>
      </c>
      <c r="H11" s="9" t="s">
        <v>143</v>
      </c>
      <c r="I11" s="10" t="s">
        <v>44</v>
      </c>
      <c r="K11" s="10" t="s">
        <v>2243</v>
      </c>
      <c r="L11" s="10">
        <f>vlookup(C11,'Form Responses 1'!$C:$D,2,false)</f>
        <v>7000129096</v>
      </c>
      <c r="M11" s="43"/>
    </row>
    <row r="12">
      <c r="A12" s="9" t="s">
        <v>21</v>
      </c>
      <c r="B12" s="9" t="s">
        <v>119</v>
      </c>
      <c r="C12" s="9" t="s">
        <v>150</v>
      </c>
      <c r="D12" s="12">
        <v>33736.0</v>
      </c>
      <c r="E12" s="9" t="s">
        <v>152</v>
      </c>
      <c r="F12" s="9" t="s">
        <v>154</v>
      </c>
      <c r="G12" s="9" t="s">
        <v>155</v>
      </c>
      <c r="H12" s="9" t="s">
        <v>158</v>
      </c>
      <c r="I12" s="10" t="s">
        <v>54</v>
      </c>
      <c r="J12" s="10" t="s">
        <v>2276</v>
      </c>
      <c r="K12" s="10" t="s">
        <v>2243</v>
      </c>
      <c r="L12" s="10" t="str">
        <f>vlookup(C12,'Form Responses 1'!$C:$D,2,false)</f>
        <v>202100103775@guruku.id</v>
      </c>
      <c r="M12" s="43"/>
    </row>
    <row r="13">
      <c r="A13" s="9" t="s">
        <v>21</v>
      </c>
      <c r="B13" s="9" t="s">
        <v>119</v>
      </c>
      <c r="C13" s="9" t="s">
        <v>175</v>
      </c>
      <c r="D13" s="12">
        <v>37370.0</v>
      </c>
      <c r="E13" s="9" t="s">
        <v>177</v>
      </c>
      <c r="F13" s="9" t="s">
        <v>178</v>
      </c>
      <c r="G13" s="9" t="s">
        <v>179</v>
      </c>
      <c r="H13" s="9" t="s">
        <v>182</v>
      </c>
      <c r="I13" s="10" t="s">
        <v>44</v>
      </c>
      <c r="K13" s="10" t="s">
        <v>2243</v>
      </c>
      <c r="L13" s="10">
        <f>vlookup(C13,'Form Responses 1'!$C:$D,2,false)</f>
        <v>202300182908</v>
      </c>
      <c r="M13" s="43"/>
    </row>
    <row r="14">
      <c r="A14" s="9" t="s">
        <v>21</v>
      </c>
      <c r="B14" s="9" t="s">
        <v>119</v>
      </c>
      <c r="C14" s="9" t="s">
        <v>198</v>
      </c>
      <c r="D14" s="12">
        <v>37031.0</v>
      </c>
      <c r="E14" s="9" t="s">
        <v>106</v>
      </c>
      <c r="F14" s="9" t="s">
        <v>199</v>
      </c>
      <c r="G14" s="9" t="s">
        <v>200</v>
      </c>
      <c r="H14" s="9" t="s">
        <v>202</v>
      </c>
      <c r="I14" s="10" t="s">
        <v>54</v>
      </c>
      <c r="J14" s="10" t="s">
        <v>2279</v>
      </c>
      <c r="K14" s="10" t="s">
        <v>2243</v>
      </c>
      <c r="L14" s="10" t="str">
        <f>vlookup(C14,'Form Responses 1'!$C:$D,2,false)</f>
        <v>whhanatthahiraha8@gmail.com</v>
      </c>
      <c r="M14" s="43"/>
    </row>
    <row r="15">
      <c r="A15" s="9" t="s">
        <v>21</v>
      </c>
      <c r="B15" s="9" t="s">
        <v>223</v>
      </c>
      <c r="C15" s="9" t="s">
        <v>225</v>
      </c>
      <c r="D15" s="12">
        <v>36830.0</v>
      </c>
      <c r="E15" s="9" t="s">
        <v>226</v>
      </c>
      <c r="F15" s="9" t="s">
        <v>229</v>
      </c>
      <c r="G15" s="9" t="s">
        <v>230</v>
      </c>
      <c r="H15" s="9" t="s">
        <v>233</v>
      </c>
      <c r="I15" s="10" t="s">
        <v>54</v>
      </c>
      <c r="J15" s="10" t="s">
        <v>2282</v>
      </c>
      <c r="K15" s="10" t="s">
        <v>2243</v>
      </c>
      <c r="L15" s="10">
        <f>vlookup(C15,'Form Responses 1'!$C:$D,2,false)</f>
        <v>7000193855</v>
      </c>
      <c r="M15" s="43"/>
    </row>
    <row r="16">
      <c r="A16" s="9" t="s">
        <v>21</v>
      </c>
      <c r="B16" s="9" t="s">
        <v>223</v>
      </c>
      <c r="C16" s="9" t="s">
        <v>257</v>
      </c>
      <c r="D16" s="12">
        <v>36900.0</v>
      </c>
      <c r="E16" s="9" t="s">
        <v>260</v>
      </c>
      <c r="F16" s="9" t="s">
        <v>261</v>
      </c>
      <c r="G16" s="9" t="s">
        <v>263</v>
      </c>
      <c r="H16" s="9" t="s">
        <v>265</v>
      </c>
      <c r="I16" s="10" t="s">
        <v>44</v>
      </c>
      <c r="K16" s="10" t="s">
        <v>2243</v>
      </c>
      <c r="L16" s="10">
        <f>vlookup(C16,'Form Responses 1'!$C:$D,2,false)</f>
        <v>7000190544</v>
      </c>
      <c r="M16" s="43"/>
    </row>
    <row r="17">
      <c r="A17" s="9" t="s">
        <v>21</v>
      </c>
      <c r="B17" s="9" t="s">
        <v>280</v>
      </c>
      <c r="C17" s="9" t="s">
        <v>281</v>
      </c>
      <c r="D17" s="12">
        <v>36734.0</v>
      </c>
      <c r="E17" s="9" t="s">
        <v>283</v>
      </c>
      <c r="F17" s="9" t="s">
        <v>285</v>
      </c>
      <c r="G17" s="9" t="s">
        <v>283</v>
      </c>
      <c r="H17" s="9" t="s">
        <v>286</v>
      </c>
      <c r="I17" s="10" t="s">
        <v>54</v>
      </c>
      <c r="J17" s="10" t="s">
        <v>2290</v>
      </c>
      <c r="K17" s="10" t="s">
        <v>2243</v>
      </c>
      <c r="L17" s="10">
        <f>vlookup(C17,'Form Responses 1'!$C:$D,2,false)</f>
        <v>7000283882</v>
      </c>
      <c r="M17" s="43"/>
    </row>
    <row r="18">
      <c r="A18" s="9" t="s">
        <v>21</v>
      </c>
      <c r="B18" s="9" t="s">
        <v>280</v>
      </c>
      <c r="C18" s="9" t="s">
        <v>309</v>
      </c>
      <c r="D18" s="12">
        <v>37043.0</v>
      </c>
      <c r="E18" s="9" t="s">
        <v>310</v>
      </c>
      <c r="F18" s="9" t="s">
        <v>311</v>
      </c>
      <c r="G18" s="9" t="s">
        <v>283</v>
      </c>
      <c r="H18" s="9" t="s">
        <v>314</v>
      </c>
      <c r="I18" s="10" t="s">
        <v>44</v>
      </c>
      <c r="K18" s="10" t="s">
        <v>2243</v>
      </c>
      <c r="L18" s="10">
        <f>vlookup(C18,'Form Responses 1'!$C:$D,2,false)</f>
        <v>7000138201</v>
      </c>
      <c r="M18" s="43"/>
    </row>
    <row r="19">
      <c r="A19" s="9" t="s">
        <v>21</v>
      </c>
      <c r="B19" s="9" t="s">
        <v>280</v>
      </c>
      <c r="C19" s="9" t="s">
        <v>334</v>
      </c>
      <c r="D19" s="12">
        <v>36747.0</v>
      </c>
      <c r="E19" s="9" t="s">
        <v>335</v>
      </c>
      <c r="F19" s="9">
        <v>3.77</v>
      </c>
      <c r="G19" s="9" t="s">
        <v>283</v>
      </c>
      <c r="H19" s="9" t="s">
        <v>341</v>
      </c>
      <c r="I19" s="10" t="s">
        <v>44</v>
      </c>
      <c r="K19" s="10" t="s">
        <v>2243</v>
      </c>
      <c r="L19" s="10" t="str">
        <f>vlookup(C19,'Form Responses 1'!$C:$D,2,false)</f>
        <v>reskynurfatimah45@gmail.com</v>
      </c>
      <c r="M19" s="43"/>
    </row>
    <row r="20">
      <c r="A20" s="9" t="s">
        <v>21</v>
      </c>
      <c r="B20" s="9" t="s">
        <v>280</v>
      </c>
      <c r="C20" s="9" t="s">
        <v>359</v>
      </c>
      <c r="D20" s="12">
        <v>34981.0</v>
      </c>
      <c r="E20" s="9" t="s">
        <v>310</v>
      </c>
      <c r="F20" s="9" t="s">
        <v>361</v>
      </c>
      <c r="G20" s="9" t="s">
        <v>283</v>
      </c>
      <c r="H20" s="9" t="s">
        <v>363</v>
      </c>
      <c r="I20" s="10" t="s">
        <v>44</v>
      </c>
      <c r="K20" s="10" t="s">
        <v>2243</v>
      </c>
      <c r="L20" s="10">
        <f>vlookup(C20,'Form Responses 1'!$C:$D,2,false)</f>
        <v>202200123884</v>
      </c>
      <c r="M20" s="43"/>
    </row>
    <row r="21">
      <c r="A21" s="9" t="s">
        <v>21</v>
      </c>
      <c r="B21" s="9" t="s">
        <v>280</v>
      </c>
      <c r="C21" s="9" t="s">
        <v>379</v>
      </c>
      <c r="D21" s="12">
        <v>34581.0</v>
      </c>
      <c r="E21" s="9" t="s">
        <v>310</v>
      </c>
      <c r="F21" s="9">
        <v>3.57</v>
      </c>
      <c r="G21" s="9" t="s">
        <v>283</v>
      </c>
      <c r="H21" s="9" t="s">
        <v>384</v>
      </c>
      <c r="I21" s="10" t="s">
        <v>44</v>
      </c>
      <c r="K21" s="10" t="s">
        <v>2243</v>
      </c>
      <c r="L21" s="10">
        <f>vlookup(C21,'Form Responses 1'!$C:$D,2,false)</f>
        <v>7000227911</v>
      </c>
      <c r="M21" s="43"/>
    </row>
    <row r="22">
      <c r="A22" s="9" t="s">
        <v>21</v>
      </c>
      <c r="B22" s="9" t="s">
        <v>280</v>
      </c>
      <c r="C22" s="9" t="s">
        <v>391</v>
      </c>
      <c r="D22" s="12">
        <v>37214.0</v>
      </c>
      <c r="E22" s="9" t="s">
        <v>392</v>
      </c>
      <c r="F22" s="9" t="s">
        <v>393</v>
      </c>
      <c r="G22" s="9" t="s">
        <v>283</v>
      </c>
      <c r="H22" s="9" t="s">
        <v>395</v>
      </c>
      <c r="I22" s="10" t="s">
        <v>44</v>
      </c>
      <c r="K22" s="10" t="s">
        <v>2243</v>
      </c>
      <c r="L22" s="10">
        <f>vlookup(C22,'Form Responses 1'!$C:$D,2,false)</f>
        <v>7000239728</v>
      </c>
      <c r="M22" s="43"/>
    </row>
    <row r="23">
      <c r="A23" s="9" t="s">
        <v>21</v>
      </c>
      <c r="B23" s="9" t="s">
        <v>74</v>
      </c>
      <c r="C23" s="9" t="s">
        <v>410</v>
      </c>
      <c r="D23" s="12">
        <v>37939.0</v>
      </c>
      <c r="E23" s="9" t="s">
        <v>412</v>
      </c>
      <c r="F23" s="9" t="s">
        <v>414</v>
      </c>
      <c r="G23" s="9" t="s">
        <v>64</v>
      </c>
      <c r="H23" s="9" t="s">
        <v>415</v>
      </c>
      <c r="I23" s="10" t="s">
        <v>44</v>
      </c>
      <c r="K23" s="10" t="s">
        <v>2243</v>
      </c>
      <c r="L23" s="10">
        <f>vlookup(C23,'Form Responses 1'!$C:$D,2,false)</f>
        <v>7000306847</v>
      </c>
      <c r="M23" s="43"/>
    </row>
    <row r="24">
      <c r="A24" s="9" t="s">
        <v>21</v>
      </c>
      <c r="B24" s="9" t="s">
        <v>74</v>
      </c>
      <c r="C24" s="9" t="s">
        <v>431</v>
      </c>
      <c r="D24" s="12">
        <v>34744.0</v>
      </c>
      <c r="E24" s="9" t="s">
        <v>433</v>
      </c>
      <c r="F24" s="9" t="s">
        <v>434</v>
      </c>
      <c r="G24" s="9" t="s">
        <v>64</v>
      </c>
      <c r="H24" s="9" t="s">
        <v>435</v>
      </c>
      <c r="I24" s="10" t="s">
        <v>44</v>
      </c>
      <c r="K24" s="10" t="s">
        <v>2243</v>
      </c>
      <c r="L24" s="10">
        <f>vlookup(C24,'Form Responses 1'!$C:$D,2,false)</f>
        <v>700216115</v>
      </c>
      <c r="M24" s="43"/>
    </row>
    <row r="25">
      <c r="A25" s="9" t="s">
        <v>21</v>
      </c>
      <c r="B25" s="9" t="s">
        <v>74</v>
      </c>
      <c r="C25" s="9" t="s">
        <v>449</v>
      </c>
      <c r="D25" s="12">
        <v>36700.0</v>
      </c>
      <c r="E25" s="9" t="s">
        <v>450</v>
      </c>
      <c r="F25" s="9" t="s">
        <v>122</v>
      </c>
      <c r="G25" s="9" t="s">
        <v>64</v>
      </c>
      <c r="H25" s="9" t="s">
        <v>456</v>
      </c>
      <c r="I25" s="10" t="s">
        <v>54</v>
      </c>
      <c r="J25" s="10" t="s">
        <v>2314</v>
      </c>
      <c r="K25" s="10" t="s">
        <v>2243</v>
      </c>
      <c r="L25" s="10">
        <f>vlookup(C25,'Form Responses 1'!$C:$D,2,false)</f>
        <v>7000201472</v>
      </c>
      <c r="M25" s="43"/>
    </row>
    <row r="26">
      <c r="A26" s="9" t="s">
        <v>21</v>
      </c>
      <c r="B26" s="9" t="s">
        <v>74</v>
      </c>
      <c r="C26" s="9" t="s">
        <v>483</v>
      </c>
      <c r="D26" s="12">
        <v>36607.0</v>
      </c>
      <c r="E26" s="9" t="s">
        <v>486</v>
      </c>
      <c r="F26" s="9" t="s">
        <v>487</v>
      </c>
      <c r="G26" s="9" t="s">
        <v>64</v>
      </c>
      <c r="H26" s="9" t="s">
        <v>490</v>
      </c>
      <c r="I26" s="10" t="s">
        <v>44</v>
      </c>
      <c r="K26" s="10" t="s">
        <v>2243</v>
      </c>
      <c r="L26" s="10">
        <f>vlookup(C26,'Form Responses 1'!$C:$D,2,false)</f>
        <v>7000326329</v>
      </c>
      <c r="M26" s="43"/>
    </row>
    <row r="27">
      <c r="A27" s="9" t="s">
        <v>75</v>
      </c>
      <c r="B27" s="9" t="s">
        <v>22</v>
      </c>
      <c r="C27" s="9" t="s">
        <v>517</v>
      </c>
      <c r="D27" s="12">
        <v>36893.0</v>
      </c>
      <c r="E27" s="9" t="s">
        <v>47</v>
      </c>
      <c r="F27" s="9">
        <v>3.71</v>
      </c>
      <c r="G27" s="9" t="s">
        <v>28</v>
      </c>
      <c r="H27" s="9" t="s">
        <v>522</v>
      </c>
      <c r="I27" s="10" t="s">
        <v>44</v>
      </c>
      <c r="K27" s="10" t="s">
        <v>2243</v>
      </c>
      <c r="L27" s="10">
        <f>vlookup(C27,'Form Responses 1'!$C:$D,2,false)</f>
        <v>7000166435</v>
      </c>
      <c r="M27" s="43"/>
    </row>
    <row r="28">
      <c r="A28" s="9" t="s">
        <v>75</v>
      </c>
      <c r="B28" s="9" t="s">
        <v>22</v>
      </c>
      <c r="C28" s="9" t="s">
        <v>549</v>
      </c>
      <c r="D28" s="12">
        <v>36685.0</v>
      </c>
      <c r="E28" s="9" t="s">
        <v>47</v>
      </c>
      <c r="F28" s="9" t="s">
        <v>311</v>
      </c>
      <c r="G28" s="9" t="s">
        <v>28</v>
      </c>
      <c r="H28" s="9" t="s">
        <v>555</v>
      </c>
      <c r="I28" s="10" t="s">
        <v>44</v>
      </c>
      <c r="K28" s="10" t="s">
        <v>2243</v>
      </c>
      <c r="L28" s="10">
        <f>vlookup(C28,'Form Responses 1'!$C:$D,2,false)</f>
        <v>7000154546</v>
      </c>
      <c r="M28" s="43"/>
    </row>
    <row r="29">
      <c r="A29" s="9" t="s">
        <v>75</v>
      </c>
      <c r="B29" s="9" t="s">
        <v>22</v>
      </c>
      <c r="C29" s="9" t="s">
        <v>577</v>
      </c>
      <c r="D29" s="12">
        <v>36124.0</v>
      </c>
      <c r="E29" s="9" t="s">
        <v>47</v>
      </c>
      <c r="F29" s="9" t="s">
        <v>552</v>
      </c>
      <c r="G29" s="9" t="s">
        <v>28</v>
      </c>
      <c r="H29" s="9" t="s">
        <v>582</v>
      </c>
      <c r="I29" s="10" t="s">
        <v>44</v>
      </c>
      <c r="K29" s="10" t="s">
        <v>2243</v>
      </c>
      <c r="L29" s="10">
        <f>vlookup(C29,'Form Responses 1'!$C:$D,2,false)</f>
        <v>7000237077</v>
      </c>
      <c r="M29" s="43"/>
    </row>
    <row r="30">
      <c r="A30" s="9" t="s">
        <v>75</v>
      </c>
      <c r="B30" s="9" t="s">
        <v>22</v>
      </c>
      <c r="C30" s="9" t="s">
        <v>205</v>
      </c>
      <c r="D30" s="12">
        <v>37414.0</v>
      </c>
      <c r="E30" s="9" t="s">
        <v>47</v>
      </c>
      <c r="F30" s="9" t="s">
        <v>249</v>
      </c>
      <c r="G30" s="9" t="s">
        <v>28</v>
      </c>
      <c r="H30" s="9" t="s">
        <v>302</v>
      </c>
      <c r="I30" s="10" t="s">
        <v>44</v>
      </c>
      <c r="K30" s="10" t="s">
        <v>2243</v>
      </c>
      <c r="L30" s="10">
        <f>vlookup(C30,'Form Responses 1'!$C:$D,2,false)</f>
        <v>7000266546</v>
      </c>
      <c r="M30" s="43"/>
    </row>
    <row r="31">
      <c r="A31" s="9" t="s">
        <v>75</v>
      </c>
      <c r="B31" s="9" t="s">
        <v>22</v>
      </c>
      <c r="C31" s="9" t="s">
        <v>601</v>
      </c>
      <c r="D31" s="12">
        <v>37225.0</v>
      </c>
      <c r="E31" s="9" t="s">
        <v>604</v>
      </c>
      <c r="F31" s="9">
        <v>3.67</v>
      </c>
      <c r="G31" s="9" t="s">
        <v>28</v>
      </c>
      <c r="H31" s="9" t="s">
        <v>607</v>
      </c>
      <c r="I31" s="10" t="s">
        <v>44</v>
      </c>
      <c r="K31" s="10" t="s">
        <v>2243</v>
      </c>
      <c r="L31" s="10">
        <f>vlookup(C31,'Form Responses 1'!$C:$D,2,false)</f>
        <v>7000180386</v>
      </c>
      <c r="M31" s="43"/>
    </row>
    <row r="32">
      <c r="A32" s="9" t="s">
        <v>75</v>
      </c>
      <c r="B32" s="9" t="s">
        <v>92</v>
      </c>
      <c r="C32" s="9" t="s">
        <v>623</v>
      </c>
      <c r="D32" s="12">
        <v>35739.0</v>
      </c>
      <c r="E32" s="9" t="s">
        <v>627</v>
      </c>
      <c r="F32" s="9" t="s">
        <v>628</v>
      </c>
      <c r="G32" s="9" t="s">
        <v>96</v>
      </c>
      <c r="H32" s="9" t="s">
        <v>631</v>
      </c>
      <c r="I32" s="10" t="s">
        <v>44</v>
      </c>
      <c r="K32" s="10" t="s">
        <v>2243</v>
      </c>
      <c r="L32" s="10">
        <f>vlookup(C32,'Form Responses 1'!$C:$D,2,false)</f>
        <v>7000046967</v>
      </c>
      <c r="M32" s="43"/>
    </row>
    <row r="33">
      <c r="A33" s="9" t="s">
        <v>75</v>
      </c>
      <c r="B33" s="9" t="s">
        <v>104</v>
      </c>
      <c r="C33" s="9" t="s">
        <v>649</v>
      </c>
      <c r="D33" s="12">
        <v>36756.0</v>
      </c>
      <c r="E33" s="9" t="s">
        <v>650</v>
      </c>
      <c r="F33" s="9">
        <v>3.65</v>
      </c>
      <c r="G33" s="9" t="s">
        <v>110</v>
      </c>
      <c r="H33" s="9" t="s">
        <v>653</v>
      </c>
      <c r="I33" s="10" t="s">
        <v>44</v>
      </c>
      <c r="K33" s="10" t="s">
        <v>2243</v>
      </c>
      <c r="L33" s="10">
        <f>vlookup(C33,'Form Responses 1'!$C:$D,2,false)</f>
        <v>7000127861</v>
      </c>
      <c r="M33" s="43"/>
    </row>
    <row r="34">
      <c r="A34" s="9" t="s">
        <v>75</v>
      </c>
      <c r="B34" s="9" t="s">
        <v>104</v>
      </c>
      <c r="C34" s="9" t="s">
        <v>669</v>
      </c>
      <c r="D34" s="12">
        <v>36614.0</v>
      </c>
      <c r="E34" s="9" t="s">
        <v>671</v>
      </c>
      <c r="F34" s="9">
        <v>3.6</v>
      </c>
      <c r="G34" s="9" t="s">
        <v>110</v>
      </c>
      <c r="H34" s="9" t="s">
        <v>674</v>
      </c>
      <c r="I34" s="10" t="s">
        <v>44</v>
      </c>
      <c r="K34" s="10" t="s">
        <v>2243</v>
      </c>
      <c r="L34" s="10">
        <f>vlookup(C34,'Form Responses 1'!$C:$D,2,false)</f>
        <v>7000016192</v>
      </c>
      <c r="M34" s="43"/>
    </row>
    <row r="35">
      <c r="A35" s="9" t="s">
        <v>75</v>
      </c>
      <c r="B35" s="9" t="s">
        <v>119</v>
      </c>
      <c r="C35" s="9" t="s">
        <v>691</v>
      </c>
      <c r="D35" s="12">
        <v>36725.0</v>
      </c>
      <c r="E35" s="9" t="s">
        <v>693</v>
      </c>
      <c r="F35" s="9">
        <v>3.58</v>
      </c>
      <c r="G35" s="9" t="s">
        <v>128</v>
      </c>
      <c r="H35" s="9" t="s">
        <v>698</v>
      </c>
      <c r="I35" s="10" t="s">
        <v>44</v>
      </c>
      <c r="K35" s="10" t="s">
        <v>2243</v>
      </c>
      <c r="L35" s="10">
        <f>vlookup(C35,'Form Responses 1'!$C:$D,2,false)</f>
        <v>7000112279</v>
      </c>
      <c r="M35" s="43"/>
    </row>
    <row r="36">
      <c r="A36" s="9" t="s">
        <v>75</v>
      </c>
      <c r="B36" s="9" t="s">
        <v>119</v>
      </c>
      <c r="C36" s="9" t="s">
        <v>716</v>
      </c>
      <c r="D36" s="12">
        <v>36699.0</v>
      </c>
      <c r="E36" s="9" t="s">
        <v>177</v>
      </c>
      <c r="F36" s="9" t="s">
        <v>719</v>
      </c>
      <c r="G36" s="9" t="s">
        <v>128</v>
      </c>
      <c r="H36" s="9" t="s">
        <v>722</v>
      </c>
      <c r="I36" s="10" t="s">
        <v>44</v>
      </c>
      <c r="K36" s="10" t="s">
        <v>2243</v>
      </c>
      <c r="L36" s="10">
        <f>vlookup(C36,'Form Responses 1'!$C:$D,2,false)</f>
        <v>7000152490</v>
      </c>
      <c r="M36" s="43"/>
    </row>
    <row r="37">
      <c r="A37" s="9" t="s">
        <v>75</v>
      </c>
      <c r="B37" s="9" t="s">
        <v>119</v>
      </c>
      <c r="C37" s="9" t="s">
        <v>740</v>
      </c>
      <c r="D37" s="12">
        <v>36267.0</v>
      </c>
      <c r="E37" s="9" t="s">
        <v>742</v>
      </c>
      <c r="F37" s="9" t="s">
        <v>744</v>
      </c>
      <c r="G37" s="9" t="s">
        <v>128</v>
      </c>
      <c r="H37" s="9" t="s">
        <v>747</v>
      </c>
      <c r="I37" s="10" t="s">
        <v>54</v>
      </c>
      <c r="J37" s="10" t="s">
        <v>2337</v>
      </c>
      <c r="K37" s="10" t="s">
        <v>2243</v>
      </c>
      <c r="L37" s="10">
        <f>vlookup(C37,'Form Responses 1'!$C:$D,2,false)</f>
        <v>7000177065</v>
      </c>
      <c r="M37" s="43"/>
    </row>
    <row r="38">
      <c r="A38" s="9" t="s">
        <v>75</v>
      </c>
      <c r="B38" s="9" t="s">
        <v>119</v>
      </c>
      <c r="C38" s="9" t="s">
        <v>209</v>
      </c>
      <c r="D38" s="12">
        <v>36540.0</v>
      </c>
      <c r="E38" s="9" t="s">
        <v>776</v>
      </c>
      <c r="F38" s="9" t="s">
        <v>778</v>
      </c>
      <c r="G38" s="9" t="s">
        <v>128</v>
      </c>
      <c r="H38" s="9" t="s">
        <v>780</v>
      </c>
      <c r="I38" s="10" t="s">
        <v>44</v>
      </c>
      <c r="K38" s="10" t="s">
        <v>2243</v>
      </c>
      <c r="L38" s="10">
        <f>vlookup(C38,'Form Responses 1'!$C:$D,2,false)</f>
        <v>7000142556</v>
      </c>
      <c r="M38" s="43"/>
    </row>
    <row r="39">
      <c r="A39" s="9" t="s">
        <v>75</v>
      </c>
      <c r="B39" s="9" t="s">
        <v>119</v>
      </c>
      <c r="C39" s="9" t="s">
        <v>808</v>
      </c>
      <c r="D39" s="12">
        <v>35825.0</v>
      </c>
      <c r="E39" s="9" t="s">
        <v>106</v>
      </c>
      <c r="F39" s="9" t="s">
        <v>26</v>
      </c>
      <c r="G39" s="9" t="s">
        <v>128</v>
      </c>
      <c r="H39" s="9" t="s">
        <v>815</v>
      </c>
      <c r="I39" s="10" t="s">
        <v>44</v>
      </c>
      <c r="K39" s="10" t="s">
        <v>2243</v>
      </c>
      <c r="L39" s="10">
        <f>vlookup(C39,'Form Responses 1'!$C:$D,2,false)</f>
        <v>7000094807</v>
      </c>
      <c r="M39" s="43"/>
    </row>
    <row r="40">
      <c r="A40" s="9" t="s">
        <v>75</v>
      </c>
      <c r="B40" s="9" t="s">
        <v>119</v>
      </c>
      <c r="C40" s="9" t="s">
        <v>848</v>
      </c>
      <c r="D40" s="12">
        <v>35795.0</v>
      </c>
      <c r="E40" s="9" t="s">
        <v>851</v>
      </c>
      <c r="F40" s="9" t="s">
        <v>744</v>
      </c>
      <c r="G40" s="9" t="s">
        <v>128</v>
      </c>
      <c r="H40" s="9" t="s">
        <v>855</v>
      </c>
      <c r="I40" s="10" t="s">
        <v>44</v>
      </c>
      <c r="K40" s="10" t="s">
        <v>2243</v>
      </c>
      <c r="L40" s="10">
        <f>vlookup(C40,'Form Responses 1'!$C:$D,2,false)</f>
        <v>7000128335</v>
      </c>
      <c r="M40" s="43"/>
    </row>
    <row r="41">
      <c r="A41" s="9" t="s">
        <v>75</v>
      </c>
      <c r="B41" s="9" t="s">
        <v>119</v>
      </c>
      <c r="C41" s="9" t="s">
        <v>875</v>
      </c>
      <c r="D41" s="12">
        <v>36078.0</v>
      </c>
      <c r="E41" s="9" t="s">
        <v>140</v>
      </c>
      <c r="F41" s="9" t="s">
        <v>70</v>
      </c>
      <c r="G41" s="9" t="s">
        <v>128</v>
      </c>
      <c r="H41" s="9" t="s">
        <v>880</v>
      </c>
      <c r="I41" s="10" t="s">
        <v>44</v>
      </c>
      <c r="K41" s="10" t="s">
        <v>2243</v>
      </c>
      <c r="L41" s="10">
        <f>vlookup(C41,'Form Responses 1'!$C:$D,2,false)</f>
        <v>7000157175</v>
      </c>
      <c r="M41" s="43"/>
    </row>
    <row r="42">
      <c r="A42" s="9" t="s">
        <v>75</v>
      </c>
      <c r="B42" s="9" t="s">
        <v>119</v>
      </c>
      <c r="C42" s="9" t="s">
        <v>899</v>
      </c>
      <c r="D42" s="12">
        <v>36584.0</v>
      </c>
      <c r="E42" s="9" t="s">
        <v>692</v>
      </c>
      <c r="F42" s="9" t="s">
        <v>229</v>
      </c>
      <c r="G42" s="9" t="s">
        <v>128</v>
      </c>
      <c r="H42" s="9" t="s">
        <v>903</v>
      </c>
      <c r="I42" s="10" t="s">
        <v>44</v>
      </c>
      <c r="K42" s="10" t="s">
        <v>2243</v>
      </c>
      <c r="L42" s="10">
        <f>vlookup(C42,'Form Responses 1'!$C:$D,2,false)</f>
        <v>7000124340</v>
      </c>
      <c r="M42" s="43"/>
    </row>
    <row r="43">
      <c r="A43" s="9" t="s">
        <v>75</v>
      </c>
      <c r="B43" s="9" t="s">
        <v>119</v>
      </c>
      <c r="C43" s="9" t="s">
        <v>920</v>
      </c>
      <c r="D43" s="12">
        <v>37043.0</v>
      </c>
      <c r="E43" s="9" t="s">
        <v>921</v>
      </c>
      <c r="F43" s="9" t="s">
        <v>552</v>
      </c>
      <c r="G43" s="9" t="s">
        <v>128</v>
      </c>
      <c r="H43" s="9" t="s">
        <v>924</v>
      </c>
      <c r="I43" s="10" t="s">
        <v>44</v>
      </c>
      <c r="K43" s="10" t="s">
        <v>2243</v>
      </c>
      <c r="L43" s="10">
        <f>vlookup(C43,'Form Responses 1'!$C:$D,2,false)</f>
        <v>7000266904</v>
      </c>
      <c r="M43" s="43"/>
    </row>
    <row r="44">
      <c r="A44" s="9" t="s">
        <v>75</v>
      </c>
      <c r="B44" s="9" t="s">
        <v>119</v>
      </c>
      <c r="C44" s="9" t="s">
        <v>101</v>
      </c>
      <c r="D44" s="12">
        <v>36249.0</v>
      </c>
      <c r="E44" s="9" t="s">
        <v>106</v>
      </c>
      <c r="F44" s="9" t="s">
        <v>115</v>
      </c>
      <c r="G44" s="9" t="s">
        <v>113</v>
      </c>
      <c r="H44" s="9" t="s">
        <v>131</v>
      </c>
      <c r="I44" s="10" t="s">
        <v>44</v>
      </c>
      <c r="K44" s="10" t="s">
        <v>2243</v>
      </c>
      <c r="L44" s="10">
        <f>vlookup(C44,'Form Responses 1'!$C:$D,2,false)</f>
        <v>7000086670</v>
      </c>
      <c r="M44" s="43"/>
    </row>
    <row r="45">
      <c r="A45" s="9" t="s">
        <v>75</v>
      </c>
      <c r="B45" s="9" t="s">
        <v>119</v>
      </c>
      <c r="C45" s="9" t="s">
        <v>953</v>
      </c>
      <c r="D45" s="12">
        <v>36613.0</v>
      </c>
      <c r="E45" s="9" t="s">
        <v>955</v>
      </c>
      <c r="F45" s="9" t="s">
        <v>957</v>
      </c>
      <c r="G45" s="9" t="s">
        <v>128</v>
      </c>
      <c r="H45" s="9" t="s">
        <v>958</v>
      </c>
      <c r="I45" s="10" t="s">
        <v>44</v>
      </c>
      <c r="K45" s="10" t="s">
        <v>2243</v>
      </c>
      <c r="L45" s="10">
        <f>vlookup(C45,'Form Responses 1'!$C:$D,2,false)</f>
        <v>7000128901</v>
      </c>
      <c r="M45" s="43"/>
    </row>
    <row r="46">
      <c r="A46" s="9" t="s">
        <v>75</v>
      </c>
      <c r="B46" s="9" t="s">
        <v>119</v>
      </c>
      <c r="C46" s="9" t="s">
        <v>255</v>
      </c>
      <c r="D46" s="12">
        <v>35886.0</v>
      </c>
      <c r="E46" s="9" t="s">
        <v>632</v>
      </c>
      <c r="F46" s="9" t="s">
        <v>596</v>
      </c>
      <c r="G46" s="9" t="s">
        <v>128</v>
      </c>
      <c r="H46" s="9" t="s">
        <v>975</v>
      </c>
      <c r="I46" s="10" t="s">
        <v>44</v>
      </c>
      <c r="K46" s="10" t="s">
        <v>2243</v>
      </c>
      <c r="L46" s="10">
        <f>vlookup(C46,'Form Responses 1'!$C:$D,2,false)</f>
        <v>7000028992</v>
      </c>
      <c r="M46" s="43"/>
    </row>
    <row r="47">
      <c r="A47" s="9" t="s">
        <v>75</v>
      </c>
      <c r="B47" s="9" t="s">
        <v>119</v>
      </c>
      <c r="C47" s="9" t="s">
        <v>987</v>
      </c>
      <c r="D47" s="12">
        <v>36951.0</v>
      </c>
      <c r="E47" s="9" t="s">
        <v>990</v>
      </c>
      <c r="F47" s="9" t="s">
        <v>628</v>
      </c>
      <c r="G47" s="9" t="s">
        <v>200</v>
      </c>
      <c r="H47" s="9" t="s">
        <v>994</v>
      </c>
      <c r="I47" s="10" t="s">
        <v>54</v>
      </c>
      <c r="J47" s="10" t="s">
        <v>2279</v>
      </c>
      <c r="K47" s="10" t="s">
        <v>2366</v>
      </c>
      <c r="L47" s="10">
        <f>vlookup(C47,'Form Responses 1'!$C:$D,2,false)</f>
        <v>7000286251</v>
      </c>
      <c r="M47" s="43"/>
    </row>
    <row r="48">
      <c r="A48" s="9" t="s">
        <v>75</v>
      </c>
      <c r="B48" s="9" t="s">
        <v>119</v>
      </c>
      <c r="C48" s="9" t="s">
        <v>583</v>
      </c>
      <c r="D48" s="12">
        <v>36178.0</v>
      </c>
      <c r="E48" s="9" t="s">
        <v>593</v>
      </c>
      <c r="F48" s="9" t="s">
        <v>596</v>
      </c>
      <c r="G48" s="9" t="s">
        <v>128</v>
      </c>
      <c r="H48" s="9" t="s">
        <v>603</v>
      </c>
      <c r="I48" s="10" t="s">
        <v>44</v>
      </c>
      <c r="K48" s="10" t="s">
        <v>2366</v>
      </c>
      <c r="L48" s="10">
        <f>vlookup(C48,'Form Responses 1'!$C:$D,2,false)</f>
        <v>7000141094</v>
      </c>
      <c r="M48" s="43"/>
    </row>
    <row r="49">
      <c r="A49" s="9" t="s">
        <v>75</v>
      </c>
      <c r="B49" s="9" t="s">
        <v>119</v>
      </c>
      <c r="C49" s="9" t="s">
        <v>679</v>
      </c>
      <c r="D49" s="12">
        <v>35747.0</v>
      </c>
      <c r="E49" s="9" t="s">
        <v>692</v>
      </c>
      <c r="F49" s="9" t="s">
        <v>178</v>
      </c>
      <c r="G49" s="9" t="s">
        <v>128</v>
      </c>
      <c r="H49" s="9" t="s">
        <v>749</v>
      </c>
      <c r="I49" s="10" t="s">
        <v>44</v>
      </c>
      <c r="K49" s="10" t="s">
        <v>2366</v>
      </c>
      <c r="L49" s="10">
        <f>vlookup(C49,'Form Responses 1'!$C:$D,2,false)</f>
        <v>7000012366</v>
      </c>
      <c r="M49" s="43"/>
    </row>
    <row r="50">
      <c r="A50" s="9" t="s">
        <v>75</v>
      </c>
      <c r="B50" s="9" t="s">
        <v>119</v>
      </c>
      <c r="C50" s="9" t="s">
        <v>1049</v>
      </c>
      <c r="D50" s="12">
        <v>36436.0</v>
      </c>
      <c r="E50" s="9" t="s">
        <v>1052</v>
      </c>
      <c r="F50" s="9" t="s">
        <v>628</v>
      </c>
      <c r="G50" s="9" t="s">
        <v>128</v>
      </c>
      <c r="H50" s="9" t="s">
        <v>1053</v>
      </c>
      <c r="I50" s="10" t="s">
        <v>44</v>
      </c>
      <c r="K50" s="10" t="s">
        <v>2366</v>
      </c>
      <c r="L50" s="10">
        <f>vlookup(C50,'Form Responses 1'!$C:$D,2,false)</f>
        <v>7000131551</v>
      </c>
      <c r="M50" s="43"/>
    </row>
    <row r="51">
      <c r="A51" s="9" t="s">
        <v>75</v>
      </c>
      <c r="B51" s="9" t="s">
        <v>223</v>
      </c>
      <c r="C51" s="9" t="s">
        <v>1071</v>
      </c>
      <c r="D51" s="12">
        <v>34712.0</v>
      </c>
      <c r="E51" s="9" t="s">
        <v>1073</v>
      </c>
      <c r="F51" s="9" t="s">
        <v>552</v>
      </c>
      <c r="G51" s="9" t="s">
        <v>230</v>
      </c>
      <c r="H51" s="9" t="s">
        <v>1076</v>
      </c>
      <c r="I51" s="10" t="s">
        <v>54</v>
      </c>
      <c r="J51" s="10" t="s">
        <v>2379</v>
      </c>
      <c r="K51" s="10" t="s">
        <v>2366</v>
      </c>
      <c r="L51" s="10">
        <f>vlookup(C51,'Form Responses 1'!$C:$D,2,false)</f>
        <v>7000058324</v>
      </c>
      <c r="M51" s="10" t="s">
        <v>2380</v>
      </c>
    </row>
    <row r="52">
      <c r="A52" s="9" t="s">
        <v>75</v>
      </c>
      <c r="B52" s="9" t="s">
        <v>223</v>
      </c>
      <c r="C52" s="9" t="s">
        <v>1095</v>
      </c>
      <c r="D52" s="12">
        <v>36520.0</v>
      </c>
      <c r="E52" s="9" t="s">
        <v>1003</v>
      </c>
      <c r="F52" s="9" t="s">
        <v>361</v>
      </c>
      <c r="G52" s="9" t="s">
        <v>263</v>
      </c>
      <c r="H52" s="9" t="s">
        <v>1100</v>
      </c>
      <c r="I52" s="10" t="s">
        <v>44</v>
      </c>
      <c r="J52" s="10" t="s">
        <v>2384</v>
      </c>
      <c r="K52" s="10" t="s">
        <v>2366</v>
      </c>
      <c r="L52" s="10">
        <f>vlookup(C52,'Form Responses 1'!$C:$D,2,false)</f>
        <v>7000133033</v>
      </c>
      <c r="M52" s="43"/>
    </row>
    <row r="53">
      <c r="A53" s="9" t="s">
        <v>75</v>
      </c>
      <c r="B53" s="9" t="s">
        <v>223</v>
      </c>
      <c r="C53" s="9" t="s">
        <v>995</v>
      </c>
      <c r="D53" s="12">
        <v>35906.0</v>
      </c>
      <c r="E53" s="9" t="s">
        <v>1003</v>
      </c>
      <c r="F53" s="9" t="s">
        <v>1017</v>
      </c>
      <c r="G53" s="9" t="s">
        <v>263</v>
      </c>
      <c r="H53" s="9" t="s">
        <v>1048</v>
      </c>
      <c r="I53" s="10" t="s">
        <v>44</v>
      </c>
      <c r="J53" s="10" t="s">
        <v>2387</v>
      </c>
      <c r="K53" s="10" t="s">
        <v>2366</v>
      </c>
      <c r="L53" s="10">
        <f>vlookup(C53,'Form Responses 1'!$C:$D,2,false)</f>
        <v>7000202065</v>
      </c>
      <c r="M53" s="43"/>
    </row>
    <row r="54">
      <c r="A54" s="9" t="s">
        <v>75</v>
      </c>
      <c r="B54" s="9" t="s">
        <v>223</v>
      </c>
      <c r="C54" s="9" t="s">
        <v>1139</v>
      </c>
      <c r="D54" s="12">
        <v>35906.0</v>
      </c>
      <c r="E54" s="9" t="s">
        <v>1003</v>
      </c>
      <c r="F54" s="9" t="s">
        <v>1017</v>
      </c>
      <c r="G54" s="9" t="s">
        <v>263</v>
      </c>
      <c r="H54" s="9" t="s">
        <v>1143</v>
      </c>
      <c r="I54" s="10" t="s">
        <v>44</v>
      </c>
      <c r="J54" s="10" t="s">
        <v>2387</v>
      </c>
      <c r="K54" s="10" t="s">
        <v>2366</v>
      </c>
      <c r="L54" s="10">
        <f>vlookup(C54,'Form Responses 1'!$C:$D,2,false)</f>
        <v>7000202065</v>
      </c>
      <c r="M54" s="43"/>
    </row>
    <row r="55">
      <c r="A55" s="9" t="s">
        <v>75</v>
      </c>
      <c r="B55" s="9" t="s">
        <v>223</v>
      </c>
      <c r="C55" s="9" t="s">
        <v>1167</v>
      </c>
      <c r="D55" s="12">
        <v>36644.0</v>
      </c>
      <c r="E55" s="9" t="s">
        <v>1170</v>
      </c>
      <c r="F55" s="9" t="s">
        <v>744</v>
      </c>
      <c r="G55" s="9" t="s">
        <v>263</v>
      </c>
      <c r="H55" s="9" t="s">
        <v>1179</v>
      </c>
      <c r="I55" s="10" t="s">
        <v>44</v>
      </c>
      <c r="J55" s="10" t="s">
        <v>2384</v>
      </c>
      <c r="K55" s="10" t="s">
        <v>2366</v>
      </c>
      <c r="L55" s="10">
        <f>vlookup(C55,'Form Responses 1'!$C:$D,2,false)</f>
        <v>7000287279</v>
      </c>
      <c r="M55" s="43"/>
    </row>
    <row r="56">
      <c r="A56" s="9" t="s">
        <v>75</v>
      </c>
      <c r="B56" s="9" t="s">
        <v>223</v>
      </c>
      <c r="C56" s="9" t="s">
        <v>1189</v>
      </c>
      <c r="D56" s="12">
        <v>35987.0</v>
      </c>
      <c r="E56" s="9" t="s">
        <v>1190</v>
      </c>
      <c r="F56" s="9" t="s">
        <v>49</v>
      </c>
      <c r="G56" s="9" t="s">
        <v>1191</v>
      </c>
      <c r="H56" s="9" t="s">
        <v>1192</v>
      </c>
      <c r="I56" s="10" t="s">
        <v>44</v>
      </c>
      <c r="J56" s="10" t="s">
        <v>2400</v>
      </c>
      <c r="K56" s="10" t="s">
        <v>2366</v>
      </c>
      <c r="L56" s="10">
        <f>vlookup(C56,'Form Responses 1'!$C:$D,2,false)</f>
        <v>202500039736</v>
      </c>
      <c r="M56" s="43"/>
    </row>
    <row r="57">
      <c r="A57" s="9" t="s">
        <v>75</v>
      </c>
      <c r="B57" s="9" t="s">
        <v>223</v>
      </c>
      <c r="C57" s="9" t="s">
        <v>1209</v>
      </c>
      <c r="D57" s="12">
        <v>34964.0</v>
      </c>
      <c r="E57" s="9" t="s">
        <v>1211</v>
      </c>
      <c r="F57" s="9">
        <v>3.45</v>
      </c>
      <c r="G57" s="9" t="s">
        <v>1213</v>
      </c>
      <c r="H57" s="9" t="s">
        <v>1215</v>
      </c>
      <c r="I57" s="10" t="s">
        <v>44</v>
      </c>
      <c r="K57" s="10" t="s">
        <v>2366</v>
      </c>
      <c r="L57" s="10">
        <f>vlookup(C57,'Form Responses 1'!$C:$D,2,false)</f>
        <v>7000019417</v>
      </c>
      <c r="M57" s="43"/>
    </row>
    <row r="58">
      <c r="A58" s="9" t="s">
        <v>75</v>
      </c>
      <c r="B58" s="9" t="s">
        <v>223</v>
      </c>
      <c r="C58" s="9" t="s">
        <v>1232</v>
      </c>
      <c r="D58" s="12">
        <v>37538.0</v>
      </c>
      <c r="E58" s="9" t="s">
        <v>1073</v>
      </c>
      <c r="F58" s="9" t="s">
        <v>1234</v>
      </c>
      <c r="G58" s="9" t="s">
        <v>230</v>
      </c>
      <c r="H58" s="9" t="s">
        <v>1237</v>
      </c>
      <c r="I58" s="10" t="s">
        <v>54</v>
      </c>
      <c r="J58" s="10" t="s">
        <v>1073</v>
      </c>
      <c r="K58" s="10" t="s">
        <v>2366</v>
      </c>
      <c r="L58" s="10">
        <f>vlookup(C58,'Form Responses 1'!$C:$D,2,false)</f>
        <v>7000330445</v>
      </c>
      <c r="M58" s="43"/>
    </row>
    <row r="59">
      <c r="A59" s="9" t="s">
        <v>75</v>
      </c>
      <c r="B59" s="9" t="s">
        <v>223</v>
      </c>
      <c r="C59" s="9" t="s">
        <v>1323</v>
      </c>
      <c r="D59" s="12">
        <v>36941.0</v>
      </c>
      <c r="E59" s="9" t="s">
        <v>1325</v>
      </c>
      <c r="F59" s="9" t="s">
        <v>127</v>
      </c>
      <c r="G59" s="9" t="s">
        <v>263</v>
      </c>
      <c r="H59" s="9" t="s">
        <v>1330</v>
      </c>
      <c r="I59" s="10" t="s">
        <v>44</v>
      </c>
      <c r="K59" s="10" t="s">
        <v>2366</v>
      </c>
      <c r="L59" s="10">
        <f>vlookup(C59,'Form Responses 1'!$C:$D,2,false)</f>
        <v>7000268360</v>
      </c>
      <c r="M59" s="43"/>
    </row>
    <row r="60">
      <c r="A60" s="9" t="s">
        <v>75</v>
      </c>
      <c r="B60" s="9" t="s">
        <v>223</v>
      </c>
      <c r="C60" s="9" t="s">
        <v>1353</v>
      </c>
      <c r="D60" s="12">
        <v>36978.0</v>
      </c>
      <c r="E60" s="9" t="s">
        <v>1355</v>
      </c>
      <c r="F60" s="9">
        <v>3.8</v>
      </c>
      <c r="G60" s="9" t="s">
        <v>263</v>
      </c>
      <c r="H60" s="9" t="s">
        <v>1358</v>
      </c>
      <c r="I60" s="10" t="s">
        <v>44</v>
      </c>
      <c r="J60" s="10" t="s">
        <v>2414</v>
      </c>
      <c r="K60" s="10" t="s">
        <v>2366</v>
      </c>
      <c r="L60" s="10">
        <f>vlookup(C60,'Form Responses 1'!$C:$D,2,false)</f>
        <v>7000270150</v>
      </c>
      <c r="M60" s="43"/>
    </row>
    <row r="61">
      <c r="A61" s="9" t="s">
        <v>75</v>
      </c>
      <c r="B61" s="9" t="s">
        <v>223</v>
      </c>
      <c r="C61" s="9" t="s">
        <v>1372</v>
      </c>
      <c r="D61" s="12">
        <v>35925.0</v>
      </c>
      <c r="E61" s="9" t="s">
        <v>1374</v>
      </c>
      <c r="F61" s="9">
        <v>3.74</v>
      </c>
      <c r="G61" s="9" t="s">
        <v>1191</v>
      </c>
      <c r="H61" s="9" t="s">
        <v>1378</v>
      </c>
      <c r="I61" s="10" t="s">
        <v>44</v>
      </c>
      <c r="K61" s="10" t="s">
        <v>2366</v>
      </c>
      <c r="L61" s="10">
        <f>vlookup(C61,'Form Responses 1'!$C:$D,2,false)</f>
        <v>7000053135</v>
      </c>
      <c r="M61" s="43"/>
    </row>
    <row r="62">
      <c r="A62" s="9" t="s">
        <v>75</v>
      </c>
      <c r="B62" s="9" t="s">
        <v>223</v>
      </c>
      <c r="C62" s="9" t="s">
        <v>1398</v>
      </c>
      <c r="D62" s="12">
        <v>36799.0</v>
      </c>
      <c r="E62" s="9" t="s">
        <v>1003</v>
      </c>
      <c r="F62" s="9">
        <v>3.78</v>
      </c>
      <c r="G62" s="9" t="s">
        <v>263</v>
      </c>
      <c r="H62" s="9" t="s">
        <v>1402</v>
      </c>
      <c r="I62" s="10" t="s">
        <v>44</v>
      </c>
      <c r="K62" s="10" t="s">
        <v>2366</v>
      </c>
      <c r="L62" s="10">
        <f>vlookup(C62,'Form Responses 1'!$C:$D,2,false)</f>
        <v>7000211281</v>
      </c>
      <c r="M62" s="43"/>
    </row>
    <row r="63">
      <c r="A63" s="9" t="s">
        <v>75</v>
      </c>
      <c r="B63" s="9" t="s">
        <v>223</v>
      </c>
      <c r="C63" s="9" t="s">
        <v>1420</v>
      </c>
      <c r="D63" s="12">
        <v>37119.0</v>
      </c>
      <c r="E63" s="9" t="s">
        <v>1170</v>
      </c>
      <c r="F63" s="9" t="s">
        <v>1423</v>
      </c>
      <c r="G63" s="9" t="s">
        <v>263</v>
      </c>
      <c r="H63" s="9" t="s">
        <v>1425</v>
      </c>
      <c r="I63" s="10" t="s">
        <v>44</v>
      </c>
      <c r="K63" s="10" t="s">
        <v>2366</v>
      </c>
      <c r="L63" s="10">
        <f>vlookup(C63,'Form Responses 1'!$C:$D,2,false)</f>
        <v>7000229318</v>
      </c>
      <c r="M63" s="43"/>
    </row>
    <row r="64">
      <c r="A64" s="9" t="s">
        <v>75</v>
      </c>
      <c r="B64" s="9" t="s">
        <v>280</v>
      </c>
      <c r="C64" s="9" t="s">
        <v>1446</v>
      </c>
      <c r="D64" s="12">
        <v>36036.0</v>
      </c>
      <c r="E64" s="9" t="s">
        <v>310</v>
      </c>
      <c r="F64" s="9" t="s">
        <v>1448</v>
      </c>
      <c r="G64" s="9" t="s">
        <v>283</v>
      </c>
      <c r="H64" s="9" t="s">
        <v>1451</v>
      </c>
      <c r="I64" s="10" t="s">
        <v>44</v>
      </c>
      <c r="K64" s="10" t="s">
        <v>2366</v>
      </c>
      <c r="L64" s="10">
        <f>vlookup(C64,'Form Responses 1'!$C:$D,2,false)</f>
        <v>7000024673</v>
      </c>
      <c r="M64" s="43"/>
    </row>
    <row r="65">
      <c r="A65" s="9" t="s">
        <v>75</v>
      </c>
      <c r="B65" s="9" t="s">
        <v>280</v>
      </c>
      <c r="C65" s="9" t="s">
        <v>1470</v>
      </c>
      <c r="D65" s="12">
        <v>36525.0</v>
      </c>
      <c r="E65" s="9" t="s">
        <v>310</v>
      </c>
      <c r="F65" s="9" t="s">
        <v>1473</v>
      </c>
      <c r="G65" s="9" t="s">
        <v>283</v>
      </c>
      <c r="H65" s="9" t="s">
        <v>1476</v>
      </c>
      <c r="I65" s="10" t="s">
        <v>54</v>
      </c>
      <c r="J65" s="10" t="s">
        <v>2440</v>
      </c>
      <c r="K65" s="10" t="s">
        <v>2366</v>
      </c>
      <c r="L65" s="10">
        <f>vlookup(C65,'Form Responses 1'!$C:$D,2,false)</f>
        <v>7000125630</v>
      </c>
      <c r="M65" s="43"/>
    </row>
    <row r="66">
      <c r="A66" s="9" t="s">
        <v>75</v>
      </c>
      <c r="B66" s="9" t="s">
        <v>280</v>
      </c>
      <c r="C66" s="9" t="s">
        <v>1494</v>
      </c>
      <c r="D66" s="12">
        <v>36668.0</v>
      </c>
      <c r="E66" s="9" t="s">
        <v>1495</v>
      </c>
      <c r="F66" s="9" t="s">
        <v>49</v>
      </c>
      <c r="G66" s="9" t="s">
        <v>283</v>
      </c>
      <c r="H66" s="9" t="s">
        <v>1498</v>
      </c>
      <c r="I66" s="10" t="s">
        <v>44</v>
      </c>
      <c r="K66" s="10" t="s">
        <v>2366</v>
      </c>
      <c r="L66" s="10">
        <f>vlookup(C66,'Form Responses 1'!$C:$D,2,false)</f>
        <v>7000001058</v>
      </c>
      <c r="M66" s="43"/>
    </row>
    <row r="67">
      <c r="A67" s="9" t="s">
        <v>75</v>
      </c>
      <c r="B67" s="9" t="s">
        <v>280</v>
      </c>
      <c r="C67" s="9" t="s">
        <v>1520</v>
      </c>
      <c r="D67" s="12">
        <v>30409.0</v>
      </c>
      <c r="E67" s="9" t="s">
        <v>1521</v>
      </c>
      <c r="F67" s="9">
        <v>2.75</v>
      </c>
      <c r="G67" s="9" t="s">
        <v>200</v>
      </c>
      <c r="H67" s="9" t="s">
        <v>149</v>
      </c>
      <c r="I67" s="10" t="s">
        <v>54</v>
      </c>
      <c r="J67" s="10" t="s">
        <v>2448</v>
      </c>
      <c r="K67" s="10" t="s">
        <v>2366</v>
      </c>
      <c r="L67" s="10" t="str">
        <f>vlookup(C67,'Form Responses 1'!$C:$D,2,false)</f>
        <v>201501061583@guruku.id</v>
      </c>
      <c r="M67" s="43"/>
    </row>
    <row r="68">
      <c r="A68" s="9" t="s">
        <v>75</v>
      </c>
      <c r="B68" s="9" t="s">
        <v>280</v>
      </c>
      <c r="C68" s="9" t="s">
        <v>1533</v>
      </c>
      <c r="D68" s="12">
        <v>34873.0</v>
      </c>
      <c r="E68" s="9" t="s">
        <v>283</v>
      </c>
      <c r="F68" s="9" t="s">
        <v>1535</v>
      </c>
      <c r="G68" s="9" t="s">
        <v>283</v>
      </c>
      <c r="H68" s="9" t="s">
        <v>1549</v>
      </c>
      <c r="I68" s="10" t="s">
        <v>54</v>
      </c>
      <c r="J68" s="10" t="s">
        <v>2290</v>
      </c>
      <c r="K68" s="10" t="s">
        <v>2366</v>
      </c>
      <c r="L68" s="10">
        <f>vlookup(C68,'Form Responses 1'!$C:$D,2,false)</f>
        <v>7000110408</v>
      </c>
      <c r="M68" s="43"/>
    </row>
    <row r="69">
      <c r="A69" s="9" t="s">
        <v>75</v>
      </c>
      <c r="B69" s="9" t="s">
        <v>1578</v>
      </c>
      <c r="C69" s="9" t="s">
        <v>1581</v>
      </c>
      <c r="D69" s="12">
        <v>36759.0</v>
      </c>
      <c r="E69" s="9" t="s">
        <v>1584</v>
      </c>
      <c r="F69" s="9" t="s">
        <v>720</v>
      </c>
      <c r="G69" s="9" t="s">
        <v>1587</v>
      </c>
      <c r="H69" s="9" t="s">
        <v>1589</v>
      </c>
      <c r="I69" s="10" t="s">
        <v>44</v>
      </c>
      <c r="J69" s="10" t="s">
        <v>2384</v>
      </c>
      <c r="K69" s="10" t="s">
        <v>2366</v>
      </c>
      <c r="L69" s="10">
        <f>vlookup(C69,'Form Responses 1'!$C:$D,2,false)</f>
        <v>7000147570</v>
      </c>
      <c r="M69" s="43"/>
    </row>
    <row r="70">
      <c r="A70" s="9" t="s">
        <v>75</v>
      </c>
      <c r="B70" s="9" t="s">
        <v>1578</v>
      </c>
      <c r="C70" s="9" t="s">
        <v>1617</v>
      </c>
      <c r="D70" s="12">
        <v>35826.0</v>
      </c>
      <c r="E70" s="9" t="s">
        <v>1620</v>
      </c>
      <c r="F70" s="9" t="s">
        <v>1621</v>
      </c>
      <c r="G70" s="9" t="s">
        <v>1587</v>
      </c>
      <c r="H70" s="9" t="s">
        <v>1626</v>
      </c>
      <c r="I70" s="10" t="s">
        <v>44</v>
      </c>
      <c r="K70" s="10" t="s">
        <v>2366</v>
      </c>
      <c r="L70" s="10">
        <f>vlookup(C70,'Form Responses 1'!$C:$D,2,false)</f>
        <v>7000166234</v>
      </c>
      <c r="M70" s="43"/>
    </row>
    <row r="71">
      <c r="A71" s="9" t="s">
        <v>75</v>
      </c>
      <c r="B71" s="9" t="s">
        <v>1578</v>
      </c>
      <c r="C71" s="9" t="s">
        <v>1650</v>
      </c>
      <c r="D71" s="12">
        <v>32570.0</v>
      </c>
      <c r="E71" s="9" t="s">
        <v>1652</v>
      </c>
      <c r="F71" s="9" t="s">
        <v>1654</v>
      </c>
      <c r="G71" s="9" t="s">
        <v>1587</v>
      </c>
      <c r="H71" s="9" t="s">
        <v>1656</v>
      </c>
      <c r="I71" s="10" t="s">
        <v>54</v>
      </c>
      <c r="J71" s="10" t="s">
        <v>2463</v>
      </c>
      <c r="K71" s="10" t="s">
        <v>2366</v>
      </c>
      <c r="L71" s="10">
        <f>vlookup(C71,'Form Responses 1'!$C:$D,2,false)</f>
        <v>201698388620</v>
      </c>
      <c r="M71" s="43"/>
    </row>
    <row r="72">
      <c r="A72" s="9" t="s">
        <v>75</v>
      </c>
      <c r="B72" s="9" t="s">
        <v>1578</v>
      </c>
      <c r="C72" s="9" t="s">
        <v>1682</v>
      </c>
      <c r="D72" s="12">
        <v>35267.0</v>
      </c>
      <c r="E72" s="9" t="s">
        <v>1684</v>
      </c>
      <c r="F72" s="9" t="s">
        <v>154</v>
      </c>
      <c r="G72" s="9" t="s">
        <v>1587</v>
      </c>
      <c r="H72" s="9" t="s">
        <v>1687</v>
      </c>
      <c r="I72" s="10" t="s">
        <v>44</v>
      </c>
      <c r="J72" s="10" t="s">
        <v>2470</v>
      </c>
      <c r="K72" s="10" t="s">
        <v>2366</v>
      </c>
      <c r="L72" s="10">
        <f>vlookup(C72,'Form Responses 1'!$C:$D,2,false)</f>
        <v>7000060591</v>
      </c>
      <c r="M72" s="43"/>
    </row>
    <row r="73">
      <c r="A73" s="9" t="s">
        <v>75</v>
      </c>
      <c r="B73" s="9" t="s">
        <v>1578</v>
      </c>
      <c r="C73" s="9" t="s">
        <v>1701</v>
      </c>
      <c r="D73" s="12">
        <v>33628.0</v>
      </c>
      <c r="E73" s="9" t="s">
        <v>1620</v>
      </c>
      <c r="F73" s="9" t="s">
        <v>1703</v>
      </c>
      <c r="G73" s="9" t="s">
        <v>1587</v>
      </c>
      <c r="H73" s="9" t="s">
        <v>1706</v>
      </c>
      <c r="I73" s="10" t="s">
        <v>54</v>
      </c>
      <c r="J73" s="10" t="s">
        <v>2474</v>
      </c>
      <c r="K73" s="10" t="s">
        <v>2366</v>
      </c>
      <c r="L73" s="10">
        <f>vlookup(C73,'Form Responses 1'!$C:$D,2,false)</f>
        <v>201698584238</v>
      </c>
      <c r="M73" s="43"/>
    </row>
    <row r="74">
      <c r="A74" s="9" t="s">
        <v>75</v>
      </c>
      <c r="B74" s="9" t="s">
        <v>74</v>
      </c>
      <c r="C74" s="9" t="s">
        <v>1729</v>
      </c>
      <c r="D74" s="12">
        <v>36304.0</v>
      </c>
      <c r="E74" s="9" t="s">
        <v>1730</v>
      </c>
      <c r="F74" s="9" t="s">
        <v>1423</v>
      </c>
      <c r="G74" s="9" t="s">
        <v>64</v>
      </c>
      <c r="H74" s="9" t="s">
        <v>1731</v>
      </c>
      <c r="I74" s="10" t="s">
        <v>44</v>
      </c>
      <c r="K74" s="10" t="s">
        <v>2366</v>
      </c>
      <c r="L74" s="10">
        <f>vlookup(C74,'Form Responses 1'!$C:$D,2,false)</f>
        <v>7000114559</v>
      </c>
      <c r="M74" s="43"/>
    </row>
    <row r="75">
      <c r="A75" s="9" t="s">
        <v>75</v>
      </c>
      <c r="B75" s="9" t="s">
        <v>74</v>
      </c>
      <c r="C75" s="9" t="s">
        <v>1752</v>
      </c>
      <c r="D75" s="12">
        <v>35796.0</v>
      </c>
      <c r="E75" s="9" t="s">
        <v>1753</v>
      </c>
      <c r="F75" s="9" t="s">
        <v>154</v>
      </c>
      <c r="G75" s="9" t="s">
        <v>64</v>
      </c>
      <c r="H75" s="9" t="s">
        <v>1756</v>
      </c>
      <c r="I75" s="10" t="s">
        <v>44</v>
      </c>
      <c r="K75" s="10" t="s">
        <v>2366</v>
      </c>
      <c r="L75" s="10">
        <f>vlookup(C75,'Form Responses 1'!$C:$D,2,false)</f>
        <v>7000270364</v>
      </c>
      <c r="M75" s="43"/>
    </row>
    <row r="76">
      <c r="A76" s="9" t="s">
        <v>75</v>
      </c>
      <c r="B76" s="9" t="s">
        <v>74</v>
      </c>
      <c r="C76" s="9" t="s">
        <v>1775</v>
      </c>
      <c r="D76" s="12">
        <v>36262.0</v>
      </c>
      <c r="E76" s="9" t="s">
        <v>1777</v>
      </c>
      <c r="F76" s="9" t="s">
        <v>1778</v>
      </c>
      <c r="G76" s="9" t="s">
        <v>64</v>
      </c>
      <c r="H76" s="9" t="s">
        <v>1781</v>
      </c>
      <c r="I76" s="10" t="s">
        <v>44</v>
      </c>
      <c r="K76" s="10" t="s">
        <v>2366</v>
      </c>
      <c r="L76" s="10">
        <f>vlookup(C76,'Form Responses 1'!$C:$D,2,false)</f>
        <v>7000158269</v>
      </c>
      <c r="M76" s="43"/>
    </row>
    <row r="77">
      <c r="A77" s="9" t="s">
        <v>75</v>
      </c>
      <c r="B77" s="9" t="s">
        <v>74</v>
      </c>
      <c r="C77" s="9" t="s">
        <v>1802</v>
      </c>
      <c r="D77" s="12">
        <v>36144.0</v>
      </c>
      <c r="E77" s="9" t="s">
        <v>1803</v>
      </c>
      <c r="F77" s="9" t="s">
        <v>79</v>
      </c>
      <c r="G77" s="9" t="s">
        <v>64</v>
      </c>
      <c r="H77" s="9" t="s">
        <v>1806</v>
      </c>
      <c r="I77" s="10" t="s">
        <v>44</v>
      </c>
      <c r="J77" s="10" t="s">
        <v>2384</v>
      </c>
      <c r="K77" s="10" t="s">
        <v>2366</v>
      </c>
      <c r="L77" s="10">
        <f>vlookup(C77,'Form Responses 1'!$C:$D,2,false)</f>
        <v>7000243397</v>
      </c>
      <c r="M77" s="43"/>
    </row>
    <row r="78">
      <c r="A78" s="9" t="s">
        <v>75</v>
      </c>
      <c r="B78" s="9" t="s">
        <v>74</v>
      </c>
      <c r="C78" s="9" t="s">
        <v>1826</v>
      </c>
      <c r="D78" s="12">
        <v>37275.0</v>
      </c>
      <c r="E78" s="9" t="s">
        <v>1828</v>
      </c>
      <c r="F78" s="9">
        <v>3.76</v>
      </c>
      <c r="G78" s="9" t="s">
        <v>64</v>
      </c>
      <c r="H78" s="9" t="s">
        <v>1832</v>
      </c>
      <c r="I78" s="10" t="s">
        <v>44</v>
      </c>
      <c r="K78" s="10" t="s">
        <v>2366</v>
      </c>
      <c r="L78" s="10">
        <f>vlookup(C78,'Form Responses 1'!$C:$D,2,false)</f>
        <v>7000213119</v>
      </c>
      <c r="M78" s="43"/>
    </row>
    <row r="79">
      <c r="A79" s="9" t="s">
        <v>75</v>
      </c>
      <c r="B79" s="9" t="s">
        <v>74</v>
      </c>
      <c r="C79" s="9" t="s">
        <v>50</v>
      </c>
      <c r="D79" s="12">
        <v>36791.0</v>
      </c>
      <c r="E79" s="9" t="s">
        <v>58</v>
      </c>
      <c r="F79" s="9" t="s">
        <v>66</v>
      </c>
      <c r="G79" s="9" t="s">
        <v>64</v>
      </c>
      <c r="H79" s="9" t="s">
        <v>82</v>
      </c>
      <c r="I79" s="10" t="s">
        <v>44</v>
      </c>
      <c r="K79" s="10" t="s">
        <v>2366</v>
      </c>
      <c r="L79" s="10">
        <f>vlookup(C79,'Form Responses 1'!$C:$D,2,false)</f>
        <v>7000247262</v>
      </c>
      <c r="M79" s="43"/>
    </row>
    <row r="80">
      <c r="A80" s="9" t="s">
        <v>75</v>
      </c>
      <c r="B80" s="9" t="s">
        <v>74</v>
      </c>
      <c r="C80" s="9" t="s">
        <v>1877</v>
      </c>
      <c r="D80" s="12">
        <v>34663.0</v>
      </c>
      <c r="E80" s="9" t="s">
        <v>1878</v>
      </c>
      <c r="F80" s="9" t="s">
        <v>434</v>
      </c>
      <c r="G80" s="9" t="s">
        <v>64</v>
      </c>
      <c r="H80" s="9" t="s">
        <v>1882</v>
      </c>
      <c r="I80" s="10" t="s">
        <v>44</v>
      </c>
      <c r="K80" s="10" t="s">
        <v>2366</v>
      </c>
      <c r="L80" s="10">
        <f>vlookup(C80,'Form Responses 1'!$C:$D,2,false)</f>
        <v>7000043958</v>
      </c>
      <c r="M80" s="43"/>
    </row>
    <row r="81">
      <c r="A81" s="9" t="s">
        <v>75</v>
      </c>
      <c r="B81" s="9" t="s">
        <v>407</v>
      </c>
      <c r="C81" s="9" t="s">
        <v>386</v>
      </c>
      <c r="D81" s="12">
        <v>36154.0</v>
      </c>
      <c r="E81" s="9" t="s">
        <v>389</v>
      </c>
      <c r="F81" s="9" t="s">
        <v>398</v>
      </c>
      <c r="G81" s="9" t="s">
        <v>390</v>
      </c>
      <c r="H81" s="9" t="s">
        <v>420</v>
      </c>
      <c r="I81" s="10" t="s">
        <v>44</v>
      </c>
      <c r="K81" s="10" t="s">
        <v>2366</v>
      </c>
      <c r="L81" s="10">
        <f>vlookup(C81,'Form Responses 1'!$C:$D,2,false)</f>
        <v>7000088952</v>
      </c>
      <c r="M81" s="43"/>
    </row>
    <row r="82">
      <c r="A82" s="9" t="s">
        <v>75</v>
      </c>
      <c r="B82" s="9" t="s">
        <v>407</v>
      </c>
      <c r="C82" s="9" t="s">
        <v>1923</v>
      </c>
      <c r="D82" s="12">
        <v>36237.0</v>
      </c>
      <c r="E82" s="9" t="s">
        <v>1924</v>
      </c>
      <c r="F82" s="9" t="s">
        <v>628</v>
      </c>
      <c r="G82" s="9" t="s">
        <v>1925</v>
      </c>
      <c r="H82" s="9" t="s">
        <v>1927</v>
      </c>
      <c r="I82" s="10" t="s">
        <v>44</v>
      </c>
      <c r="K82" s="10" t="s">
        <v>2366</v>
      </c>
      <c r="L82" s="10">
        <f>vlookup(C82,'Form Responses 1'!$C:$D,2,false)</f>
        <v>7000130658</v>
      </c>
      <c r="M82" s="43"/>
    </row>
    <row r="83">
      <c r="A83" s="9" t="s">
        <v>75</v>
      </c>
      <c r="B83" s="9" t="s">
        <v>407</v>
      </c>
      <c r="C83" s="9" t="s">
        <v>1945</v>
      </c>
      <c r="D83" s="12">
        <v>36253.0</v>
      </c>
      <c r="E83" s="9" t="s">
        <v>1948</v>
      </c>
      <c r="F83" s="9" t="s">
        <v>115</v>
      </c>
      <c r="G83" s="9" t="s">
        <v>390</v>
      </c>
      <c r="H83" s="9" t="s">
        <v>1951</v>
      </c>
      <c r="I83" s="10" t="s">
        <v>44</v>
      </c>
      <c r="K83" s="10" t="s">
        <v>2366</v>
      </c>
      <c r="L83" s="10">
        <f>vlookup(C83,'Form Responses 1'!$C:$D,2,false)</f>
        <v>7000181406</v>
      </c>
      <c r="M83" s="43"/>
    </row>
    <row r="84">
      <c r="A84" s="9" t="s">
        <v>75</v>
      </c>
      <c r="B84" s="9" t="s">
        <v>857</v>
      </c>
      <c r="C84" s="9" t="s">
        <v>1967</v>
      </c>
      <c r="D84" s="12">
        <v>37188.0</v>
      </c>
      <c r="E84" s="9" t="s">
        <v>1969</v>
      </c>
      <c r="F84" s="9" t="s">
        <v>1970</v>
      </c>
      <c r="G84" s="9" t="s">
        <v>842</v>
      </c>
      <c r="H84" s="9" t="s">
        <v>1973</v>
      </c>
      <c r="I84" s="10" t="s">
        <v>54</v>
      </c>
      <c r="J84" s="10" t="s">
        <v>2502</v>
      </c>
      <c r="K84" s="10" t="s">
        <v>2366</v>
      </c>
      <c r="L84" s="10">
        <f>vlookup(C84,'Form Responses 1'!$C:$D,2,false)</f>
        <v>7000305558</v>
      </c>
      <c r="M84" s="43"/>
    </row>
    <row r="85">
      <c r="A85" s="9" t="s">
        <v>75</v>
      </c>
      <c r="B85" s="9" t="s">
        <v>857</v>
      </c>
      <c r="C85" s="9" t="s">
        <v>819</v>
      </c>
      <c r="D85" s="12">
        <v>36233.0</v>
      </c>
      <c r="E85" s="9" t="s">
        <v>831</v>
      </c>
      <c r="F85" s="9" t="s">
        <v>847</v>
      </c>
      <c r="G85" s="9" t="s">
        <v>842</v>
      </c>
      <c r="H85" s="9" t="s">
        <v>863</v>
      </c>
      <c r="I85" s="10" t="s">
        <v>54</v>
      </c>
      <c r="J85" s="10" t="s">
        <v>2505</v>
      </c>
      <c r="K85" s="10" t="s">
        <v>2366</v>
      </c>
      <c r="L85" s="10">
        <f>vlookup(C85,'Form Responses 1'!$C:$D,2,false)</f>
        <v>7000230682</v>
      </c>
      <c r="M85" s="43"/>
    </row>
    <row r="86">
      <c r="A86" s="9" t="s">
        <v>75</v>
      </c>
      <c r="B86" s="9" t="s">
        <v>857</v>
      </c>
      <c r="C86" s="9" t="s">
        <v>2003</v>
      </c>
      <c r="D86" s="12">
        <v>36432.0</v>
      </c>
      <c r="E86" s="9" t="s">
        <v>2005</v>
      </c>
      <c r="F86" s="9" t="s">
        <v>719</v>
      </c>
      <c r="G86" s="9" t="s">
        <v>842</v>
      </c>
      <c r="H86" s="9" t="s">
        <v>2007</v>
      </c>
      <c r="I86" s="10" t="s">
        <v>44</v>
      </c>
      <c r="K86" s="10" t="s">
        <v>2366</v>
      </c>
      <c r="L86" s="10">
        <f>vlookup(C86,'Form Responses 1'!$C:$D,2,false)</f>
        <v>7000116289</v>
      </c>
      <c r="M86" s="43"/>
    </row>
    <row r="87">
      <c r="A87" s="9" t="s">
        <v>75</v>
      </c>
      <c r="B87" s="9" t="s">
        <v>857</v>
      </c>
      <c r="C87" s="9" t="s">
        <v>2017</v>
      </c>
      <c r="D87" s="12">
        <v>34740.0</v>
      </c>
      <c r="E87" s="9" t="s">
        <v>2018</v>
      </c>
      <c r="F87" s="9" t="s">
        <v>2020</v>
      </c>
      <c r="G87" s="9" t="s">
        <v>283</v>
      </c>
      <c r="H87" s="9" t="s">
        <v>2023</v>
      </c>
      <c r="I87" s="10" t="s">
        <v>54</v>
      </c>
      <c r="J87" s="10" t="s">
        <v>2509</v>
      </c>
      <c r="K87" s="10" t="s">
        <v>2366</v>
      </c>
      <c r="L87" s="10">
        <f>vlookup(C87,'Form Responses 1'!$C:$D,2,false)</f>
        <v>202300095800</v>
      </c>
      <c r="M87" s="10" t="s">
        <v>2510</v>
      </c>
    </row>
    <row r="88">
      <c r="A88" s="9" t="s">
        <v>75</v>
      </c>
      <c r="B88" s="9" t="s">
        <v>857</v>
      </c>
      <c r="C88" s="9" t="s">
        <v>2033</v>
      </c>
      <c r="D88" s="12">
        <v>37099.0</v>
      </c>
      <c r="E88" s="9" t="s">
        <v>2034</v>
      </c>
      <c r="F88" s="9" t="s">
        <v>2036</v>
      </c>
      <c r="G88" s="9" t="s">
        <v>842</v>
      </c>
      <c r="H88" s="9" t="s">
        <v>2038</v>
      </c>
      <c r="I88" s="10" t="s">
        <v>44</v>
      </c>
      <c r="K88" s="10" t="s">
        <v>2366</v>
      </c>
      <c r="L88" s="10">
        <f>vlookup(C88,'Form Responses 1'!$C:$D,2,false)</f>
        <v>7000291731</v>
      </c>
      <c r="M88" s="43"/>
    </row>
    <row r="89">
      <c r="A89" s="9" t="s">
        <v>75</v>
      </c>
      <c r="B89" s="9" t="s">
        <v>857</v>
      </c>
      <c r="C89" s="9" t="s">
        <v>2051</v>
      </c>
      <c r="D89" s="12">
        <v>36890.0</v>
      </c>
      <c r="E89" s="9" t="s">
        <v>1777</v>
      </c>
      <c r="F89" s="9" t="s">
        <v>127</v>
      </c>
      <c r="G89" s="9" t="s">
        <v>842</v>
      </c>
      <c r="H89" s="9" t="s">
        <v>2054</v>
      </c>
      <c r="I89" s="10" t="s">
        <v>44</v>
      </c>
      <c r="K89" s="10" t="s">
        <v>2366</v>
      </c>
      <c r="L89" s="10">
        <f>vlookup(C89,'Form Responses 1'!$C:$D,2,false)</f>
        <v>7000125740</v>
      </c>
      <c r="M89" s="43"/>
    </row>
    <row r="90">
      <c r="A90" s="9" t="s">
        <v>75</v>
      </c>
      <c r="B90" s="9" t="s">
        <v>857</v>
      </c>
      <c r="C90" s="9" t="s">
        <v>2066</v>
      </c>
      <c r="D90" s="12">
        <v>36045.0</v>
      </c>
      <c r="E90" s="9" t="s">
        <v>2068</v>
      </c>
      <c r="F90" s="9" t="s">
        <v>2070</v>
      </c>
      <c r="G90" s="9" t="s">
        <v>842</v>
      </c>
      <c r="H90" s="9" t="s">
        <v>2072</v>
      </c>
      <c r="I90" s="10" t="s">
        <v>44</v>
      </c>
      <c r="J90" s="10" t="s">
        <v>2384</v>
      </c>
      <c r="K90" s="10" t="s">
        <v>2366</v>
      </c>
      <c r="L90" s="10">
        <f>vlookup(C90,'Form Responses 1'!$C:$D,2,false)</f>
        <v>7000198128</v>
      </c>
      <c r="M90" s="4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hidden="1" min="2" max="2" width="44.88"/>
    <col customWidth="1" min="3" max="3" width="33.5"/>
    <col customWidth="1" min="4" max="4" width="19.0"/>
    <col customWidth="1" min="5" max="6" width="23.88"/>
    <col customWidth="1" min="7" max="7" width="14.88"/>
    <col customWidth="1" min="8" max="8" width="20.5"/>
    <col customWidth="1" min="9" max="9" width="13.88"/>
  </cols>
  <sheetData>
    <row r="1">
      <c r="A1" s="70" t="s">
        <v>2702</v>
      </c>
      <c r="B1" s="70" t="s">
        <v>2703</v>
      </c>
      <c r="C1" s="70" t="s">
        <v>2704</v>
      </c>
      <c r="D1" s="70" t="s">
        <v>20</v>
      </c>
      <c r="E1" s="71" t="s">
        <v>2705</v>
      </c>
      <c r="F1" s="72" t="s">
        <v>2705</v>
      </c>
      <c r="G1" s="72" t="s">
        <v>2706</v>
      </c>
      <c r="H1" s="72" t="s">
        <v>137</v>
      </c>
      <c r="I1" s="72" t="s">
        <v>2707</v>
      </c>
    </row>
    <row r="2">
      <c r="A2" s="73">
        <v>1.0</v>
      </c>
      <c r="B2" s="57" t="s">
        <v>21</v>
      </c>
      <c r="C2" s="57" t="s">
        <v>24</v>
      </c>
      <c r="D2" s="24" t="s">
        <v>44</v>
      </c>
      <c r="E2" s="74">
        <v>46236.0</v>
      </c>
      <c r="F2" s="75">
        <v>46236.0</v>
      </c>
      <c r="G2" s="76" t="s">
        <v>2709</v>
      </c>
      <c r="H2" s="77" t="s">
        <v>2711</v>
      </c>
      <c r="I2" s="24" t="s">
        <v>2712</v>
      </c>
      <c r="J2" s="10"/>
      <c r="K2" s="10" t="s">
        <v>2713</v>
      </c>
      <c r="L2" s="78">
        <v>46366.0</v>
      </c>
      <c r="M2" s="10" t="s">
        <v>2714</v>
      </c>
      <c r="N2" s="10">
        <v>8.0</v>
      </c>
    </row>
    <row r="3">
      <c r="A3" s="79">
        <v>2.0</v>
      </c>
      <c r="B3" s="60" t="s">
        <v>21</v>
      </c>
      <c r="C3" s="60" t="s">
        <v>46</v>
      </c>
      <c r="D3" s="17" t="s">
        <v>44</v>
      </c>
      <c r="E3" s="80">
        <v>46236.0</v>
      </c>
      <c r="F3" s="81">
        <v>46236.0</v>
      </c>
      <c r="G3" s="82" t="s">
        <v>2716</v>
      </c>
      <c r="H3" s="83" t="s">
        <v>2711</v>
      </c>
      <c r="I3" s="17" t="s">
        <v>2712</v>
      </c>
      <c r="J3" s="10"/>
      <c r="K3" s="10" t="s">
        <v>2719</v>
      </c>
      <c r="L3" s="10" t="s">
        <v>2720</v>
      </c>
      <c r="M3" s="10" t="s">
        <v>2714</v>
      </c>
      <c r="N3" s="10">
        <v>8.0</v>
      </c>
    </row>
    <row r="4">
      <c r="A4" s="73">
        <v>3.0</v>
      </c>
      <c r="B4" s="57" t="s">
        <v>21</v>
      </c>
      <c r="C4" s="57" t="s">
        <v>67</v>
      </c>
      <c r="D4" s="24" t="s">
        <v>44</v>
      </c>
      <c r="E4" s="74">
        <v>46236.0</v>
      </c>
      <c r="F4" s="75">
        <v>46236.0</v>
      </c>
      <c r="G4" s="76" t="s">
        <v>2722</v>
      </c>
      <c r="H4" s="77" t="s">
        <v>2711</v>
      </c>
      <c r="I4" s="24" t="s">
        <v>2712</v>
      </c>
      <c r="J4" s="10"/>
      <c r="K4" s="10" t="s">
        <v>2712</v>
      </c>
      <c r="L4" s="10" t="s">
        <v>2723</v>
      </c>
      <c r="M4" s="10" t="s">
        <v>2724</v>
      </c>
      <c r="N4" s="10">
        <v>8.0</v>
      </c>
    </row>
    <row r="5">
      <c r="A5" s="79">
        <v>4.0</v>
      </c>
      <c r="B5" s="60" t="s">
        <v>21</v>
      </c>
      <c r="C5" s="60" t="s">
        <v>78</v>
      </c>
      <c r="D5" s="17" t="s">
        <v>44</v>
      </c>
      <c r="E5" s="80">
        <v>46236.0</v>
      </c>
      <c r="F5" s="81">
        <v>46236.0</v>
      </c>
      <c r="G5" s="82" t="s">
        <v>2726</v>
      </c>
      <c r="H5" s="83" t="s">
        <v>2711</v>
      </c>
      <c r="I5" s="17" t="s">
        <v>2712</v>
      </c>
      <c r="J5" s="10"/>
      <c r="K5" s="10" t="s">
        <v>2727</v>
      </c>
      <c r="L5" s="78">
        <v>46303.0</v>
      </c>
      <c r="M5" s="10" t="s">
        <v>2714</v>
      </c>
      <c r="N5" s="10">
        <v>9.0</v>
      </c>
    </row>
    <row r="6">
      <c r="A6" s="73">
        <v>5.0</v>
      </c>
      <c r="B6" s="57" t="s">
        <v>21</v>
      </c>
      <c r="C6" s="57" t="s">
        <v>83</v>
      </c>
      <c r="D6" s="24" t="s">
        <v>44</v>
      </c>
      <c r="E6" s="74">
        <v>46236.0</v>
      </c>
      <c r="F6" s="75">
        <v>46236.0</v>
      </c>
      <c r="G6" s="76" t="s">
        <v>2728</v>
      </c>
      <c r="H6" s="77" t="s">
        <v>2711</v>
      </c>
      <c r="I6" s="24" t="s">
        <v>2712</v>
      </c>
      <c r="J6" s="10"/>
      <c r="K6" s="10" t="s">
        <v>2729</v>
      </c>
      <c r="L6" s="10" t="s">
        <v>2723</v>
      </c>
      <c r="M6" s="10" t="s">
        <v>2724</v>
      </c>
      <c r="N6" s="10">
        <v>9.0</v>
      </c>
    </row>
    <row r="7" hidden="1">
      <c r="A7" s="79">
        <v>6.0</v>
      </c>
      <c r="B7" s="60" t="s">
        <v>21</v>
      </c>
      <c r="C7" s="60" t="s">
        <v>93</v>
      </c>
      <c r="D7" s="17" t="s">
        <v>54</v>
      </c>
      <c r="E7" s="60"/>
      <c r="F7" s="60"/>
      <c r="G7" s="60"/>
      <c r="H7" s="60"/>
      <c r="I7" s="60"/>
    </row>
    <row r="8">
      <c r="A8" s="73">
        <v>7.0</v>
      </c>
      <c r="B8" s="57" t="s">
        <v>21</v>
      </c>
      <c r="C8" s="57" t="s">
        <v>105</v>
      </c>
      <c r="D8" s="24" t="s">
        <v>44</v>
      </c>
      <c r="E8" s="74">
        <v>46236.0</v>
      </c>
      <c r="F8" s="75">
        <v>46236.0</v>
      </c>
      <c r="G8" s="76" t="s">
        <v>2731</v>
      </c>
      <c r="H8" s="77" t="s">
        <v>2711</v>
      </c>
      <c r="I8" s="24" t="s">
        <v>2712</v>
      </c>
      <c r="J8" s="10"/>
      <c r="K8" s="10" t="s">
        <v>2732</v>
      </c>
      <c r="L8" s="10" t="s">
        <v>2733</v>
      </c>
      <c r="M8" s="10" t="s">
        <v>2714</v>
      </c>
      <c r="N8" s="10">
        <v>9.0</v>
      </c>
    </row>
    <row r="9">
      <c r="A9" s="79">
        <v>8.0</v>
      </c>
      <c r="B9" s="60" t="s">
        <v>21</v>
      </c>
      <c r="C9" s="60" t="s">
        <v>120</v>
      </c>
      <c r="D9" s="17" t="s">
        <v>44</v>
      </c>
      <c r="E9" s="80">
        <v>46236.0</v>
      </c>
      <c r="F9" s="81">
        <v>46236.0</v>
      </c>
      <c r="G9" s="82" t="s">
        <v>2734</v>
      </c>
      <c r="H9" s="83" t="s">
        <v>2711</v>
      </c>
      <c r="I9" s="17" t="s">
        <v>2712</v>
      </c>
      <c r="J9" s="10"/>
      <c r="K9" s="10" t="s">
        <v>2735</v>
      </c>
      <c r="L9" s="10" t="s">
        <v>2723</v>
      </c>
      <c r="M9" s="10" t="s">
        <v>2724</v>
      </c>
      <c r="N9" s="10">
        <v>9.0</v>
      </c>
    </row>
    <row r="10">
      <c r="A10" s="73">
        <v>9.0</v>
      </c>
      <c r="B10" s="57" t="s">
        <v>21</v>
      </c>
      <c r="C10" s="57" t="s">
        <v>126</v>
      </c>
      <c r="D10" s="24" t="s">
        <v>44</v>
      </c>
      <c r="E10" s="74">
        <v>46236.0</v>
      </c>
      <c r="F10" s="75">
        <v>46236.0</v>
      </c>
      <c r="G10" s="76" t="s">
        <v>2736</v>
      </c>
      <c r="H10" s="77" t="s">
        <v>2711</v>
      </c>
      <c r="I10" s="24" t="s">
        <v>2712</v>
      </c>
      <c r="J10" s="10"/>
      <c r="K10" s="10" t="s">
        <v>2737</v>
      </c>
      <c r="L10" s="78">
        <v>46365.0</v>
      </c>
      <c r="M10" s="10" t="s">
        <v>2724</v>
      </c>
      <c r="N10" s="10">
        <v>9.0</v>
      </c>
    </row>
    <row r="11">
      <c r="A11" s="79">
        <v>10.0</v>
      </c>
      <c r="B11" s="60" t="s">
        <v>21</v>
      </c>
      <c r="C11" s="60" t="s">
        <v>139</v>
      </c>
      <c r="D11" s="17" t="s">
        <v>44</v>
      </c>
      <c r="E11" s="80">
        <v>46236.0</v>
      </c>
      <c r="F11" s="81">
        <v>46236.0</v>
      </c>
      <c r="G11" s="82" t="s">
        <v>2738</v>
      </c>
      <c r="H11" s="83" t="s">
        <v>2711</v>
      </c>
      <c r="I11" s="17" t="s">
        <v>2712</v>
      </c>
    </row>
    <row r="12" hidden="1">
      <c r="A12" s="73">
        <v>11.0</v>
      </c>
      <c r="B12" s="57" t="s">
        <v>21</v>
      </c>
      <c r="C12" s="57" t="s">
        <v>150</v>
      </c>
      <c r="D12" s="24" t="s">
        <v>54</v>
      </c>
      <c r="E12" s="57"/>
      <c r="F12" s="57"/>
      <c r="G12" s="57"/>
      <c r="H12" s="57"/>
      <c r="I12" s="57"/>
    </row>
    <row r="13">
      <c r="A13" s="79">
        <v>12.0</v>
      </c>
      <c r="B13" s="60" t="s">
        <v>21</v>
      </c>
      <c r="C13" s="60" t="s">
        <v>175</v>
      </c>
      <c r="D13" s="17" t="s">
        <v>44</v>
      </c>
      <c r="E13" s="80">
        <v>46236.0</v>
      </c>
      <c r="F13" s="81">
        <v>46236.0</v>
      </c>
      <c r="G13" s="82" t="s">
        <v>2709</v>
      </c>
      <c r="H13" s="83" t="s">
        <v>2740</v>
      </c>
      <c r="I13" s="17" t="s">
        <v>2741</v>
      </c>
    </row>
    <row r="14" hidden="1">
      <c r="A14" s="73">
        <v>13.0</v>
      </c>
      <c r="B14" s="57" t="s">
        <v>21</v>
      </c>
      <c r="C14" s="57" t="s">
        <v>198</v>
      </c>
      <c r="D14" s="24" t="s">
        <v>54</v>
      </c>
      <c r="E14" s="57"/>
      <c r="F14" s="57"/>
      <c r="G14" s="57"/>
      <c r="H14" s="57"/>
      <c r="I14" s="57"/>
    </row>
    <row r="15" hidden="1">
      <c r="A15" s="79">
        <v>14.0</v>
      </c>
      <c r="B15" s="60" t="s">
        <v>21</v>
      </c>
      <c r="C15" s="60" t="s">
        <v>225</v>
      </c>
      <c r="D15" s="17" t="s">
        <v>54</v>
      </c>
      <c r="E15" s="60"/>
      <c r="F15" s="60"/>
      <c r="G15" s="60"/>
      <c r="H15" s="60"/>
      <c r="I15" s="60"/>
    </row>
    <row r="16">
      <c r="A16" s="73">
        <v>15.0</v>
      </c>
      <c r="B16" s="57" t="s">
        <v>21</v>
      </c>
      <c r="C16" s="57" t="s">
        <v>257</v>
      </c>
      <c r="D16" s="24" t="s">
        <v>44</v>
      </c>
      <c r="E16" s="74">
        <v>46236.0</v>
      </c>
      <c r="F16" s="75">
        <v>46236.0</v>
      </c>
      <c r="G16" s="76" t="s">
        <v>2716</v>
      </c>
      <c r="H16" s="77" t="s">
        <v>2740</v>
      </c>
      <c r="I16" s="24" t="s">
        <v>2741</v>
      </c>
    </row>
    <row r="17" hidden="1">
      <c r="A17" s="79">
        <v>16.0</v>
      </c>
      <c r="B17" s="60" t="s">
        <v>21</v>
      </c>
      <c r="C17" s="60" t="s">
        <v>281</v>
      </c>
      <c r="D17" s="17" t="s">
        <v>54</v>
      </c>
      <c r="E17" s="60"/>
      <c r="F17" s="60"/>
      <c r="G17" s="60"/>
      <c r="H17" s="60"/>
      <c r="I17" s="60"/>
    </row>
    <row r="18">
      <c r="A18" s="73">
        <v>17.0</v>
      </c>
      <c r="B18" s="57" t="s">
        <v>21</v>
      </c>
      <c r="C18" s="57" t="s">
        <v>309</v>
      </c>
      <c r="D18" s="24" t="s">
        <v>44</v>
      </c>
      <c r="E18" s="74">
        <v>46236.0</v>
      </c>
      <c r="F18" s="75">
        <v>46236.0</v>
      </c>
      <c r="G18" s="76" t="s">
        <v>2722</v>
      </c>
      <c r="H18" s="77" t="s">
        <v>2740</v>
      </c>
      <c r="I18" s="24" t="s">
        <v>2741</v>
      </c>
    </row>
    <row r="19">
      <c r="A19" s="79">
        <v>18.0</v>
      </c>
      <c r="B19" s="60" t="s">
        <v>21</v>
      </c>
      <c r="C19" s="60" t="s">
        <v>334</v>
      </c>
      <c r="D19" s="17" t="s">
        <v>44</v>
      </c>
      <c r="E19" s="80">
        <v>46236.0</v>
      </c>
      <c r="F19" s="81">
        <v>46236.0</v>
      </c>
      <c r="G19" s="82" t="s">
        <v>2726</v>
      </c>
      <c r="H19" s="83" t="s">
        <v>2740</v>
      </c>
      <c r="I19" s="17" t="s">
        <v>2741</v>
      </c>
    </row>
    <row r="20">
      <c r="A20" s="73">
        <v>19.0</v>
      </c>
      <c r="B20" s="57" t="s">
        <v>21</v>
      </c>
      <c r="C20" s="57" t="s">
        <v>359</v>
      </c>
      <c r="D20" s="24" t="s">
        <v>44</v>
      </c>
      <c r="E20" s="74">
        <v>46236.0</v>
      </c>
      <c r="F20" s="75">
        <v>46236.0</v>
      </c>
      <c r="G20" s="76" t="s">
        <v>2728</v>
      </c>
      <c r="H20" s="77" t="s">
        <v>2740</v>
      </c>
      <c r="I20" s="24" t="s">
        <v>2741</v>
      </c>
    </row>
    <row r="21">
      <c r="A21" s="79">
        <v>20.0</v>
      </c>
      <c r="B21" s="60" t="s">
        <v>21</v>
      </c>
      <c r="C21" s="60" t="s">
        <v>379</v>
      </c>
      <c r="D21" s="17" t="s">
        <v>44</v>
      </c>
      <c r="E21" s="80">
        <v>46236.0</v>
      </c>
      <c r="F21" s="81">
        <v>46236.0</v>
      </c>
      <c r="G21" s="82" t="s">
        <v>2731</v>
      </c>
      <c r="H21" s="83" t="s">
        <v>2740</v>
      </c>
      <c r="I21" s="17" t="s">
        <v>2741</v>
      </c>
    </row>
    <row r="22">
      <c r="A22" s="73">
        <v>21.0</v>
      </c>
      <c r="B22" s="57" t="s">
        <v>21</v>
      </c>
      <c r="C22" s="57" t="s">
        <v>391</v>
      </c>
      <c r="D22" s="24" t="s">
        <v>44</v>
      </c>
      <c r="E22" s="74">
        <v>46236.0</v>
      </c>
      <c r="F22" s="75">
        <v>46236.0</v>
      </c>
      <c r="G22" s="76" t="s">
        <v>2734</v>
      </c>
      <c r="H22" s="77" t="s">
        <v>2740</v>
      </c>
      <c r="I22" s="24" t="s">
        <v>2741</v>
      </c>
    </row>
    <row r="23">
      <c r="A23" s="79">
        <v>22.0</v>
      </c>
      <c r="B23" s="60" t="s">
        <v>21</v>
      </c>
      <c r="C23" s="60" t="s">
        <v>410</v>
      </c>
      <c r="D23" s="17" t="s">
        <v>44</v>
      </c>
      <c r="E23" s="80">
        <v>46236.0</v>
      </c>
      <c r="F23" s="81">
        <v>46236.0</v>
      </c>
      <c r="G23" s="82" t="s">
        <v>2736</v>
      </c>
      <c r="H23" s="83" t="s">
        <v>2740</v>
      </c>
      <c r="I23" s="17" t="s">
        <v>2741</v>
      </c>
    </row>
    <row r="24">
      <c r="A24" s="73">
        <v>23.0</v>
      </c>
      <c r="B24" s="57" t="s">
        <v>21</v>
      </c>
      <c r="C24" s="57" t="s">
        <v>431</v>
      </c>
      <c r="D24" s="24" t="s">
        <v>44</v>
      </c>
      <c r="E24" s="74">
        <v>46236.0</v>
      </c>
      <c r="F24" s="75">
        <v>46236.0</v>
      </c>
      <c r="G24" s="76" t="s">
        <v>2738</v>
      </c>
      <c r="H24" s="77" t="s">
        <v>2740</v>
      </c>
      <c r="I24" s="24" t="s">
        <v>2741</v>
      </c>
    </row>
    <row r="25" hidden="1">
      <c r="A25" s="79">
        <v>24.0</v>
      </c>
      <c r="B25" s="60" t="s">
        <v>21</v>
      </c>
      <c r="C25" s="60" t="s">
        <v>449</v>
      </c>
      <c r="D25" s="17" t="s">
        <v>54</v>
      </c>
      <c r="E25" s="60"/>
      <c r="F25" s="60"/>
      <c r="G25" s="60"/>
      <c r="H25" s="60"/>
      <c r="I25" s="60"/>
    </row>
    <row r="26">
      <c r="A26" s="73">
        <v>25.0</v>
      </c>
      <c r="B26" s="57" t="s">
        <v>21</v>
      </c>
      <c r="C26" s="57" t="s">
        <v>483</v>
      </c>
      <c r="D26" s="24" t="s">
        <v>44</v>
      </c>
      <c r="E26" s="74">
        <v>46237.0</v>
      </c>
      <c r="F26" s="75">
        <v>46237.0</v>
      </c>
      <c r="G26" s="76" t="s">
        <v>2747</v>
      </c>
      <c r="H26" s="77" t="s">
        <v>2748</v>
      </c>
      <c r="I26" s="24" t="s">
        <v>2750</v>
      </c>
    </row>
    <row r="27">
      <c r="A27" s="79">
        <v>26.0</v>
      </c>
      <c r="B27" s="60" t="s">
        <v>75</v>
      </c>
      <c r="C27" s="60" t="s">
        <v>517</v>
      </c>
      <c r="D27" s="17" t="s">
        <v>44</v>
      </c>
      <c r="E27" s="80">
        <v>46237.0</v>
      </c>
      <c r="F27" s="81">
        <v>46237.0</v>
      </c>
      <c r="G27" s="82" t="s">
        <v>2751</v>
      </c>
      <c r="H27" s="83" t="s">
        <v>2748</v>
      </c>
      <c r="I27" s="17" t="s">
        <v>2750</v>
      </c>
    </row>
    <row r="28">
      <c r="A28" s="73">
        <v>27.0</v>
      </c>
      <c r="B28" s="57" t="s">
        <v>75</v>
      </c>
      <c r="C28" s="57" t="s">
        <v>549</v>
      </c>
      <c r="D28" s="24" t="s">
        <v>44</v>
      </c>
      <c r="E28" s="74">
        <v>46237.0</v>
      </c>
      <c r="F28" s="75">
        <v>46237.0</v>
      </c>
      <c r="G28" s="76" t="s">
        <v>2752</v>
      </c>
      <c r="H28" s="77" t="s">
        <v>2748</v>
      </c>
      <c r="I28" s="24" t="s">
        <v>2750</v>
      </c>
    </row>
    <row r="29">
      <c r="A29" s="79">
        <v>28.0</v>
      </c>
      <c r="B29" s="60" t="s">
        <v>75</v>
      </c>
      <c r="C29" s="60" t="s">
        <v>577</v>
      </c>
      <c r="D29" s="17" t="s">
        <v>44</v>
      </c>
      <c r="E29" s="80">
        <v>46237.0</v>
      </c>
      <c r="F29" s="81">
        <v>46237.0</v>
      </c>
      <c r="G29" s="82" t="s">
        <v>2753</v>
      </c>
      <c r="H29" s="83" t="s">
        <v>2748</v>
      </c>
      <c r="I29" s="17" t="s">
        <v>2750</v>
      </c>
    </row>
    <row r="30">
      <c r="A30" s="73">
        <v>29.0</v>
      </c>
      <c r="B30" s="57" t="s">
        <v>75</v>
      </c>
      <c r="C30" s="57" t="s">
        <v>205</v>
      </c>
      <c r="D30" s="24" t="s">
        <v>44</v>
      </c>
      <c r="E30" s="74">
        <v>46237.0</v>
      </c>
      <c r="F30" s="75">
        <v>46237.0</v>
      </c>
      <c r="G30" s="76" t="s">
        <v>2754</v>
      </c>
      <c r="H30" s="77" t="s">
        <v>2748</v>
      </c>
      <c r="I30" s="24" t="s">
        <v>2750</v>
      </c>
    </row>
    <row r="31">
      <c r="A31" s="79">
        <v>30.0</v>
      </c>
      <c r="B31" s="60" t="s">
        <v>75</v>
      </c>
      <c r="C31" s="60" t="s">
        <v>601</v>
      </c>
      <c r="D31" s="17" t="s">
        <v>44</v>
      </c>
      <c r="E31" s="80">
        <v>46237.0</v>
      </c>
      <c r="F31" s="81">
        <v>46237.0</v>
      </c>
      <c r="G31" s="82" t="s">
        <v>2755</v>
      </c>
      <c r="H31" s="83" t="s">
        <v>2748</v>
      </c>
      <c r="I31" s="17" t="s">
        <v>2750</v>
      </c>
    </row>
    <row r="32">
      <c r="A32" s="73">
        <v>31.0</v>
      </c>
      <c r="B32" s="57" t="s">
        <v>75</v>
      </c>
      <c r="C32" s="57" t="s">
        <v>649</v>
      </c>
      <c r="D32" s="24" t="s">
        <v>44</v>
      </c>
      <c r="E32" s="74">
        <v>46237.0</v>
      </c>
      <c r="F32" s="75">
        <v>46237.0</v>
      </c>
      <c r="G32" s="76" t="s">
        <v>2757</v>
      </c>
      <c r="H32" s="77" t="s">
        <v>2748</v>
      </c>
      <c r="I32" s="24" t="s">
        <v>2750</v>
      </c>
    </row>
    <row r="33">
      <c r="A33" s="79">
        <v>32.0</v>
      </c>
      <c r="B33" s="60" t="s">
        <v>75</v>
      </c>
      <c r="C33" s="60" t="s">
        <v>669</v>
      </c>
      <c r="D33" s="17" t="s">
        <v>44</v>
      </c>
      <c r="E33" s="80">
        <v>46237.0</v>
      </c>
      <c r="F33" s="81">
        <v>46237.0</v>
      </c>
      <c r="G33" s="82" t="s">
        <v>2758</v>
      </c>
      <c r="H33" s="83" t="s">
        <v>2748</v>
      </c>
      <c r="I33" s="17" t="s">
        <v>2750</v>
      </c>
    </row>
    <row r="34">
      <c r="A34" s="73">
        <v>33.0</v>
      </c>
      <c r="B34" s="57" t="s">
        <v>75</v>
      </c>
      <c r="C34" s="57" t="s">
        <v>691</v>
      </c>
      <c r="D34" s="24" t="s">
        <v>44</v>
      </c>
      <c r="E34" s="74">
        <v>46237.0</v>
      </c>
      <c r="F34" s="75">
        <v>46237.0</v>
      </c>
      <c r="G34" s="76" t="s">
        <v>2759</v>
      </c>
      <c r="H34" s="77" t="s">
        <v>2748</v>
      </c>
      <c r="I34" s="24" t="s">
        <v>2750</v>
      </c>
    </row>
    <row r="35">
      <c r="A35" s="79">
        <v>34.0</v>
      </c>
      <c r="B35" s="60" t="s">
        <v>75</v>
      </c>
      <c r="C35" s="60" t="s">
        <v>716</v>
      </c>
      <c r="D35" s="17" t="s">
        <v>44</v>
      </c>
      <c r="E35" s="80">
        <v>46236.0</v>
      </c>
      <c r="F35" s="81">
        <v>46236.0</v>
      </c>
      <c r="G35" s="82" t="s">
        <v>2754</v>
      </c>
      <c r="H35" s="83" t="s">
        <v>2761</v>
      </c>
      <c r="I35" s="17" t="s">
        <v>2737</v>
      </c>
    </row>
    <row r="36" hidden="1">
      <c r="A36" s="73">
        <v>35.0</v>
      </c>
      <c r="B36" s="57" t="s">
        <v>75</v>
      </c>
      <c r="C36" s="57" t="s">
        <v>740</v>
      </c>
      <c r="D36" s="24" t="s">
        <v>54</v>
      </c>
      <c r="E36" s="57"/>
      <c r="F36" s="57"/>
      <c r="G36" s="57"/>
      <c r="H36" s="57"/>
      <c r="I36" s="57"/>
    </row>
    <row r="37">
      <c r="A37" s="79">
        <v>36.0</v>
      </c>
      <c r="B37" s="60" t="s">
        <v>75</v>
      </c>
      <c r="C37" s="60" t="s">
        <v>209</v>
      </c>
      <c r="D37" s="17" t="s">
        <v>44</v>
      </c>
      <c r="E37" s="80">
        <v>46236.0</v>
      </c>
      <c r="F37" s="81">
        <v>46236.0</v>
      </c>
      <c r="G37" s="82" t="s">
        <v>2755</v>
      </c>
      <c r="H37" s="83" t="s">
        <v>2761</v>
      </c>
      <c r="I37" s="17" t="s">
        <v>2737</v>
      </c>
    </row>
    <row r="38">
      <c r="A38" s="73">
        <v>37.0</v>
      </c>
      <c r="B38" s="57" t="s">
        <v>75</v>
      </c>
      <c r="C38" s="57" t="s">
        <v>808</v>
      </c>
      <c r="D38" s="24" t="s">
        <v>44</v>
      </c>
      <c r="E38" s="74">
        <v>46236.0</v>
      </c>
      <c r="F38" s="75">
        <v>46236.0</v>
      </c>
      <c r="G38" s="76" t="s">
        <v>2757</v>
      </c>
      <c r="H38" s="77" t="s">
        <v>2761</v>
      </c>
      <c r="I38" s="24" t="s">
        <v>2737</v>
      </c>
    </row>
    <row r="39">
      <c r="A39" s="79">
        <v>38.0</v>
      </c>
      <c r="B39" s="60" t="s">
        <v>75</v>
      </c>
      <c r="C39" s="60" t="s">
        <v>848</v>
      </c>
      <c r="D39" s="17" t="s">
        <v>44</v>
      </c>
      <c r="E39" s="80">
        <v>46236.0</v>
      </c>
      <c r="F39" s="81">
        <v>46236.0</v>
      </c>
      <c r="G39" s="82" t="s">
        <v>2758</v>
      </c>
      <c r="H39" s="83" t="s">
        <v>2761</v>
      </c>
      <c r="I39" s="17" t="s">
        <v>2737</v>
      </c>
    </row>
    <row r="40">
      <c r="A40" s="73">
        <v>39.0</v>
      </c>
      <c r="B40" s="57" t="s">
        <v>75</v>
      </c>
      <c r="C40" s="57" t="s">
        <v>875</v>
      </c>
      <c r="D40" s="24" t="s">
        <v>44</v>
      </c>
      <c r="E40" s="74">
        <v>46236.0</v>
      </c>
      <c r="F40" s="75">
        <v>46236.0</v>
      </c>
      <c r="G40" s="76" t="s">
        <v>2759</v>
      </c>
      <c r="H40" s="77" t="s">
        <v>2761</v>
      </c>
      <c r="I40" s="24" t="s">
        <v>2737</v>
      </c>
    </row>
    <row r="41">
      <c r="A41" s="79">
        <v>40.0</v>
      </c>
      <c r="B41" s="60" t="s">
        <v>75</v>
      </c>
      <c r="C41" s="60" t="s">
        <v>899</v>
      </c>
      <c r="D41" s="17" t="s">
        <v>44</v>
      </c>
      <c r="E41" s="80">
        <v>46236.0</v>
      </c>
      <c r="F41" s="81">
        <v>46236.0</v>
      </c>
      <c r="G41" s="82" t="s">
        <v>2764</v>
      </c>
      <c r="H41" s="83" t="s">
        <v>2761</v>
      </c>
      <c r="I41" s="17" t="s">
        <v>2737</v>
      </c>
    </row>
    <row r="42">
      <c r="A42" s="73">
        <v>41.0</v>
      </c>
      <c r="B42" s="57" t="s">
        <v>75</v>
      </c>
      <c r="C42" s="57" t="s">
        <v>920</v>
      </c>
      <c r="D42" s="24" t="s">
        <v>44</v>
      </c>
      <c r="E42" s="74">
        <v>46236.0</v>
      </c>
      <c r="F42" s="75">
        <v>46236.0</v>
      </c>
      <c r="G42" s="76" t="s">
        <v>2765</v>
      </c>
      <c r="H42" s="77" t="s">
        <v>2761</v>
      </c>
      <c r="I42" s="24" t="s">
        <v>2737</v>
      </c>
    </row>
    <row r="43">
      <c r="A43" s="79">
        <v>42.0</v>
      </c>
      <c r="B43" s="60" t="s">
        <v>75</v>
      </c>
      <c r="C43" s="60" t="s">
        <v>101</v>
      </c>
      <c r="D43" s="17" t="s">
        <v>44</v>
      </c>
      <c r="E43" s="80">
        <v>46236.0</v>
      </c>
      <c r="F43" s="81">
        <v>46236.0</v>
      </c>
      <c r="G43" s="82" t="s">
        <v>2767</v>
      </c>
      <c r="H43" s="83" t="s">
        <v>2761</v>
      </c>
      <c r="I43" s="17" t="s">
        <v>2737</v>
      </c>
    </row>
    <row r="44">
      <c r="A44" s="73">
        <v>43.0</v>
      </c>
      <c r="B44" s="57" t="s">
        <v>75</v>
      </c>
      <c r="C44" s="57" t="s">
        <v>953</v>
      </c>
      <c r="D44" s="24" t="s">
        <v>44</v>
      </c>
      <c r="E44" s="74">
        <v>46236.0</v>
      </c>
      <c r="F44" s="75">
        <v>46236.0</v>
      </c>
      <c r="G44" s="76" t="s">
        <v>2768</v>
      </c>
      <c r="H44" s="77" t="s">
        <v>2761</v>
      </c>
      <c r="I44" s="24" t="s">
        <v>2737</v>
      </c>
    </row>
    <row r="45">
      <c r="A45" s="79">
        <v>44.0</v>
      </c>
      <c r="B45" s="60" t="s">
        <v>75</v>
      </c>
      <c r="C45" s="60" t="s">
        <v>255</v>
      </c>
      <c r="D45" s="17" t="s">
        <v>44</v>
      </c>
      <c r="E45" s="80">
        <v>46236.0</v>
      </c>
      <c r="F45" s="81">
        <v>46236.0</v>
      </c>
      <c r="G45" s="82" t="s">
        <v>2770</v>
      </c>
      <c r="H45" s="83" t="s">
        <v>2771</v>
      </c>
      <c r="I45" s="17" t="s">
        <v>2735</v>
      </c>
    </row>
    <row r="46" hidden="1">
      <c r="A46" s="73">
        <v>45.0</v>
      </c>
      <c r="B46" s="57" t="s">
        <v>75</v>
      </c>
      <c r="C46" s="57" t="s">
        <v>987</v>
      </c>
      <c r="D46" s="24" t="s">
        <v>54</v>
      </c>
      <c r="E46" s="57"/>
      <c r="F46" s="57"/>
      <c r="G46" s="57"/>
      <c r="H46" s="57"/>
      <c r="I46" s="57"/>
    </row>
    <row r="47">
      <c r="A47" s="79">
        <v>46.0</v>
      </c>
      <c r="B47" s="60" t="s">
        <v>75</v>
      </c>
      <c r="C47" s="60" t="s">
        <v>583</v>
      </c>
      <c r="D47" s="17" t="s">
        <v>44</v>
      </c>
      <c r="E47" s="80">
        <v>46236.0</v>
      </c>
      <c r="F47" s="81">
        <v>46236.0</v>
      </c>
      <c r="G47" s="82" t="s">
        <v>2773</v>
      </c>
      <c r="H47" s="83" t="s">
        <v>2771</v>
      </c>
      <c r="I47" s="17" t="s">
        <v>2735</v>
      </c>
    </row>
    <row r="48">
      <c r="A48" s="73">
        <v>47.0</v>
      </c>
      <c r="B48" s="57" t="s">
        <v>75</v>
      </c>
      <c r="C48" s="57" t="s">
        <v>679</v>
      </c>
      <c r="D48" s="24" t="s">
        <v>44</v>
      </c>
      <c r="E48" s="74">
        <v>46236.0</v>
      </c>
      <c r="F48" s="75">
        <v>46236.0</v>
      </c>
      <c r="G48" s="76" t="s">
        <v>2774</v>
      </c>
      <c r="H48" s="77" t="s">
        <v>2771</v>
      </c>
      <c r="I48" s="24" t="s">
        <v>2735</v>
      </c>
    </row>
    <row r="49">
      <c r="A49" s="79">
        <v>48.0</v>
      </c>
      <c r="B49" s="60" t="s">
        <v>75</v>
      </c>
      <c r="C49" s="60" t="s">
        <v>1049</v>
      </c>
      <c r="D49" s="17" t="s">
        <v>44</v>
      </c>
      <c r="E49" s="80">
        <v>46236.0</v>
      </c>
      <c r="F49" s="81">
        <v>46236.0</v>
      </c>
      <c r="G49" s="82" t="s">
        <v>2775</v>
      </c>
      <c r="H49" s="83" t="s">
        <v>2771</v>
      </c>
      <c r="I49" s="17" t="s">
        <v>2735</v>
      </c>
    </row>
    <row r="50" hidden="1">
      <c r="A50" s="73">
        <v>49.0</v>
      </c>
      <c r="B50" s="57" t="s">
        <v>75</v>
      </c>
      <c r="C50" s="57" t="s">
        <v>1071</v>
      </c>
      <c r="D50" s="24" t="s">
        <v>54</v>
      </c>
      <c r="E50" s="57"/>
      <c r="F50" s="57"/>
      <c r="G50" s="57"/>
      <c r="H50" s="57"/>
      <c r="I50" s="57"/>
    </row>
    <row r="51">
      <c r="A51" s="79">
        <v>50.0</v>
      </c>
      <c r="B51" s="60" t="s">
        <v>75</v>
      </c>
      <c r="C51" s="60" t="s">
        <v>1095</v>
      </c>
      <c r="D51" s="17" t="s">
        <v>44</v>
      </c>
      <c r="E51" s="80">
        <v>46236.0</v>
      </c>
      <c r="F51" s="81">
        <v>46236.0</v>
      </c>
      <c r="G51" s="82" t="s">
        <v>2776</v>
      </c>
      <c r="H51" s="83" t="s">
        <v>2771</v>
      </c>
      <c r="I51" s="17" t="s">
        <v>2735</v>
      </c>
    </row>
    <row r="52">
      <c r="A52" s="73">
        <v>51.0</v>
      </c>
      <c r="B52" s="57" t="s">
        <v>75</v>
      </c>
      <c r="C52" s="57" t="s">
        <v>1139</v>
      </c>
      <c r="D52" s="24" t="s">
        <v>44</v>
      </c>
      <c r="E52" s="74">
        <v>46236.0</v>
      </c>
      <c r="F52" s="75">
        <v>46236.0</v>
      </c>
      <c r="G52" s="76" t="s">
        <v>2777</v>
      </c>
      <c r="H52" s="77" t="s">
        <v>2771</v>
      </c>
      <c r="I52" s="24" t="s">
        <v>2735</v>
      </c>
    </row>
    <row r="53">
      <c r="A53" s="79">
        <v>52.0</v>
      </c>
      <c r="B53" s="60" t="s">
        <v>75</v>
      </c>
      <c r="C53" s="60" t="s">
        <v>1167</v>
      </c>
      <c r="D53" s="17" t="s">
        <v>44</v>
      </c>
      <c r="E53" s="80">
        <v>46236.0</v>
      </c>
      <c r="F53" s="81">
        <v>46236.0</v>
      </c>
      <c r="G53" s="82" t="s">
        <v>2779</v>
      </c>
      <c r="H53" s="83" t="s">
        <v>2771</v>
      </c>
      <c r="I53" s="17" t="s">
        <v>2735</v>
      </c>
    </row>
    <row r="54">
      <c r="A54" s="73">
        <v>53.0</v>
      </c>
      <c r="B54" s="57" t="s">
        <v>75</v>
      </c>
      <c r="C54" s="57" t="s">
        <v>1189</v>
      </c>
      <c r="D54" s="24" t="s">
        <v>44</v>
      </c>
      <c r="E54" s="74">
        <v>46236.0</v>
      </c>
      <c r="F54" s="75">
        <v>46236.0</v>
      </c>
      <c r="G54" s="76" t="s">
        <v>2781</v>
      </c>
      <c r="H54" s="77" t="s">
        <v>2771</v>
      </c>
      <c r="I54" s="24" t="s">
        <v>2735</v>
      </c>
    </row>
    <row r="55">
      <c r="A55" s="79">
        <v>54.0</v>
      </c>
      <c r="B55" s="60" t="s">
        <v>75</v>
      </c>
      <c r="C55" s="60" t="s">
        <v>1209</v>
      </c>
      <c r="D55" s="17" t="s">
        <v>44</v>
      </c>
      <c r="E55" s="80">
        <v>46236.0</v>
      </c>
      <c r="F55" s="81">
        <v>46236.0</v>
      </c>
      <c r="G55" s="82" t="s">
        <v>2709</v>
      </c>
      <c r="H55" s="83" t="s">
        <v>2771</v>
      </c>
      <c r="I55" s="17" t="s">
        <v>2735</v>
      </c>
    </row>
    <row r="56" hidden="1">
      <c r="A56" s="73">
        <v>55.0</v>
      </c>
      <c r="B56" s="57" t="s">
        <v>75</v>
      </c>
      <c r="C56" s="57" t="s">
        <v>1232</v>
      </c>
      <c r="D56" s="24" t="s">
        <v>54</v>
      </c>
      <c r="E56" s="57"/>
      <c r="F56" s="57"/>
      <c r="G56" s="57"/>
      <c r="H56" s="57"/>
      <c r="I56" s="57"/>
    </row>
    <row r="57">
      <c r="A57" s="79">
        <v>56.0</v>
      </c>
      <c r="B57" s="60" t="s">
        <v>75</v>
      </c>
      <c r="C57" s="60" t="s">
        <v>1323</v>
      </c>
      <c r="D57" s="17" t="s">
        <v>44</v>
      </c>
      <c r="E57" s="80">
        <v>46237.0</v>
      </c>
      <c r="F57" s="81">
        <v>46237.0</v>
      </c>
      <c r="G57" s="82" t="s">
        <v>2759</v>
      </c>
      <c r="H57" s="83" t="s">
        <v>2783</v>
      </c>
      <c r="I57" s="17" t="s">
        <v>2713</v>
      </c>
    </row>
    <row r="58">
      <c r="A58" s="73">
        <v>57.0</v>
      </c>
      <c r="B58" s="57" t="s">
        <v>75</v>
      </c>
      <c r="C58" s="57" t="s">
        <v>1353</v>
      </c>
      <c r="D58" s="24" t="s">
        <v>44</v>
      </c>
      <c r="E58" s="74">
        <v>46237.0</v>
      </c>
      <c r="F58" s="75">
        <v>46237.0</v>
      </c>
      <c r="G58" s="76" t="s">
        <v>2764</v>
      </c>
      <c r="H58" s="77" t="s">
        <v>2783</v>
      </c>
      <c r="I58" s="24" t="s">
        <v>2713</v>
      </c>
    </row>
    <row r="59">
      <c r="A59" s="79">
        <v>58.0</v>
      </c>
      <c r="B59" s="60" t="s">
        <v>75</v>
      </c>
      <c r="C59" s="60" t="s">
        <v>1372</v>
      </c>
      <c r="D59" s="17" t="s">
        <v>44</v>
      </c>
      <c r="E59" s="80">
        <v>46237.0</v>
      </c>
      <c r="F59" s="81">
        <v>46237.0</v>
      </c>
      <c r="G59" s="82" t="s">
        <v>2765</v>
      </c>
      <c r="H59" s="83" t="s">
        <v>2783</v>
      </c>
      <c r="I59" s="17" t="s">
        <v>2713</v>
      </c>
    </row>
    <row r="60">
      <c r="A60" s="73">
        <v>59.0</v>
      </c>
      <c r="B60" s="57" t="s">
        <v>75</v>
      </c>
      <c r="C60" s="57" t="s">
        <v>1398</v>
      </c>
      <c r="D60" s="24" t="s">
        <v>44</v>
      </c>
      <c r="E60" s="74">
        <v>46237.0</v>
      </c>
      <c r="F60" s="75">
        <v>46237.0</v>
      </c>
      <c r="G60" s="76" t="s">
        <v>2767</v>
      </c>
      <c r="H60" s="77" t="s">
        <v>2783</v>
      </c>
      <c r="I60" s="24" t="s">
        <v>2713</v>
      </c>
    </row>
    <row r="61">
      <c r="A61" s="79">
        <v>60.0</v>
      </c>
      <c r="B61" s="60" t="s">
        <v>75</v>
      </c>
      <c r="C61" s="60" t="s">
        <v>1420</v>
      </c>
      <c r="D61" s="17" t="s">
        <v>44</v>
      </c>
      <c r="E61" s="80">
        <v>46237.0</v>
      </c>
      <c r="F61" s="81">
        <v>46237.0</v>
      </c>
      <c r="G61" s="82" t="s">
        <v>2768</v>
      </c>
      <c r="H61" s="83" t="s">
        <v>2783</v>
      </c>
      <c r="I61" s="17" t="s">
        <v>2713</v>
      </c>
    </row>
    <row r="62">
      <c r="A62" s="73">
        <v>61.0</v>
      </c>
      <c r="B62" s="57" t="s">
        <v>75</v>
      </c>
      <c r="C62" s="57" t="s">
        <v>1446</v>
      </c>
      <c r="D62" s="24" t="s">
        <v>44</v>
      </c>
      <c r="E62" s="74">
        <v>46237.0</v>
      </c>
      <c r="F62" s="75">
        <v>46237.0</v>
      </c>
      <c r="G62" s="76" t="s">
        <v>2785</v>
      </c>
      <c r="H62" s="77" t="s">
        <v>2783</v>
      </c>
      <c r="I62" s="24" t="s">
        <v>2713</v>
      </c>
    </row>
    <row r="63" hidden="1">
      <c r="A63" s="79">
        <v>62.0</v>
      </c>
      <c r="B63" s="60" t="s">
        <v>75</v>
      </c>
      <c r="C63" s="60" t="s">
        <v>1470</v>
      </c>
      <c r="D63" s="17" t="s">
        <v>54</v>
      </c>
      <c r="E63" s="60"/>
      <c r="F63" s="60"/>
      <c r="G63" s="60"/>
      <c r="H63" s="60"/>
      <c r="I63" s="60"/>
    </row>
    <row r="64">
      <c r="A64" s="73">
        <v>63.0</v>
      </c>
      <c r="B64" s="57" t="s">
        <v>75</v>
      </c>
      <c r="C64" s="57" t="s">
        <v>1494</v>
      </c>
      <c r="D64" s="24" t="s">
        <v>44</v>
      </c>
      <c r="E64" s="74">
        <v>46237.0</v>
      </c>
      <c r="F64" s="75">
        <v>46237.0</v>
      </c>
      <c r="G64" s="76" t="s">
        <v>2787</v>
      </c>
      <c r="H64" s="77" t="s">
        <v>2783</v>
      </c>
      <c r="I64" s="24" t="s">
        <v>2713</v>
      </c>
    </row>
    <row r="65" hidden="1">
      <c r="A65" s="79">
        <v>64.0</v>
      </c>
      <c r="B65" s="60" t="s">
        <v>75</v>
      </c>
      <c r="C65" s="60" t="s">
        <v>1520</v>
      </c>
      <c r="D65" s="17" t="s">
        <v>54</v>
      </c>
      <c r="E65" s="60"/>
      <c r="F65" s="60"/>
      <c r="G65" s="60"/>
      <c r="H65" s="60"/>
      <c r="I65" s="60"/>
    </row>
    <row r="66" hidden="1">
      <c r="A66" s="73">
        <v>65.0</v>
      </c>
      <c r="B66" s="57" t="s">
        <v>75</v>
      </c>
      <c r="C66" s="57" t="s">
        <v>1533</v>
      </c>
      <c r="D66" s="24" t="s">
        <v>54</v>
      </c>
      <c r="E66" s="57"/>
      <c r="F66" s="57"/>
      <c r="G66" s="57"/>
      <c r="H66" s="57"/>
      <c r="I66" s="57"/>
    </row>
    <row r="67">
      <c r="A67" s="79">
        <v>66.0</v>
      </c>
      <c r="B67" s="60" t="s">
        <v>75</v>
      </c>
      <c r="C67" s="60" t="s">
        <v>1581</v>
      </c>
      <c r="D67" s="17" t="s">
        <v>44</v>
      </c>
      <c r="E67" s="80">
        <v>46237.0</v>
      </c>
      <c r="F67" s="81">
        <v>46237.0</v>
      </c>
      <c r="G67" s="82" t="s">
        <v>2789</v>
      </c>
      <c r="H67" s="83" t="s">
        <v>2783</v>
      </c>
      <c r="I67" s="17" t="s">
        <v>2713</v>
      </c>
    </row>
    <row r="68">
      <c r="A68" s="73">
        <v>67.0</v>
      </c>
      <c r="B68" s="57" t="s">
        <v>75</v>
      </c>
      <c r="C68" s="57" t="s">
        <v>1617</v>
      </c>
      <c r="D68" s="24" t="s">
        <v>44</v>
      </c>
      <c r="E68" s="74">
        <v>46237.0</v>
      </c>
      <c r="F68" s="75">
        <v>46237.0</v>
      </c>
      <c r="G68" s="76" t="s">
        <v>2779</v>
      </c>
      <c r="H68" s="77" t="s">
        <v>2790</v>
      </c>
      <c r="I68" s="24" t="s">
        <v>2719</v>
      </c>
    </row>
    <row r="69" hidden="1">
      <c r="A69" s="79">
        <v>68.0</v>
      </c>
      <c r="B69" s="60" t="s">
        <v>75</v>
      </c>
      <c r="C69" s="60" t="s">
        <v>1650</v>
      </c>
      <c r="D69" s="17" t="s">
        <v>54</v>
      </c>
      <c r="E69" s="60"/>
      <c r="F69" s="60"/>
      <c r="G69" s="60"/>
      <c r="H69" s="60"/>
      <c r="I69" s="60"/>
    </row>
    <row r="70">
      <c r="A70" s="73">
        <v>69.0</v>
      </c>
      <c r="B70" s="57" t="s">
        <v>75</v>
      </c>
      <c r="C70" s="57" t="s">
        <v>1682</v>
      </c>
      <c r="D70" s="24" t="s">
        <v>44</v>
      </c>
      <c r="E70" s="74">
        <v>46237.0</v>
      </c>
      <c r="F70" s="75">
        <v>46237.0</v>
      </c>
      <c r="G70" s="76" t="s">
        <v>2781</v>
      </c>
      <c r="H70" s="77" t="s">
        <v>2790</v>
      </c>
      <c r="I70" s="24" t="s">
        <v>2719</v>
      </c>
    </row>
    <row r="71" hidden="1">
      <c r="A71" s="79">
        <v>70.0</v>
      </c>
      <c r="B71" s="60" t="s">
        <v>75</v>
      </c>
      <c r="C71" s="60" t="s">
        <v>1701</v>
      </c>
      <c r="D71" s="17" t="s">
        <v>54</v>
      </c>
      <c r="E71" s="60"/>
      <c r="F71" s="60"/>
      <c r="G71" s="60"/>
      <c r="H71" s="60"/>
      <c r="I71" s="60"/>
    </row>
    <row r="72">
      <c r="A72" s="73">
        <v>71.0</v>
      </c>
      <c r="B72" s="57" t="s">
        <v>75</v>
      </c>
      <c r="C72" s="57" t="s">
        <v>1729</v>
      </c>
      <c r="D72" s="24" t="s">
        <v>44</v>
      </c>
      <c r="E72" s="74">
        <v>46237.0</v>
      </c>
      <c r="F72" s="75">
        <v>46237.0</v>
      </c>
      <c r="G72" s="76" t="s">
        <v>2709</v>
      </c>
      <c r="H72" s="77" t="s">
        <v>2790</v>
      </c>
      <c r="I72" s="24" t="s">
        <v>2719</v>
      </c>
    </row>
    <row r="73">
      <c r="A73" s="79">
        <v>72.0</v>
      </c>
      <c r="B73" s="60" t="s">
        <v>75</v>
      </c>
      <c r="C73" s="60" t="s">
        <v>1752</v>
      </c>
      <c r="D73" s="17" t="s">
        <v>44</v>
      </c>
      <c r="E73" s="80">
        <v>46237.0</v>
      </c>
      <c r="F73" s="81">
        <v>46237.0</v>
      </c>
      <c r="G73" s="82" t="s">
        <v>2716</v>
      </c>
      <c r="H73" s="83" t="s">
        <v>2790</v>
      </c>
      <c r="I73" s="17" t="s">
        <v>2719</v>
      </c>
    </row>
    <row r="74">
      <c r="A74" s="73">
        <v>73.0</v>
      </c>
      <c r="B74" s="57" t="s">
        <v>75</v>
      </c>
      <c r="C74" s="57" t="s">
        <v>1775</v>
      </c>
      <c r="D74" s="24" t="s">
        <v>44</v>
      </c>
      <c r="E74" s="74">
        <v>46237.0</v>
      </c>
      <c r="F74" s="75">
        <v>46237.0</v>
      </c>
      <c r="G74" s="76" t="s">
        <v>2722</v>
      </c>
      <c r="H74" s="77" t="s">
        <v>2790</v>
      </c>
      <c r="I74" s="24" t="s">
        <v>2719</v>
      </c>
    </row>
    <row r="75">
      <c r="A75" s="79">
        <v>74.0</v>
      </c>
      <c r="B75" s="60" t="s">
        <v>75</v>
      </c>
      <c r="C75" s="60" t="s">
        <v>1802</v>
      </c>
      <c r="D75" s="17" t="s">
        <v>44</v>
      </c>
      <c r="E75" s="80">
        <v>46237.0</v>
      </c>
      <c r="F75" s="81">
        <v>46237.0</v>
      </c>
      <c r="G75" s="82" t="s">
        <v>2726</v>
      </c>
      <c r="H75" s="83" t="s">
        <v>2790</v>
      </c>
      <c r="I75" s="17" t="s">
        <v>2719</v>
      </c>
    </row>
    <row r="76">
      <c r="A76" s="73">
        <v>75.0</v>
      </c>
      <c r="B76" s="57" t="s">
        <v>75</v>
      </c>
      <c r="C76" s="57" t="s">
        <v>1826</v>
      </c>
      <c r="D76" s="24" t="s">
        <v>44</v>
      </c>
      <c r="E76" s="74">
        <v>46237.0</v>
      </c>
      <c r="F76" s="75">
        <v>46237.0</v>
      </c>
      <c r="G76" s="76" t="s">
        <v>2728</v>
      </c>
      <c r="H76" s="77" t="s">
        <v>2790</v>
      </c>
      <c r="I76" s="24" t="s">
        <v>2719</v>
      </c>
    </row>
    <row r="77">
      <c r="A77" s="79">
        <v>76.0</v>
      </c>
      <c r="B77" s="60" t="s">
        <v>75</v>
      </c>
      <c r="C77" s="60" t="s">
        <v>50</v>
      </c>
      <c r="D77" s="17" t="s">
        <v>44</v>
      </c>
      <c r="E77" s="80">
        <v>46237.0</v>
      </c>
      <c r="F77" s="81">
        <v>46237.0</v>
      </c>
      <c r="G77" s="82" t="s">
        <v>2731</v>
      </c>
      <c r="H77" s="83" t="s">
        <v>2790</v>
      </c>
      <c r="I77" s="17" t="s">
        <v>2719</v>
      </c>
    </row>
    <row r="78">
      <c r="A78" s="73">
        <v>77.0</v>
      </c>
      <c r="B78" s="57" t="s">
        <v>75</v>
      </c>
      <c r="C78" s="57" t="s">
        <v>1877</v>
      </c>
      <c r="D78" s="24" t="s">
        <v>44</v>
      </c>
      <c r="E78" s="74">
        <v>46237.0</v>
      </c>
      <c r="F78" s="75">
        <v>46237.0</v>
      </c>
      <c r="G78" s="76" t="s">
        <v>2722</v>
      </c>
      <c r="H78" s="77" t="s">
        <v>2796</v>
      </c>
      <c r="I78" s="24" t="s">
        <v>2732</v>
      </c>
    </row>
    <row r="79">
      <c r="A79" s="79">
        <v>78.0</v>
      </c>
      <c r="B79" s="60" t="s">
        <v>75</v>
      </c>
      <c r="C79" s="60" t="s">
        <v>386</v>
      </c>
      <c r="D79" s="17" t="s">
        <v>44</v>
      </c>
      <c r="E79" s="80">
        <v>46237.0</v>
      </c>
      <c r="F79" s="81">
        <v>46237.0</v>
      </c>
      <c r="G79" s="82" t="s">
        <v>2726</v>
      </c>
      <c r="H79" s="83" t="s">
        <v>2796</v>
      </c>
      <c r="I79" s="17" t="s">
        <v>2732</v>
      </c>
    </row>
    <row r="80">
      <c r="A80" s="73">
        <v>79.0</v>
      </c>
      <c r="B80" s="57" t="s">
        <v>75</v>
      </c>
      <c r="C80" s="57" t="s">
        <v>1923</v>
      </c>
      <c r="D80" s="24" t="s">
        <v>44</v>
      </c>
      <c r="E80" s="74">
        <v>46237.0</v>
      </c>
      <c r="F80" s="75">
        <v>46237.0</v>
      </c>
      <c r="G80" s="76" t="s">
        <v>2728</v>
      </c>
      <c r="H80" s="77" t="s">
        <v>2796</v>
      </c>
      <c r="I80" s="24" t="s">
        <v>2732</v>
      </c>
    </row>
    <row r="81">
      <c r="A81" s="79">
        <v>80.0</v>
      </c>
      <c r="B81" s="60" t="s">
        <v>75</v>
      </c>
      <c r="C81" s="60" t="s">
        <v>1945</v>
      </c>
      <c r="D81" s="17" t="s">
        <v>44</v>
      </c>
      <c r="E81" s="80">
        <v>46237.0</v>
      </c>
      <c r="F81" s="81">
        <v>46237.0</v>
      </c>
      <c r="G81" s="82" t="s">
        <v>2731</v>
      </c>
      <c r="H81" s="83" t="s">
        <v>2796</v>
      </c>
      <c r="I81" s="17" t="s">
        <v>2732</v>
      </c>
    </row>
    <row r="82" hidden="1">
      <c r="A82" s="73">
        <v>81.0</v>
      </c>
      <c r="B82" s="57" t="s">
        <v>75</v>
      </c>
      <c r="C82" s="57" t="s">
        <v>1967</v>
      </c>
      <c r="D82" s="24" t="s">
        <v>54</v>
      </c>
      <c r="E82" s="57"/>
      <c r="F82" s="57"/>
      <c r="G82" s="57"/>
      <c r="H82" s="57"/>
      <c r="I82" s="57"/>
    </row>
    <row r="83" hidden="1">
      <c r="A83" s="79">
        <v>82.0</v>
      </c>
      <c r="B83" s="60" t="s">
        <v>75</v>
      </c>
      <c r="C83" s="60" t="s">
        <v>819</v>
      </c>
      <c r="D83" s="17" t="s">
        <v>54</v>
      </c>
      <c r="E83" s="60"/>
      <c r="F83" s="60"/>
      <c r="G83" s="60"/>
      <c r="H83" s="60"/>
      <c r="I83" s="60"/>
    </row>
    <row r="84">
      <c r="A84" s="73">
        <v>83.0</v>
      </c>
      <c r="B84" s="57" t="s">
        <v>75</v>
      </c>
      <c r="C84" s="57" t="s">
        <v>2003</v>
      </c>
      <c r="D84" s="24" t="s">
        <v>44</v>
      </c>
      <c r="E84" s="74">
        <v>46237.0</v>
      </c>
      <c r="F84" s="75">
        <v>46237.0</v>
      </c>
      <c r="G84" s="76" t="s">
        <v>2734</v>
      </c>
      <c r="H84" s="77" t="s">
        <v>2796</v>
      </c>
      <c r="I84" s="24" t="s">
        <v>2732</v>
      </c>
    </row>
    <row r="85" hidden="1">
      <c r="A85" s="79">
        <v>84.0</v>
      </c>
      <c r="B85" s="60" t="s">
        <v>75</v>
      </c>
      <c r="C85" s="60" t="s">
        <v>2017</v>
      </c>
      <c r="D85" s="17" t="s">
        <v>54</v>
      </c>
      <c r="E85" s="60"/>
      <c r="F85" s="60"/>
      <c r="G85" s="60"/>
      <c r="H85" s="60"/>
      <c r="I85" s="60"/>
    </row>
    <row r="86">
      <c r="A86" s="73">
        <v>85.0</v>
      </c>
      <c r="B86" s="57" t="s">
        <v>75</v>
      </c>
      <c r="C86" s="57" t="s">
        <v>2033</v>
      </c>
      <c r="D86" s="24" t="s">
        <v>44</v>
      </c>
      <c r="E86" s="74">
        <v>46237.0</v>
      </c>
      <c r="F86" s="75">
        <v>46237.0</v>
      </c>
      <c r="G86" s="76" t="s">
        <v>2736</v>
      </c>
      <c r="H86" s="77" t="s">
        <v>2796</v>
      </c>
      <c r="I86" s="24" t="s">
        <v>2732</v>
      </c>
    </row>
    <row r="87">
      <c r="A87" s="79">
        <v>86.0</v>
      </c>
      <c r="B87" s="60" t="s">
        <v>75</v>
      </c>
      <c r="C87" s="60" t="s">
        <v>2051</v>
      </c>
      <c r="D87" s="17" t="s">
        <v>44</v>
      </c>
      <c r="E87" s="80">
        <v>46237.0</v>
      </c>
      <c r="F87" s="81">
        <v>46237.0</v>
      </c>
      <c r="G87" s="82" t="s">
        <v>2738</v>
      </c>
      <c r="H87" s="83" t="s">
        <v>2796</v>
      </c>
      <c r="I87" s="17" t="s">
        <v>2732</v>
      </c>
    </row>
    <row r="88">
      <c r="A88" s="73">
        <v>87.0</v>
      </c>
      <c r="B88" s="57" t="s">
        <v>75</v>
      </c>
      <c r="C88" s="57" t="s">
        <v>2066</v>
      </c>
      <c r="D88" s="24" t="s">
        <v>44</v>
      </c>
      <c r="E88" s="74">
        <v>46237.0</v>
      </c>
      <c r="F88" s="75">
        <v>46237.0</v>
      </c>
      <c r="G88" s="76" t="s">
        <v>2801</v>
      </c>
      <c r="H88" s="77" t="s">
        <v>2796</v>
      </c>
      <c r="I88" s="24" t="s">
        <v>2732</v>
      </c>
    </row>
    <row r="89">
      <c r="A89" s="87"/>
      <c r="B89" s="88"/>
      <c r="C89" s="88"/>
      <c r="D89" s="18"/>
      <c r="E89" s="18"/>
      <c r="F89" s="89"/>
      <c r="G89" s="89"/>
      <c r="H89" s="90"/>
      <c r="I89" s="18"/>
    </row>
    <row r="90">
      <c r="A90" s="91"/>
      <c r="B90" s="59"/>
      <c r="C90" s="59"/>
      <c r="D90" s="25"/>
      <c r="E90" s="25"/>
      <c r="F90" s="92"/>
      <c r="G90" s="92"/>
      <c r="H90" s="93"/>
      <c r="I90" s="25"/>
    </row>
    <row r="91">
      <c r="A91" s="87"/>
      <c r="B91" s="88"/>
      <c r="C91" s="88"/>
      <c r="D91" s="18"/>
      <c r="E91" s="18"/>
      <c r="F91" s="89"/>
      <c r="G91" s="89"/>
      <c r="H91" s="90"/>
      <c r="I91" s="18"/>
    </row>
    <row r="92">
      <c r="A92" s="91"/>
      <c r="B92" s="59"/>
      <c r="C92" s="59"/>
      <c r="D92" s="25"/>
      <c r="E92" s="25"/>
      <c r="F92" s="92"/>
      <c r="G92" s="92"/>
      <c r="H92" s="93"/>
      <c r="I92" s="25"/>
    </row>
    <row r="93">
      <c r="A93" s="87"/>
      <c r="B93" s="88"/>
      <c r="C93" s="88"/>
      <c r="D93" s="18"/>
      <c r="E93" s="18"/>
      <c r="F93" s="89"/>
      <c r="G93" s="89"/>
      <c r="H93" s="90"/>
      <c r="I93" s="18"/>
    </row>
    <row r="94">
      <c r="A94" s="91"/>
      <c r="B94" s="59"/>
      <c r="C94" s="59"/>
      <c r="D94" s="25"/>
      <c r="E94" s="25"/>
      <c r="F94" s="92"/>
      <c r="G94" s="92"/>
      <c r="H94" s="93"/>
      <c r="I94" s="25"/>
    </row>
    <row r="95">
      <c r="A95" s="87"/>
      <c r="B95" s="88"/>
      <c r="C95" s="88"/>
      <c r="D95" s="18"/>
      <c r="E95" s="18"/>
      <c r="F95" s="89"/>
      <c r="G95" s="89"/>
      <c r="H95" s="90"/>
      <c r="I95" s="18"/>
    </row>
    <row r="96">
      <c r="A96" s="91"/>
      <c r="B96" s="59"/>
      <c r="C96" s="59"/>
      <c r="D96" s="25"/>
      <c r="E96" s="25"/>
      <c r="F96" s="92"/>
      <c r="G96" s="92"/>
      <c r="H96" s="93"/>
      <c r="I96" s="25"/>
    </row>
    <row r="97">
      <c r="A97" s="87"/>
      <c r="B97" s="88"/>
      <c r="C97" s="88"/>
      <c r="D97" s="18"/>
      <c r="E97" s="18"/>
      <c r="F97" s="89"/>
      <c r="G97" s="89"/>
      <c r="H97" s="90"/>
      <c r="I97" s="18"/>
    </row>
    <row r="98">
      <c r="A98" s="91"/>
      <c r="B98" s="59"/>
      <c r="C98" s="59"/>
      <c r="D98" s="25"/>
      <c r="E98" s="25"/>
      <c r="F98" s="92"/>
      <c r="G98" s="92"/>
      <c r="H98" s="93"/>
      <c r="I98" s="25"/>
    </row>
    <row r="99">
      <c r="A99" s="87"/>
      <c r="B99" s="88"/>
      <c r="C99" s="88"/>
      <c r="D99" s="18"/>
      <c r="E99" s="18"/>
      <c r="F99" s="89"/>
      <c r="G99" s="89"/>
      <c r="H99" s="90"/>
      <c r="I99" s="18"/>
    </row>
    <row r="100">
      <c r="A100" s="91"/>
      <c r="B100" s="59"/>
      <c r="C100" s="59"/>
      <c r="D100" s="25"/>
      <c r="E100" s="25"/>
      <c r="F100" s="92"/>
      <c r="G100" s="92"/>
      <c r="H100" s="93"/>
      <c r="I100" s="25"/>
    </row>
    <row r="101">
      <c r="A101" s="87"/>
      <c r="B101" s="88"/>
      <c r="C101" s="88"/>
      <c r="D101" s="18"/>
      <c r="E101" s="18"/>
      <c r="F101" s="89"/>
      <c r="G101" s="89"/>
      <c r="H101" s="90"/>
      <c r="I101" s="18"/>
    </row>
    <row r="102">
      <c r="A102" s="91"/>
      <c r="B102" s="59"/>
      <c r="C102" s="59"/>
      <c r="D102" s="25"/>
      <c r="E102" s="25"/>
      <c r="F102" s="92"/>
      <c r="G102" s="92"/>
      <c r="H102" s="93"/>
      <c r="I102" s="25"/>
    </row>
    <row r="103">
      <c r="A103" s="87"/>
      <c r="B103" s="88"/>
      <c r="C103" s="88"/>
      <c r="D103" s="18"/>
      <c r="E103" s="18"/>
      <c r="F103" s="89"/>
      <c r="G103" s="89"/>
      <c r="H103" s="90"/>
      <c r="I103" s="18"/>
    </row>
    <row r="104">
      <c r="A104" s="91"/>
      <c r="B104" s="59"/>
      <c r="C104" s="59"/>
      <c r="D104" s="25"/>
      <c r="E104" s="25"/>
      <c r="F104" s="92"/>
      <c r="G104" s="92"/>
      <c r="H104" s="93"/>
      <c r="I104" s="25"/>
    </row>
    <row r="105">
      <c r="A105" s="87"/>
      <c r="B105" s="88"/>
      <c r="C105" s="88"/>
      <c r="D105" s="18"/>
      <c r="E105" s="18"/>
      <c r="F105" s="89"/>
      <c r="G105" s="89"/>
      <c r="H105" s="90"/>
      <c r="I105" s="18"/>
    </row>
    <row r="106">
      <c r="A106" s="91"/>
      <c r="B106" s="59"/>
      <c r="C106" s="59"/>
      <c r="D106" s="25"/>
      <c r="E106" s="25"/>
      <c r="F106" s="92"/>
      <c r="G106" s="92"/>
      <c r="H106" s="93"/>
      <c r="I106" s="25"/>
    </row>
    <row r="107">
      <c r="A107" s="87"/>
      <c r="B107" s="88"/>
      <c r="C107" s="88"/>
      <c r="D107" s="18"/>
      <c r="E107" s="18"/>
      <c r="F107" s="89"/>
      <c r="G107" s="89"/>
      <c r="H107" s="90"/>
      <c r="I107" s="18"/>
    </row>
    <row r="108">
      <c r="A108" s="91"/>
      <c r="B108" s="59"/>
      <c r="C108" s="59"/>
      <c r="D108" s="25"/>
      <c r="E108" s="25"/>
      <c r="F108" s="92"/>
      <c r="G108" s="92"/>
      <c r="H108" s="93"/>
      <c r="I108" s="25"/>
    </row>
    <row r="109">
      <c r="A109" s="87"/>
      <c r="B109" s="88"/>
      <c r="C109" s="88"/>
      <c r="D109" s="18"/>
      <c r="E109" s="18"/>
      <c r="F109" s="89"/>
      <c r="G109" s="89"/>
      <c r="H109" s="90"/>
      <c r="I109" s="18"/>
    </row>
    <row r="110">
      <c r="A110" s="91"/>
      <c r="B110" s="59"/>
      <c r="C110" s="59"/>
      <c r="D110" s="25"/>
      <c r="E110" s="25"/>
      <c r="F110" s="92"/>
      <c r="G110" s="92"/>
      <c r="H110" s="93"/>
      <c r="I110" s="25"/>
    </row>
    <row r="111">
      <c r="A111" s="87"/>
      <c r="B111" s="88"/>
      <c r="C111" s="88"/>
      <c r="D111" s="18"/>
      <c r="E111" s="18"/>
      <c r="F111" s="89"/>
      <c r="G111" s="89"/>
      <c r="H111" s="90"/>
      <c r="I111" s="18"/>
    </row>
    <row r="112">
      <c r="A112" s="91"/>
      <c r="B112" s="59"/>
      <c r="C112" s="59"/>
      <c r="D112" s="25"/>
      <c r="E112" s="25"/>
      <c r="F112" s="92"/>
      <c r="G112" s="92"/>
      <c r="H112" s="93"/>
      <c r="I112" s="25"/>
    </row>
    <row r="113">
      <c r="A113" s="87"/>
      <c r="B113" s="88"/>
      <c r="C113" s="88"/>
      <c r="D113" s="18"/>
      <c r="E113" s="18"/>
      <c r="F113" s="89"/>
      <c r="G113" s="89"/>
      <c r="H113" s="90"/>
      <c r="I113" s="18"/>
    </row>
    <row r="114">
      <c r="A114" s="91"/>
      <c r="B114" s="59"/>
      <c r="C114" s="59"/>
      <c r="D114" s="25"/>
      <c r="E114" s="25"/>
      <c r="F114" s="92"/>
      <c r="G114" s="92"/>
      <c r="H114" s="93"/>
      <c r="I114" s="25"/>
    </row>
    <row r="115">
      <c r="A115" s="87"/>
      <c r="B115" s="88"/>
      <c r="C115" s="88"/>
      <c r="D115" s="18"/>
      <c r="E115" s="18"/>
      <c r="F115" s="89"/>
      <c r="G115" s="89"/>
      <c r="H115" s="90"/>
      <c r="I115" s="18"/>
    </row>
    <row r="116">
      <c r="A116" s="91"/>
      <c r="B116" s="59"/>
      <c r="C116" s="59"/>
      <c r="D116" s="25"/>
      <c r="E116" s="25"/>
      <c r="F116" s="92"/>
      <c r="G116" s="92"/>
      <c r="H116" s="93"/>
      <c r="I116" s="25"/>
    </row>
    <row r="117">
      <c r="A117" s="87"/>
      <c r="B117" s="88"/>
      <c r="C117" s="88"/>
      <c r="D117" s="18"/>
      <c r="E117" s="18"/>
      <c r="F117" s="89"/>
      <c r="G117" s="89"/>
      <c r="H117" s="90"/>
      <c r="I117" s="18"/>
    </row>
    <row r="118">
      <c r="A118" s="91"/>
      <c r="B118" s="59"/>
      <c r="C118" s="59"/>
      <c r="D118" s="25"/>
      <c r="E118" s="25"/>
      <c r="F118" s="92"/>
      <c r="G118" s="92"/>
      <c r="H118" s="93"/>
      <c r="I118" s="25"/>
    </row>
    <row r="119">
      <c r="A119" s="87"/>
      <c r="B119" s="88"/>
      <c r="C119" s="88"/>
      <c r="D119" s="18"/>
      <c r="E119" s="18"/>
      <c r="F119" s="89"/>
      <c r="G119" s="89"/>
      <c r="H119" s="90"/>
      <c r="I119" s="18"/>
    </row>
    <row r="120">
      <c r="A120" s="91"/>
      <c r="B120" s="59"/>
      <c r="C120" s="59"/>
      <c r="D120" s="25"/>
      <c r="E120" s="25"/>
      <c r="F120" s="92"/>
      <c r="G120" s="92"/>
      <c r="H120" s="93"/>
      <c r="I120" s="25"/>
    </row>
    <row r="121">
      <c r="A121" s="87"/>
      <c r="B121" s="88"/>
      <c r="C121" s="88"/>
      <c r="D121" s="18"/>
      <c r="E121" s="18"/>
      <c r="F121" s="89"/>
      <c r="G121" s="89"/>
      <c r="H121" s="90"/>
      <c r="I121" s="18"/>
    </row>
    <row r="122">
      <c r="A122" s="91"/>
      <c r="B122" s="59"/>
      <c r="C122" s="59"/>
      <c r="D122" s="25"/>
      <c r="E122" s="25"/>
      <c r="F122" s="92"/>
      <c r="G122" s="92"/>
      <c r="H122" s="93"/>
      <c r="I122" s="25"/>
    </row>
    <row r="123">
      <c r="A123" s="87"/>
      <c r="B123" s="88"/>
      <c r="C123" s="88"/>
      <c r="D123" s="18"/>
      <c r="E123" s="18"/>
      <c r="F123" s="89"/>
      <c r="G123" s="89"/>
      <c r="H123" s="90"/>
      <c r="I123" s="18"/>
    </row>
    <row r="124">
      <c r="A124" s="91"/>
      <c r="B124" s="59"/>
      <c r="C124" s="59"/>
      <c r="D124" s="25"/>
      <c r="E124" s="25"/>
      <c r="F124" s="92"/>
      <c r="G124" s="92"/>
      <c r="H124" s="93"/>
      <c r="I124" s="25"/>
    </row>
    <row r="125">
      <c r="A125" s="87"/>
      <c r="B125" s="88"/>
      <c r="C125" s="88"/>
      <c r="D125" s="18"/>
      <c r="E125" s="18"/>
      <c r="F125" s="89"/>
      <c r="G125" s="89"/>
      <c r="H125" s="90"/>
      <c r="I125" s="18"/>
    </row>
    <row r="126">
      <c r="A126" s="91"/>
      <c r="B126" s="59"/>
      <c r="C126" s="59"/>
      <c r="D126" s="25"/>
      <c r="E126" s="25"/>
      <c r="F126" s="92"/>
      <c r="G126" s="92"/>
      <c r="H126" s="93"/>
      <c r="I126" s="25"/>
    </row>
    <row r="127">
      <c r="A127" s="87"/>
      <c r="B127" s="88"/>
      <c r="C127" s="88"/>
      <c r="D127" s="18"/>
      <c r="E127" s="18"/>
      <c r="F127" s="89"/>
      <c r="G127" s="89"/>
      <c r="H127" s="90"/>
      <c r="I127" s="18"/>
    </row>
    <row r="128">
      <c r="A128" s="91"/>
      <c r="B128" s="59"/>
      <c r="C128" s="59"/>
      <c r="D128" s="25"/>
      <c r="E128" s="25"/>
      <c r="F128" s="92"/>
      <c r="G128" s="92"/>
      <c r="H128" s="93"/>
      <c r="I128" s="25"/>
    </row>
    <row r="129">
      <c r="A129" s="87"/>
      <c r="B129" s="88"/>
      <c r="C129" s="88"/>
      <c r="D129" s="18"/>
      <c r="E129" s="18"/>
      <c r="F129" s="89"/>
      <c r="G129" s="89"/>
      <c r="H129" s="90"/>
      <c r="I129" s="18"/>
    </row>
    <row r="130">
      <c r="A130" s="91"/>
      <c r="B130" s="59"/>
      <c r="C130" s="59"/>
      <c r="D130" s="25"/>
      <c r="E130" s="25"/>
      <c r="F130" s="92"/>
      <c r="G130" s="92"/>
      <c r="H130" s="93"/>
      <c r="I130" s="25"/>
    </row>
    <row r="131">
      <c r="A131" s="87"/>
      <c r="B131" s="88"/>
      <c r="C131" s="88"/>
      <c r="D131" s="18"/>
      <c r="E131" s="18"/>
      <c r="F131" s="89"/>
      <c r="G131" s="89"/>
      <c r="H131" s="90"/>
      <c r="I131" s="18"/>
    </row>
    <row r="132">
      <c r="A132" s="91"/>
      <c r="B132" s="59"/>
      <c r="C132" s="59"/>
      <c r="D132" s="25"/>
      <c r="E132" s="25"/>
      <c r="F132" s="92"/>
      <c r="G132" s="92"/>
      <c r="H132" s="93"/>
      <c r="I132" s="25"/>
    </row>
    <row r="133">
      <c r="A133" s="87"/>
      <c r="B133" s="88"/>
      <c r="C133" s="88"/>
      <c r="D133" s="18"/>
      <c r="E133" s="18"/>
      <c r="F133" s="89"/>
      <c r="G133" s="89"/>
      <c r="H133" s="90"/>
      <c r="I133" s="18"/>
    </row>
    <row r="134">
      <c r="A134" s="91"/>
      <c r="B134" s="59"/>
      <c r="C134" s="59"/>
      <c r="D134" s="25"/>
      <c r="E134" s="25"/>
      <c r="F134" s="92"/>
      <c r="G134" s="92"/>
      <c r="H134" s="93"/>
      <c r="I134" s="25"/>
    </row>
    <row r="135">
      <c r="A135" s="87"/>
      <c r="B135" s="88"/>
      <c r="C135" s="88"/>
      <c r="D135" s="18"/>
      <c r="E135" s="18"/>
      <c r="F135" s="89"/>
      <c r="G135" s="89"/>
      <c r="H135" s="90"/>
      <c r="I135" s="18"/>
    </row>
    <row r="136">
      <c r="A136" s="91"/>
      <c r="B136" s="59"/>
      <c r="C136" s="59"/>
      <c r="D136" s="25"/>
      <c r="E136" s="25"/>
      <c r="F136" s="92"/>
      <c r="G136" s="92"/>
      <c r="H136" s="93"/>
      <c r="I136" s="25"/>
    </row>
    <row r="137">
      <c r="A137" s="87"/>
      <c r="B137" s="88"/>
      <c r="C137" s="88"/>
      <c r="D137" s="18"/>
      <c r="E137" s="18"/>
      <c r="F137" s="89"/>
      <c r="G137" s="89"/>
      <c r="H137" s="90"/>
      <c r="I137" s="18"/>
    </row>
    <row r="138">
      <c r="A138" s="91"/>
      <c r="B138" s="59"/>
      <c r="C138" s="59"/>
      <c r="D138" s="25"/>
      <c r="E138" s="25"/>
      <c r="F138" s="92"/>
      <c r="G138" s="92"/>
      <c r="H138" s="93"/>
      <c r="I138" s="25"/>
    </row>
    <row r="139">
      <c r="A139" s="87"/>
      <c r="B139" s="88"/>
      <c r="C139" s="88"/>
      <c r="D139" s="18"/>
      <c r="E139" s="18"/>
      <c r="F139" s="89"/>
      <c r="G139" s="89"/>
      <c r="H139" s="90"/>
      <c r="I139" s="18"/>
    </row>
    <row r="140">
      <c r="A140" s="91"/>
      <c r="B140" s="59"/>
      <c r="C140" s="59"/>
      <c r="D140" s="25"/>
      <c r="E140" s="25"/>
      <c r="F140" s="92"/>
      <c r="G140" s="92"/>
      <c r="H140" s="93"/>
      <c r="I140" s="25"/>
    </row>
    <row r="141">
      <c r="A141" s="87"/>
      <c r="B141" s="88"/>
      <c r="C141" s="88"/>
      <c r="D141" s="18"/>
      <c r="E141" s="18"/>
      <c r="F141" s="89"/>
      <c r="G141" s="89"/>
      <c r="H141" s="90"/>
      <c r="I141" s="18"/>
    </row>
    <row r="142">
      <c r="A142" s="91"/>
      <c r="B142" s="59"/>
      <c r="C142" s="59"/>
      <c r="D142" s="25"/>
      <c r="E142" s="25"/>
      <c r="F142" s="92"/>
      <c r="G142" s="92"/>
      <c r="H142" s="93"/>
      <c r="I142" s="25"/>
    </row>
    <row r="143">
      <c r="A143" s="87"/>
      <c r="B143" s="88"/>
      <c r="C143" s="88"/>
      <c r="D143" s="18"/>
      <c r="E143" s="18"/>
      <c r="F143" s="89"/>
      <c r="G143" s="89"/>
      <c r="H143" s="90"/>
      <c r="I143" s="18"/>
    </row>
    <row r="144">
      <c r="A144" s="91"/>
      <c r="B144" s="59"/>
      <c r="C144" s="59"/>
      <c r="D144" s="25"/>
      <c r="E144" s="25"/>
      <c r="F144" s="92"/>
      <c r="G144" s="92"/>
      <c r="H144" s="93"/>
      <c r="I144" s="25"/>
    </row>
    <row r="145">
      <c r="A145" s="87"/>
      <c r="B145" s="88"/>
      <c r="C145" s="88"/>
      <c r="D145" s="18"/>
      <c r="E145" s="18"/>
      <c r="F145" s="89"/>
      <c r="G145" s="89"/>
      <c r="H145" s="90"/>
      <c r="I145" s="18"/>
    </row>
    <row r="146">
      <c r="A146" s="91"/>
      <c r="B146" s="59"/>
      <c r="C146" s="59"/>
      <c r="D146" s="25"/>
      <c r="E146" s="25"/>
      <c r="F146" s="92"/>
      <c r="G146" s="92"/>
      <c r="H146" s="93"/>
      <c r="I146" s="25"/>
    </row>
    <row r="147">
      <c r="A147" s="87"/>
      <c r="B147" s="88"/>
      <c r="C147" s="88"/>
      <c r="D147" s="18"/>
      <c r="E147" s="18"/>
      <c r="F147" s="89"/>
      <c r="G147" s="89"/>
      <c r="H147" s="90"/>
      <c r="I147" s="18"/>
    </row>
    <row r="148">
      <c r="A148" s="91"/>
      <c r="B148" s="59"/>
      <c r="C148" s="59"/>
      <c r="D148" s="25"/>
      <c r="E148" s="25"/>
      <c r="F148" s="92"/>
      <c r="G148" s="92"/>
      <c r="H148" s="93"/>
      <c r="I148" s="25"/>
    </row>
    <row r="149">
      <c r="A149" s="87"/>
      <c r="B149" s="88"/>
      <c r="C149" s="88"/>
      <c r="D149" s="18"/>
      <c r="E149" s="18"/>
      <c r="F149" s="89"/>
      <c r="G149" s="89"/>
      <c r="H149" s="90"/>
      <c r="I149" s="18"/>
    </row>
    <row r="150">
      <c r="A150" s="91"/>
      <c r="B150" s="59"/>
      <c r="C150" s="59"/>
      <c r="D150" s="25"/>
      <c r="E150" s="25"/>
      <c r="F150" s="92"/>
      <c r="G150" s="92"/>
      <c r="H150" s="93"/>
      <c r="I150" s="25"/>
    </row>
    <row r="151">
      <c r="A151" s="87"/>
      <c r="B151" s="88"/>
      <c r="C151" s="88"/>
      <c r="D151" s="18"/>
      <c r="E151" s="18"/>
      <c r="F151" s="89"/>
      <c r="G151" s="89"/>
      <c r="H151" s="90"/>
      <c r="I151" s="18"/>
    </row>
    <row r="152">
      <c r="A152" s="91"/>
      <c r="B152" s="59"/>
      <c r="C152" s="59"/>
      <c r="D152" s="25"/>
      <c r="E152" s="25"/>
      <c r="F152" s="92"/>
      <c r="G152" s="92"/>
      <c r="H152" s="93"/>
      <c r="I152" s="25"/>
    </row>
    <row r="153">
      <c r="A153" s="87"/>
      <c r="B153" s="88"/>
      <c r="C153" s="88"/>
      <c r="D153" s="18"/>
      <c r="E153" s="18"/>
      <c r="F153" s="89"/>
      <c r="G153" s="89"/>
      <c r="H153" s="90"/>
      <c r="I153" s="18"/>
    </row>
    <row r="154">
      <c r="A154" s="91"/>
      <c r="B154" s="59"/>
      <c r="C154" s="59"/>
      <c r="D154" s="25"/>
      <c r="E154" s="25"/>
      <c r="F154" s="92"/>
      <c r="G154" s="92"/>
      <c r="H154" s="93"/>
      <c r="I154" s="25"/>
    </row>
    <row r="155">
      <c r="A155" s="87"/>
      <c r="B155" s="88"/>
      <c r="C155" s="88"/>
      <c r="D155" s="18"/>
      <c r="E155" s="18"/>
      <c r="F155" s="89"/>
      <c r="G155" s="89"/>
      <c r="H155" s="90"/>
      <c r="I155" s="18"/>
    </row>
    <row r="156">
      <c r="A156" s="91"/>
      <c r="B156" s="59"/>
      <c r="C156" s="59"/>
      <c r="D156" s="25"/>
      <c r="E156" s="25"/>
      <c r="F156" s="92"/>
      <c r="G156" s="92"/>
      <c r="H156" s="93"/>
      <c r="I156" s="25"/>
    </row>
    <row r="157">
      <c r="A157" s="87"/>
      <c r="B157" s="88"/>
      <c r="C157" s="88"/>
      <c r="D157" s="18"/>
      <c r="E157" s="18"/>
      <c r="F157" s="89"/>
      <c r="G157" s="89"/>
      <c r="H157" s="90"/>
      <c r="I157" s="18"/>
    </row>
    <row r="158">
      <c r="A158" s="91"/>
      <c r="B158" s="59"/>
      <c r="C158" s="59"/>
      <c r="D158" s="25"/>
      <c r="E158" s="25"/>
      <c r="F158" s="92"/>
      <c r="G158" s="92"/>
      <c r="H158" s="93"/>
      <c r="I158" s="25"/>
    </row>
    <row r="159">
      <c r="A159" s="87"/>
      <c r="B159" s="88"/>
      <c r="C159" s="88"/>
      <c r="D159" s="18"/>
      <c r="E159" s="18"/>
      <c r="F159" s="89"/>
      <c r="G159" s="89"/>
      <c r="H159" s="90"/>
      <c r="I159" s="18"/>
    </row>
    <row r="160">
      <c r="A160" s="91"/>
      <c r="B160" s="59"/>
      <c r="C160" s="59"/>
      <c r="D160" s="25"/>
      <c r="E160" s="25"/>
      <c r="F160" s="92"/>
      <c r="G160" s="92"/>
      <c r="H160" s="93"/>
      <c r="I160" s="25"/>
    </row>
    <row r="161">
      <c r="A161" s="87"/>
      <c r="B161" s="88"/>
      <c r="C161" s="88"/>
      <c r="D161" s="18"/>
      <c r="E161" s="18"/>
      <c r="F161" s="89"/>
      <c r="G161" s="89"/>
      <c r="H161" s="90"/>
      <c r="I161" s="18"/>
    </row>
    <row r="162">
      <c r="A162" s="91"/>
      <c r="B162" s="59"/>
      <c r="C162" s="59"/>
      <c r="D162" s="25"/>
      <c r="E162" s="25"/>
      <c r="F162" s="92"/>
      <c r="G162" s="92"/>
      <c r="H162" s="93"/>
      <c r="I162" s="25"/>
    </row>
    <row r="163">
      <c r="A163" s="87"/>
      <c r="B163" s="88"/>
      <c r="C163" s="88"/>
      <c r="D163" s="18"/>
      <c r="E163" s="18"/>
      <c r="F163" s="89"/>
      <c r="G163" s="89"/>
      <c r="H163" s="90"/>
      <c r="I163" s="18"/>
    </row>
    <row r="164">
      <c r="A164" s="91"/>
      <c r="B164" s="59"/>
      <c r="C164" s="59"/>
      <c r="D164" s="25"/>
      <c r="E164" s="25"/>
      <c r="F164" s="92"/>
      <c r="G164" s="92"/>
      <c r="H164" s="93"/>
      <c r="I164" s="25"/>
    </row>
    <row r="165">
      <c r="A165" s="87"/>
      <c r="B165" s="88"/>
      <c r="C165" s="88"/>
      <c r="D165" s="18"/>
      <c r="E165" s="18"/>
      <c r="F165" s="89"/>
      <c r="G165" s="89"/>
      <c r="H165" s="90"/>
      <c r="I165" s="18"/>
    </row>
    <row r="166">
      <c r="A166" s="91"/>
      <c r="B166" s="59"/>
      <c r="C166" s="59"/>
      <c r="D166" s="25"/>
      <c r="E166" s="25"/>
      <c r="F166" s="92"/>
      <c r="G166" s="92"/>
      <c r="H166" s="93"/>
      <c r="I166" s="25"/>
    </row>
    <row r="167">
      <c r="A167" s="87"/>
      <c r="B167" s="88"/>
      <c r="C167" s="88"/>
      <c r="D167" s="18"/>
      <c r="E167" s="18"/>
      <c r="F167" s="89"/>
      <c r="G167" s="89"/>
      <c r="H167" s="90"/>
      <c r="I167" s="18"/>
    </row>
    <row r="168">
      <c r="A168" s="91"/>
      <c r="B168" s="59"/>
      <c r="C168" s="59"/>
      <c r="D168" s="25"/>
      <c r="E168" s="25"/>
      <c r="F168" s="92"/>
      <c r="G168" s="92"/>
      <c r="H168" s="93"/>
      <c r="I168" s="25"/>
    </row>
    <row r="169">
      <c r="A169" s="87"/>
      <c r="B169" s="88"/>
      <c r="C169" s="88"/>
      <c r="D169" s="18"/>
      <c r="E169" s="18"/>
      <c r="F169" s="89"/>
      <c r="G169" s="89"/>
      <c r="H169" s="90"/>
      <c r="I169" s="18"/>
    </row>
    <row r="170">
      <c r="A170" s="91"/>
      <c r="B170" s="59"/>
      <c r="C170" s="59"/>
      <c r="D170" s="25"/>
      <c r="E170" s="25"/>
      <c r="F170" s="92"/>
      <c r="G170" s="92"/>
      <c r="H170" s="93"/>
      <c r="I170" s="25"/>
    </row>
    <row r="171">
      <c r="A171" s="87"/>
      <c r="B171" s="88"/>
      <c r="C171" s="88"/>
      <c r="D171" s="18"/>
      <c r="E171" s="18"/>
      <c r="F171" s="89"/>
      <c r="G171" s="89"/>
      <c r="H171" s="90"/>
      <c r="I171" s="18"/>
    </row>
    <row r="172">
      <c r="A172" s="91"/>
      <c r="B172" s="59"/>
      <c r="C172" s="59"/>
      <c r="D172" s="25"/>
      <c r="E172" s="25"/>
      <c r="F172" s="92"/>
      <c r="G172" s="92"/>
      <c r="H172" s="93"/>
      <c r="I172" s="25"/>
    </row>
    <row r="173">
      <c r="A173" s="87"/>
      <c r="B173" s="88"/>
      <c r="C173" s="88"/>
      <c r="D173" s="18"/>
      <c r="E173" s="18"/>
      <c r="F173" s="89"/>
      <c r="G173" s="89"/>
      <c r="H173" s="90"/>
      <c r="I173" s="18"/>
    </row>
    <row r="174">
      <c r="A174" s="91"/>
      <c r="B174" s="59"/>
      <c r="C174" s="59"/>
      <c r="D174" s="25"/>
      <c r="E174" s="25"/>
      <c r="F174" s="92"/>
      <c r="G174" s="92"/>
      <c r="H174" s="93"/>
      <c r="I174" s="25"/>
    </row>
    <row r="175">
      <c r="A175" s="87"/>
      <c r="B175" s="88"/>
      <c r="C175" s="88"/>
      <c r="D175" s="18"/>
      <c r="E175" s="18"/>
      <c r="F175" s="89"/>
      <c r="G175" s="89"/>
      <c r="H175" s="90"/>
      <c r="I175" s="18"/>
    </row>
    <row r="176">
      <c r="A176" s="91"/>
      <c r="B176" s="59"/>
      <c r="C176" s="59"/>
      <c r="D176" s="25"/>
      <c r="E176" s="25"/>
      <c r="F176" s="92"/>
      <c r="G176" s="92"/>
      <c r="H176" s="93"/>
      <c r="I176" s="25"/>
    </row>
    <row r="177">
      <c r="A177" s="87"/>
      <c r="B177" s="88"/>
      <c r="C177" s="88"/>
      <c r="D177" s="18"/>
      <c r="E177" s="18"/>
      <c r="F177" s="89"/>
      <c r="G177" s="89"/>
      <c r="H177" s="90"/>
      <c r="I177" s="18"/>
    </row>
    <row r="178">
      <c r="A178" s="91"/>
      <c r="B178" s="59"/>
      <c r="C178" s="59"/>
      <c r="D178" s="25"/>
      <c r="E178" s="25"/>
      <c r="F178" s="92"/>
      <c r="G178" s="92"/>
      <c r="H178" s="93"/>
      <c r="I178" s="25"/>
    </row>
    <row r="179">
      <c r="A179" s="87"/>
      <c r="B179" s="88"/>
      <c r="C179" s="88"/>
      <c r="D179" s="18"/>
      <c r="E179" s="18"/>
      <c r="F179" s="89"/>
      <c r="G179" s="89"/>
      <c r="H179" s="90"/>
      <c r="I179" s="18"/>
    </row>
    <row r="180">
      <c r="A180" s="91"/>
      <c r="B180" s="59"/>
      <c r="C180" s="59"/>
      <c r="D180" s="25"/>
      <c r="E180" s="25"/>
      <c r="F180" s="92"/>
      <c r="G180" s="92"/>
      <c r="H180" s="93"/>
      <c r="I180" s="25"/>
    </row>
    <row r="181">
      <c r="A181" s="87"/>
      <c r="B181" s="88"/>
      <c r="C181" s="88"/>
      <c r="D181" s="18"/>
      <c r="E181" s="18"/>
      <c r="F181" s="89"/>
      <c r="G181" s="89"/>
      <c r="H181" s="90"/>
      <c r="I181" s="18"/>
    </row>
    <row r="182">
      <c r="A182" s="91"/>
      <c r="B182" s="59"/>
      <c r="C182" s="59"/>
      <c r="D182" s="25"/>
      <c r="E182" s="25"/>
      <c r="F182" s="92"/>
      <c r="G182" s="92"/>
      <c r="H182" s="93"/>
      <c r="I182" s="25"/>
    </row>
    <row r="183">
      <c r="A183" s="87"/>
      <c r="B183" s="88"/>
      <c r="C183" s="88"/>
      <c r="D183" s="18"/>
      <c r="E183" s="18"/>
      <c r="F183" s="89"/>
      <c r="G183" s="89"/>
      <c r="H183" s="90"/>
      <c r="I183" s="18"/>
    </row>
    <row r="184">
      <c r="A184" s="91"/>
      <c r="B184" s="59"/>
      <c r="C184" s="59"/>
      <c r="D184" s="25"/>
      <c r="E184" s="25"/>
      <c r="F184" s="92"/>
      <c r="G184" s="92"/>
      <c r="H184" s="93"/>
      <c r="I184" s="25"/>
    </row>
    <row r="185">
      <c r="A185" s="87"/>
      <c r="B185" s="88"/>
      <c r="C185" s="88"/>
      <c r="D185" s="18"/>
      <c r="E185" s="18"/>
      <c r="F185" s="89"/>
      <c r="G185" s="89"/>
      <c r="H185" s="90"/>
      <c r="I185" s="18"/>
    </row>
    <row r="186">
      <c r="A186" s="91"/>
      <c r="B186" s="59"/>
      <c r="C186" s="59"/>
      <c r="D186" s="25"/>
      <c r="E186" s="25"/>
      <c r="F186" s="92"/>
      <c r="G186" s="92"/>
      <c r="H186" s="93"/>
      <c r="I186" s="25"/>
    </row>
    <row r="187">
      <c r="A187" s="87"/>
      <c r="B187" s="88"/>
      <c r="C187" s="88"/>
      <c r="D187" s="18"/>
      <c r="E187" s="18"/>
      <c r="F187" s="89"/>
      <c r="G187" s="89"/>
      <c r="H187" s="90"/>
      <c r="I187" s="18"/>
    </row>
    <row r="188">
      <c r="A188" s="91"/>
      <c r="B188" s="59"/>
      <c r="C188" s="59"/>
      <c r="D188" s="25"/>
      <c r="E188" s="25"/>
      <c r="F188" s="92"/>
      <c r="G188" s="92"/>
      <c r="H188" s="93"/>
      <c r="I188" s="25"/>
    </row>
    <row r="189">
      <c r="A189" s="87"/>
      <c r="B189" s="88"/>
      <c r="C189" s="88"/>
      <c r="D189" s="18"/>
      <c r="E189" s="18"/>
      <c r="F189" s="89"/>
      <c r="G189" s="89"/>
      <c r="H189" s="90"/>
      <c r="I189" s="18"/>
    </row>
    <row r="190">
      <c r="A190" s="91"/>
      <c r="B190" s="59"/>
      <c r="C190" s="59"/>
      <c r="D190" s="25"/>
      <c r="E190" s="25"/>
      <c r="F190" s="92"/>
      <c r="G190" s="92"/>
      <c r="H190" s="93"/>
      <c r="I190" s="25"/>
    </row>
    <row r="191">
      <c r="A191" s="87"/>
      <c r="B191" s="88"/>
      <c r="C191" s="88"/>
      <c r="D191" s="18"/>
      <c r="E191" s="18"/>
      <c r="F191" s="89"/>
      <c r="G191" s="89"/>
      <c r="H191" s="90"/>
      <c r="I191" s="18"/>
    </row>
    <row r="192">
      <c r="A192" s="91"/>
      <c r="B192" s="59"/>
      <c r="C192" s="59"/>
      <c r="D192" s="25"/>
      <c r="E192" s="25"/>
      <c r="F192" s="92"/>
      <c r="G192" s="92"/>
      <c r="H192" s="93"/>
      <c r="I192" s="25"/>
    </row>
    <row r="193">
      <c r="A193" s="87"/>
      <c r="B193" s="88"/>
      <c r="C193" s="88"/>
      <c r="D193" s="18"/>
      <c r="E193" s="18"/>
      <c r="F193" s="89"/>
      <c r="G193" s="89"/>
      <c r="H193" s="90"/>
      <c r="I193" s="18"/>
    </row>
    <row r="194">
      <c r="A194" s="91"/>
      <c r="B194" s="59"/>
      <c r="C194" s="59"/>
      <c r="D194" s="25"/>
      <c r="E194" s="25"/>
      <c r="F194" s="92"/>
      <c r="G194" s="92"/>
      <c r="H194" s="93"/>
      <c r="I194" s="25"/>
    </row>
    <row r="195">
      <c r="A195" s="87"/>
      <c r="B195" s="88"/>
      <c r="C195" s="88"/>
      <c r="D195" s="18"/>
      <c r="E195" s="18"/>
      <c r="F195" s="89"/>
      <c r="G195" s="89"/>
      <c r="H195" s="90"/>
      <c r="I195" s="18"/>
    </row>
    <row r="196">
      <c r="A196" s="91"/>
      <c r="B196" s="59"/>
      <c r="C196" s="59"/>
      <c r="D196" s="25"/>
      <c r="E196" s="25"/>
      <c r="F196" s="92"/>
      <c r="G196" s="92"/>
      <c r="H196" s="93"/>
      <c r="I196" s="25"/>
    </row>
    <row r="197">
      <c r="A197" s="87"/>
      <c r="B197" s="88"/>
      <c r="C197" s="88"/>
      <c r="D197" s="18"/>
      <c r="E197" s="18"/>
      <c r="F197" s="89"/>
      <c r="G197" s="89"/>
      <c r="H197" s="90"/>
      <c r="I197" s="18"/>
    </row>
    <row r="198">
      <c r="A198" s="91"/>
      <c r="B198" s="59"/>
      <c r="C198" s="59"/>
      <c r="D198" s="25"/>
      <c r="E198" s="25"/>
      <c r="F198" s="92"/>
      <c r="G198" s="92"/>
      <c r="H198" s="93"/>
      <c r="I198" s="25"/>
    </row>
    <row r="199">
      <c r="A199" s="87"/>
      <c r="B199" s="88"/>
      <c r="C199" s="88"/>
      <c r="D199" s="18"/>
      <c r="E199" s="18"/>
      <c r="F199" s="89"/>
      <c r="G199" s="89"/>
      <c r="H199" s="90"/>
      <c r="I199" s="18"/>
    </row>
    <row r="200">
      <c r="A200" s="91"/>
      <c r="B200" s="59"/>
      <c r="C200" s="59"/>
      <c r="D200" s="25"/>
      <c r="E200" s="25"/>
      <c r="F200" s="92"/>
      <c r="G200" s="92"/>
      <c r="H200" s="93"/>
      <c r="I200" s="25"/>
    </row>
    <row r="201">
      <c r="A201" s="87"/>
      <c r="B201" s="88"/>
      <c r="C201" s="88"/>
      <c r="D201" s="18"/>
      <c r="E201" s="18"/>
      <c r="F201" s="89"/>
      <c r="G201" s="89"/>
      <c r="H201" s="90"/>
      <c r="I201" s="18"/>
    </row>
    <row r="202">
      <c r="A202" s="91"/>
      <c r="B202" s="59"/>
      <c r="C202" s="59"/>
      <c r="D202" s="25"/>
      <c r="E202" s="25"/>
      <c r="F202" s="92"/>
      <c r="G202" s="92"/>
      <c r="H202" s="93"/>
      <c r="I202" s="25"/>
    </row>
    <row r="203">
      <c r="A203" s="87"/>
      <c r="B203" s="88"/>
      <c r="C203" s="88"/>
      <c r="D203" s="18"/>
      <c r="E203" s="18"/>
      <c r="F203" s="89"/>
      <c r="G203" s="89"/>
      <c r="H203" s="90"/>
      <c r="I203" s="18"/>
    </row>
    <row r="204">
      <c r="A204" s="91"/>
      <c r="B204" s="59"/>
      <c r="C204" s="59"/>
      <c r="D204" s="25"/>
      <c r="E204" s="25"/>
      <c r="F204" s="92"/>
      <c r="G204" s="92"/>
      <c r="H204" s="93"/>
      <c r="I204" s="25"/>
    </row>
    <row r="205">
      <c r="A205" s="87"/>
      <c r="B205" s="88"/>
      <c r="C205" s="88"/>
      <c r="D205" s="18"/>
      <c r="E205" s="18"/>
      <c r="F205" s="89"/>
      <c r="G205" s="89"/>
      <c r="H205" s="90"/>
      <c r="I205" s="18"/>
    </row>
    <row r="206">
      <c r="A206" s="91"/>
      <c r="B206" s="59"/>
      <c r="C206" s="59"/>
      <c r="D206" s="25"/>
      <c r="E206" s="25"/>
      <c r="F206" s="92"/>
      <c r="G206" s="92"/>
      <c r="H206" s="93"/>
      <c r="I206" s="25"/>
    </row>
    <row r="207">
      <c r="A207" s="87"/>
      <c r="B207" s="88"/>
      <c r="C207" s="88"/>
      <c r="D207" s="18"/>
      <c r="E207" s="18"/>
      <c r="F207" s="89"/>
      <c r="G207" s="89"/>
      <c r="H207" s="90"/>
      <c r="I207" s="18"/>
    </row>
    <row r="208">
      <c r="A208" s="91"/>
      <c r="B208" s="59"/>
      <c r="C208" s="59"/>
      <c r="D208" s="25"/>
      <c r="E208" s="25"/>
      <c r="F208" s="92"/>
      <c r="G208" s="92"/>
      <c r="H208" s="93"/>
      <c r="I208" s="25"/>
    </row>
    <row r="209">
      <c r="A209" s="87"/>
      <c r="B209" s="88"/>
      <c r="C209" s="88"/>
      <c r="D209" s="18"/>
      <c r="E209" s="18"/>
      <c r="F209" s="89"/>
      <c r="G209" s="89"/>
      <c r="H209" s="90"/>
      <c r="I209" s="18"/>
    </row>
    <row r="210">
      <c r="A210" s="91"/>
      <c r="B210" s="59"/>
      <c r="C210" s="59"/>
      <c r="D210" s="25"/>
      <c r="E210" s="25"/>
      <c r="F210" s="92"/>
      <c r="G210" s="92"/>
      <c r="H210" s="93"/>
      <c r="I210" s="25"/>
    </row>
    <row r="211">
      <c r="A211" s="87"/>
      <c r="B211" s="88"/>
      <c r="C211" s="88"/>
      <c r="D211" s="18"/>
      <c r="E211" s="18"/>
      <c r="F211" s="89"/>
      <c r="G211" s="89"/>
      <c r="H211" s="90"/>
      <c r="I211" s="18"/>
    </row>
    <row r="212">
      <c r="A212" s="91"/>
      <c r="B212" s="59"/>
      <c r="C212" s="59"/>
      <c r="D212" s="25"/>
      <c r="E212" s="25"/>
      <c r="F212" s="92"/>
      <c r="G212" s="92"/>
      <c r="H212" s="93"/>
      <c r="I212" s="25"/>
    </row>
    <row r="213">
      <c r="A213" s="87"/>
      <c r="B213" s="88"/>
      <c r="C213" s="88"/>
      <c r="D213" s="18"/>
      <c r="E213" s="18"/>
      <c r="F213" s="89"/>
      <c r="G213" s="89"/>
      <c r="H213" s="90"/>
      <c r="I213" s="18"/>
    </row>
    <row r="214">
      <c r="A214" s="91"/>
      <c r="B214" s="59"/>
      <c r="C214" s="59"/>
      <c r="D214" s="25"/>
      <c r="E214" s="25"/>
      <c r="F214" s="92"/>
      <c r="G214" s="92"/>
      <c r="H214" s="93"/>
      <c r="I214" s="25"/>
    </row>
    <row r="215">
      <c r="A215" s="87"/>
      <c r="B215" s="88"/>
      <c r="C215" s="88"/>
      <c r="D215" s="18"/>
      <c r="E215" s="18"/>
      <c r="F215" s="89"/>
      <c r="G215" s="89"/>
      <c r="H215" s="90"/>
      <c r="I215" s="18"/>
    </row>
    <row r="216">
      <c r="A216" s="91"/>
      <c r="B216" s="59"/>
      <c r="C216" s="59"/>
      <c r="D216" s="25"/>
      <c r="E216" s="25"/>
      <c r="F216" s="92"/>
      <c r="G216" s="92"/>
      <c r="H216" s="93"/>
      <c r="I216" s="25"/>
    </row>
    <row r="217">
      <c r="A217" s="87"/>
      <c r="B217" s="88"/>
      <c r="C217" s="88"/>
      <c r="D217" s="18"/>
      <c r="E217" s="18"/>
      <c r="F217" s="89"/>
      <c r="G217" s="89"/>
      <c r="H217" s="90"/>
      <c r="I217" s="18"/>
    </row>
    <row r="218">
      <c r="A218" s="91"/>
      <c r="B218" s="59"/>
      <c r="C218" s="59"/>
      <c r="D218" s="25"/>
      <c r="E218" s="25"/>
      <c r="F218" s="92"/>
      <c r="G218" s="92"/>
      <c r="H218" s="93"/>
      <c r="I218" s="25"/>
    </row>
    <row r="219">
      <c r="A219" s="87"/>
      <c r="B219" s="88"/>
      <c r="C219" s="88"/>
      <c r="D219" s="18"/>
      <c r="E219" s="18"/>
      <c r="F219" s="89"/>
      <c r="G219" s="89"/>
      <c r="H219" s="90"/>
      <c r="I219" s="18"/>
    </row>
    <row r="220">
      <c r="A220" s="91"/>
      <c r="B220" s="59"/>
      <c r="C220" s="59"/>
      <c r="D220" s="25"/>
      <c r="E220" s="25"/>
      <c r="F220" s="92"/>
      <c r="G220" s="92"/>
      <c r="H220" s="93"/>
      <c r="I220" s="25"/>
    </row>
    <row r="221">
      <c r="A221" s="87"/>
      <c r="B221" s="88"/>
      <c r="C221" s="88"/>
      <c r="D221" s="18"/>
      <c r="E221" s="18"/>
      <c r="F221" s="89"/>
      <c r="G221" s="89"/>
      <c r="H221" s="90"/>
      <c r="I221" s="18"/>
    </row>
    <row r="222">
      <c r="A222" s="91"/>
      <c r="B222" s="59"/>
      <c r="C222" s="59"/>
      <c r="D222" s="25"/>
      <c r="E222" s="25"/>
      <c r="F222" s="92"/>
      <c r="G222" s="92"/>
      <c r="H222" s="93"/>
      <c r="I222" s="25"/>
    </row>
    <row r="223">
      <c r="A223" s="87"/>
      <c r="B223" s="88"/>
      <c r="C223" s="88"/>
      <c r="D223" s="18"/>
      <c r="E223" s="18"/>
      <c r="F223" s="89"/>
      <c r="G223" s="89"/>
      <c r="H223" s="90"/>
      <c r="I223" s="18"/>
    </row>
    <row r="224">
      <c r="A224" s="91"/>
      <c r="B224" s="59"/>
      <c r="C224" s="59"/>
      <c r="D224" s="25"/>
      <c r="E224" s="25"/>
      <c r="F224" s="92"/>
      <c r="G224" s="92"/>
      <c r="H224" s="93"/>
      <c r="I224" s="25"/>
    </row>
    <row r="225">
      <c r="A225" s="87"/>
      <c r="B225" s="88"/>
      <c r="C225" s="88"/>
      <c r="D225" s="18"/>
      <c r="E225" s="18"/>
      <c r="F225" s="89"/>
      <c r="G225" s="89"/>
      <c r="H225" s="90"/>
      <c r="I225" s="18"/>
    </row>
    <row r="226">
      <c r="A226" s="91"/>
      <c r="B226" s="59"/>
      <c r="C226" s="59"/>
      <c r="D226" s="25"/>
      <c r="E226" s="25"/>
      <c r="F226" s="92"/>
      <c r="G226" s="92"/>
      <c r="H226" s="93"/>
      <c r="I226" s="25"/>
    </row>
    <row r="227">
      <c r="A227" s="87"/>
      <c r="B227" s="88"/>
      <c r="C227" s="88"/>
      <c r="D227" s="18"/>
      <c r="E227" s="18"/>
      <c r="F227" s="89"/>
      <c r="G227" s="89"/>
      <c r="H227" s="90"/>
      <c r="I227" s="18"/>
    </row>
    <row r="228">
      <c r="A228" s="91"/>
      <c r="B228" s="59"/>
      <c r="C228" s="59"/>
      <c r="D228" s="25"/>
      <c r="E228" s="25"/>
      <c r="F228" s="92"/>
      <c r="G228" s="92"/>
      <c r="H228" s="93"/>
      <c r="I228" s="25"/>
    </row>
    <row r="229">
      <c r="A229" s="87"/>
      <c r="B229" s="88"/>
      <c r="C229" s="88"/>
      <c r="D229" s="18"/>
      <c r="E229" s="18"/>
      <c r="F229" s="89"/>
      <c r="G229" s="89"/>
      <c r="H229" s="90"/>
      <c r="I229" s="18"/>
    </row>
    <row r="230">
      <c r="A230" s="91"/>
      <c r="B230" s="59"/>
      <c r="C230" s="59"/>
      <c r="D230" s="25"/>
      <c r="E230" s="25"/>
      <c r="F230" s="92"/>
      <c r="G230" s="92"/>
      <c r="H230" s="93"/>
      <c r="I230" s="25"/>
    </row>
    <row r="231">
      <c r="A231" s="87"/>
      <c r="B231" s="88"/>
      <c r="C231" s="88"/>
      <c r="D231" s="18"/>
      <c r="E231" s="18"/>
      <c r="F231" s="89"/>
      <c r="G231" s="89"/>
      <c r="H231" s="90"/>
      <c r="I231" s="18"/>
    </row>
    <row r="232">
      <c r="A232" s="91"/>
      <c r="B232" s="59"/>
      <c r="C232" s="59"/>
      <c r="D232" s="25"/>
      <c r="E232" s="25"/>
      <c r="F232" s="92"/>
      <c r="G232" s="92"/>
      <c r="H232" s="93"/>
      <c r="I232" s="25"/>
    </row>
    <row r="233">
      <c r="A233" s="87"/>
      <c r="B233" s="88"/>
      <c r="C233" s="88"/>
      <c r="D233" s="18"/>
      <c r="E233" s="18"/>
      <c r="F233" s="89"/>
      <c r="G233" s="89"/>
      <c r="H233" s="90"/>
      <c r="I233" s="18"/>
    </row>
    <row r="234">
      <c r="A234" s="91"/>
      <c r="B234" s="59"/>
      <c r="C234" s="59"/>
      <c r="D234" s="25"/>
      <c r="E234" s="25"/>
      <c r="F234" s="92"/>
      <c r="G234" s="92"/>
      <c r="H234" s="93"/>
      <c r="I234" s="25"/>
    </row>
    <row r="235">
      <c r="A235" s="87"/>
      <c r="B235" s="88"/>
      <c r="C235" s="88"/>
      <c r="D235" s="18"/>
      <c r="E235" s="18"/>
      <c r="F235" s="89"/>
      <c r="G235" s="89"/>
      <c r="H235" s="90"/>
      <c r="I235" s="18"/>
    </row>
    <row r="236">
      <c r="A236" s="91"/>
      <c r="B236" s="59"/>
      <c r="C236" s="59"/>
      <c r="D236" s="25"/>
      <c r="E236" s="25"/>
      <c r="F236" s="92"/>
      <c r="G236" s="92"/>
      <c r="H236" s="93"/>
      <c r="I236" s="25"/>
    </row>
    <row r="237">
      <c r="A237" s="87"/>
      <c r="B237" s="88"/>
      <c r="C237" s="88"/>
      <c r="D237" s="18"/>
      <c r="E237" s="18"/>
      <c r="F237" s="89"/>
      <c r="G237" s="89"/>
      <c r="H237" s="90"/>
      <c r="I237" s="18"/>
    </row>
    <row r="238">
      <c r="A238" s="91"/>
      <c r="B238" s="59"/>
      <c r="C238" s="59"/>
      <c r="D238" s="25"/>
      <c r="E238" s="25"/>
      <c r="F238" s="92"/>
      <c r="G238" s="92"/>
      <c r="H238" s="93"/>
      <c r="I238" s="25"/>
    </row>
    <row r="239">
      <c r="A239" s="87"/>
      <c r="B239" s="88"/>
      <c r="C239" s="88"/>
      <c r="D239" s="18"/>
      <c r="E239" s="18"/>
      <c r="F239" s="89"/>
      <c r="G239" s="89"/>
      <c r="H239" s="90"/>
      <c r="I239" s="18"/>
    </row>
    <row r="240">
      <c r="A240" s="91"/>
      <c r="B240" s="59"/>
      <c r="C240" s="59"/>
      <c r="D240" s="25"/>
      <c r="E240" s="25"/>
      <c r="F240" s="92"/>
      <c r="G240" s="92"/>
      <c r="H240" s="93"/>
      <c r="I240" s="25"/>
    </row>
    <row r="241">
      <c r="A241" s="87"/>
      <c r="B241" s="88"/>
      <c r="C241" s="88"/>
      <c r="D241" s="18"/>
      <c r="E241" s="18"/>
      <c r="F241" s="89"/>
      <c r="G241" s="89"/>
      <c r="H241" s="90"/>
      <c r="I241" s="18"/>
    </row>
    <row r="242">
      <c r="A242" s="91"/>
      <c r="B242" s="59"/>
      <c r="C242" s="59"/>
      <c r="D242" s="25"/>
      <c r="E242" s="25"/>
      <c r="F242" s="92"/>
      <c r="G242" s="92"/>
      <c r="H242" s="93"/>
      <c r="I242" s="25"/>
    </row>
    <row r="243">
      <c r="A243" s="87"/>
      <c r="B243" s="88"/>
      <c r="C243" s="88"/>
      <c r="D243" s="18"/>
      <c r="E243" s="18"/>
      <c r="F243" s="89"/>
      <c r="G243" s="89"/>
      <c r="H243" s="90"/>
      <c r="I243" s="18"/>
    </row>
    <row r="244">
      <c r="A244" s="91"/>
      <c r="B244" s="59"/>
      <c r="C244" s="59"/>
      <c r="D244" s="25"/>
      <c r="E244" s="25"/>
      <c r="F244" s="92"/>
      <c r="G244" s="92"/>
      <c r="H244" s="93"/>
      <c r="I244" s="25"/>
    </row>
    <row r="245">
      <c r="A245" s="87"/>
      <c r="B245" s="88"/>
      <c r="C245" s="88"/>
      <c r="D245" s="18"/>
      <c r="E245" s="18"/>
      <c r="F245" s="89"/>
      <c r="G245" s="89"/>
      <c r="H245" s="90"/>
      <c r="I245" s="18"/>
    </row>
    <row r="246">
      <c r="A246" s="91"/>
      <c r="B246" s="59"/>
      <c r="C246" s="59"/>
      <c r="D246" s="25"/>
      <c r="E246" s="25"/>
      <c r="F246" s="92"/>
      <c r="G246" s="92"/>
      <c r="H246" s="93"/>
      <c r="I246" s="25"/>
    </row>
    <row r="247">
      <c r="A247" s="87"/>
      <c r="B247" s="88"/>
      <c r="C247" s="88"/>
      <c r="D247" s="18"/>
      <c r="E247" s="18"/>
      <c r="F247" s="89"/>
      <c r="G247" s="89"/>
      <c r="H247" s="90"/>
      <c r="I247" s="18"/>
    </row>
    <row r="248">
      <c r="A248" s="91"/>
      <c r="B248" s="59"/>
      <c r="C248" s="59"/>
      <c r="D248" s="25"/>
      <c r="E248" s="25"/>
      <c r="F248" s="92"/>
      <c r="G248" s="92"/>
      <c r="H248" s="93"/>
      <c r="I248" s="25"/>
    </row>
    <row r="249">
      <c r="A249" s="87"/>
      <c r="B249" s="88"/>
      <c r="C249" s="88"/>
      <c r="D249" s="18"/>
      <c r="E249" s="18"/>
      <c r="F249" s="89"/>
      <c r="G249" s="89"/>
      <c r="H249" s="90"/>
      <c r="I249" s="18"/>
    </row>
    <row r="250">
      <c r="A250" s="91"/>
      <c r="B250" s="59"/>
      <c r="C250" s="59"/>
      <c r="D250" s="25"/>
      <c r="E250" s="25"/>
      <c r="F250" s="92"/>
      <c r="G250" s="92"/>
      <c r="H250" s="93"/>
      <c r="I250" s="25"/>
    </row>
    <row r="251">
      <c r="A251" s="87"/>
      <c r="B251" s="88"/>
      <c r="C251" s="88"/>
      <c r="D251" s="18"/>
      <c r="E251" s="18"/>
      <c r="F251" s="89"/>
      <c r="G251" s="89"/>
      <c r="H251" s="90"/>
      <c r="I251" s="18"/>
    </row>
    <row r="252">
      <c r="A252" s="91"/>
      <c r="B252" s="59"/>
      <c r="C252" s="59"/>
      <c r="D252" s="25"/>
      <c r="E252" s="25"/>
      <c r="F252" s="92"/>
      <c r="G252" s="92"/>
      <c r="H252" s="93"/>
      <c r="I252" s="25"/>
    </row>
    <row r="253">
      <c r="A253" s="87"/>
      <c r="B253" s="88"/>
      <c r="C253" s="88"/>
      <c r="D253" s="18"/>
      <c r="E253" s="18"/>
      <c r="F253" s="89"/>
      <c r="G253" s="89"/>
      <c r="H253" s="90"/>
      <c r="I253" s="18"/>
    </row>
    <row r="254">
      <c r="A254" s="91"/>
      <c r="B254" s="59"/>
      <c r="C254" s="59"/>
      <c r="D254" s="25"/>
      <c r="E254" s="25"/>
      <c r="F254" s="92"/>
      <c r="G254" s="92"/>
      <c r="H254" s="93"/>
      <c r="I254" s="25"/>
    </row>
    <row r="255">
      <c r="A255" s="87"/>
      <c r="B255" s="88"/>
      <c r="C255" s="88"/>
      <c r="D255" s="18"/>
      <c r="E255" s="18"/>
      <c r="F255" s="89"/>
      <c r="G255" s="89"/>
      <c r="H255" s="90"/>
      <c r="I255" s="18"/>
    </row>
    <row r="256">
      <c r="A256" s="91"/>
      <c r="B256" s="59"/>
      <c r="C256" s="59"/>
      <c r="D256" s="25"/>
      <c r="E256" s="25"/>
      <c r="F256" s="92"/>
      <c r="G256" s="92"/>
      <c r="H256" s="93"/>
      <c r="I256" s="25"/>
    </row>
    <row r="257">
      <c r="A257" s="87"/>
      <c r="B257" s="88"/>
      <c r="C257" s="88"/>
      <c r="D257" s="18"/>
      <c r="E257" s="18"/>
      <c r="F257" s="89"/>
      <c r="G257" s="89"/>
      <c r="H257" s="90"/>
      <c r="I257" s="18"/>
    </row>
    <row r="258">
      <c r="A258" s="91"/>
      <c r="B258" s="59"/>
      <c r="C258" s="59"/>
      <c r="D258" s="25"/>
      <c r="E258" s="25"/>
      <c r="F258" s="92"/>
      <c r="G258" s="92"/>
      <c r="H258" s="93"/>
      <c r="I258" s="25"/>
    </row>
    <row r="259">
      <c r="A259" s="87"/>
      <c r="B259" s="88"/>
      <c r="C259" s="88"/>
      <c r="D259" s="18"/>
      <c r="E259" s="18"/>
      <c r="F259" s="89"/>
      <c r="G259" s="89"/>
      <c r="H259" s="90"/>
      <c r="I259" s="18"/>
    </row>
    <row r="260">
      <c r="A260" s="91"/>
      <c r="B260" s="59"/>
      <c r="C260" s="59"/>
      <c r="D260" s="25"/>
      <c r="E260" s="25"/>
      <c r="F260" s="92"/>
      <c r="G260" s="92"/>
      <c r="H260" s="93"/>
      <c r="I260" s="25"/>
    </row>
    <row r="261">
      <c r="A261" s="87"/>
      <c r="B261" s="88"/>
      <c r="C261" s="88"/>
      <c r="D261" s="18"/>
      <c r="E261" s="18"/>
      <c r="F261" s="89"/>
      <c r="G261" s="89"/>
      <c r="H261" s="90"/>
      <c r="I261" s="18"/>
    </row>
    <row r="262">
      <c r="A262" s="91"/>
      <c r="B262" s="59"/>
      <c r="C262" s="59"/>
      <c r="D262" s="25"/>
      <c r="E262" s="25"/>
      <c r="F262" s="92"/>
      <c r="G262" s="92"/>
      <c r="H262" s="93"/>
      <c r="I262" s="25"/>
    </row>
    <row r="263">
      <c r="A263" s="87"/>
      <c r="B263" s="88"/>
      <c r="C263" s="88"/>
      <c r="D263" s="18"/>
      <c r="E263" s="18"/>
      <c r="F263" s="89"/>
      <c r="G263" s="89"/>
      <c r="H263" s="90"/>
      <c r="I263" s="18"/>
    </row>
    <row r="264">
      <c r="A264" s="91"/>
      <c r="B264" s="59"/>
      <c r="C264" s="59"/>
      <c r="D264" s="25"/>
      <c r="E264" s="25"/>
      <c r="F264" s="92"/>
      <c r="G264" s="92"/>
      <c r="H264" s="93"/>
      <c r="I264" s="25"/>
    </row>
    <row r="265">
      <c r="A265" s="87"/>
      <c r="B265" s="88"/>
      <c r="C265" s="88"/>
      <c r="D265" s="18"/>
      <c r="E265" s="18"/>
      <c r="F265" s="89"/>
      <c r="G265" s="89"/>
      <c r="H265" s="90"/>
      <c r="I265" s="18"/>
    </row>
    <row r="266">
      <c r="A266" s="91"/>
      <c r="B266" s="59"/>
      <c r="C266" s="59"/>
      <c r="D266" s="25"/>
      <c r="E266" s="25"/>
      <c r="F266" s="92"/>
      <c r="G266" s="92"/>
      <c r="H266" s="93"/>
      <c r="I266" s="25"/>
    </row>
    <row r="267">
      <c r="A267" s="87"/>
      <c r="B267" s="88"/>
      <c r="C267" s="88"/>
      <c r="D267" s="18"/>
      <c r="E267" s="18"/>
      <c r="F267" s="89"/>
      <c r="G267" s="89"/>
      <c r="H267" s="90"/>
      <c r="I267" s="18"/>
    </row>
    <row r="268">
      <c r="A268" s="91"/>
      <c r="B268" s="59"/>
      <c r="C268" s="59"/>
      <c r="D268" s="25"/>
      <c r="E268" s="25"/>
      <c r="F268" s="92"/>
      <c r="G268" s="92"/>
      <c r="H268" s="93"/>
      <c r="I268" s="25"/>
    </row>
    <row r="269">
      <c r="A269" s="87"/>
      <c r="B269" s="88"/>
      <c r="C269" s="88"/>
      <c r="D269" s="18"/>
      <c r="E269" s="18"/>
      <c r="F269" s="89"/>
      <c r="G269" s="89"/>
      <c r="H269" s="90"/>
      <c r="I269" s="18"/>
    </row>
    <row r="270">
      <c r="A270" s="91"/>
      <c r="B270" s="59"/>
      <c r="C270" s="59"/>
      <c r="D270" s="25"/>
      <c r="E270" s="25"/>
      <c r="F270" s="92"/>
      <c r="G270" s="92"/>
      <c r="H270" s="93"/>
      <c r="I270" s="25"/>
    </row>
    <row r="271">
      <c r="A271" s="87"/>
      <c r="B271" s="88"/>
      <c r="C271" s="88"/>
      <c r="D271" s="18"/>
      <c r="E271" s="18"/>
      <c r="F271" s="89"/>
      <c r="G271" s="89"/>
      <c r="H271" s="90"/>
      <c r="I271" s="18"/>
    </row>
    <row r="272">
      <c r="A272" s="91"/>
      <c r="B272" s="59"/>
      <c r="C272" s="59"/>
      <c r="D272" s="25"/>
      <c r="E272" s="25"/>
      <c r="F272" s="92"/>
      <c r="G272" s="92"/>
      <c r="H272" s="93"/>
      <c r="I272" s="25"/>
    </row>
    <row r="273">
      <c r="A273" s="87"/>
      <c r="B273" s="88"/>
      <c r="C273" s="88"/>
      <c r="D273" s="18"/>
      <c r="E273" s="18"/>
      <c r="F273" s="89"/>
      <c r="G273" s="89"/>
      <c r="H273" s="90"/>
      <c r="I273" s="18"/>
    </row>
    <row r="274">
      <c r="A274" s="91"/>
      <c r="B274" s="59"/>
      <c r="C274" s="59"/>
      <c r="D274" s="25"/>
      <c r="E274" s="25"/>
      <c r="F274" s="92"/>
      <c r="G274" s="92"/>
      <c r="H274" s="93"/>
      <c r="I274" s="25"/>
    </row>
    <row r="275">
      <c r="A275" s="87"/>
      <c r="B275" s="88"/>
      <c r="C275" s="88"/>
      <c r="D275" s="18"/>
      <c r="E275" s="18"/>
      <c r="F275" s="89"/>
      <c r="G275" s="89"/>
      <c r="H275" s="90"/>
      <c r="I275" s="18"/>
    </row>
    <row r="276">
      <c r="A276" s="91"/>
      <c r="B276" s="59"/>
      <c r="C276" s="59"/>
      <c r="D276" s="25"/>
      <c r="E276" s="25"/>
      <c r="F276" s="92"/>
      <c r="G276" s="92"/>
      <c r="H276" s="93"/>
      <c r="I276" s="25"/>
    </row>
    <row r="277">
      <c r="A277" s="87"/>
      <c r="B277" s="88"/>
      <c r="C277" s="88"/>
      <c r="D277" s="18"/>
      <c r="E277" s="18"/>
      <c r="F277" s="89"/>
      <c r="G277" s="89"/>
      <c r="H277" s="90"/>
      <c r="I277" s="18"/>
    </row>
    <row r="278">
      <c r="A278" s="91"/>
      <c r="B278" s="59"/>
      <c r="C278" s="59"/>
      <c r="D278" s="25"/>
      <c r="E278" s="25"/>
      <c r="F278" s="92"/>
      <c r="G278" s="92"/>
      <c r="H278" s="93"/>
      <c r="I278" s="25"/>
    </row>
    <row r="279">
      <c r="A279" s="87"/>
      <c r="B279" s="88"/>
      <c r="C279" s="88"/>
      <c r="D279" s="18"/>
      <c r="E279" s="18"/>
      <c r="F279" s="89"/>
      <c r="G279" s="89"/>
      <c r="H279" s="90"/>
      <c r="I279" s="18"/>
    </row>
    <row r="280">
      <c r="A280" s="91"/>
      <c r="B280" s="59"/>
      <c r="C280" s="59"/>
      <c r="D280" s="25"/>
      <c r="E280" s="25"/>
      <c r="F280" s="92"/>
      <c r="G280" s="92"/>
      <c r="H280" s="93"/>
      <c r="I280" s="25"/>
    </row>
    <row r="281">
      <c r="A281" s="87"/>
      <c r="B281" s="88"/>
      <c r="C281" s="88"/>
      <c r="D281" s="18"/>
      <c r="E281" s="18"/>
      <c r="F281" s="89"/>
      <c r="G281" s="89"/>
      <c r="H281" s="90"/>
      <c r="I281" s="18"/>
    </row>
    <row r="282">
      <c r="A282" s="91"/>
      <c r="B282" s="59"/>
      <c r="C282" s="59"/>
      <c r="D282" s="25"/>
      <c r="E282" s="25"/>
      <c r="F282" s="92"/>
      <c r="G282" s="92"/>
      <c r="H282" s="93"/>
      <c r="I282" s="25"/>
    </row>
    <row r="283">
      <c r="A283" s="87"/>
      <c r="B283" s="88"/>
      <c r="C283" s="88"/>
      <c r="D283" s="18"/>
      <c r="E283" s="18"/>
      <c r="F283" s="89"/>
      <c r="G283" s="89"/>
      <c r="H283" s="90"/>
      <c r="I283" s="18"/>
    </row>
    <row r="284">
      <c r="A284" s="91"/>
      <c r="B284" s="59"/>
      <c r="C284" s="59"/>
      <c r="D284" s="25"/>
      <c r="E284" s="25"/>
      <c r="F284" s="92"/>
      <c r="G284" s="92"/>
      <c r="H284" s="93"/>
      <c r="I284" s="25"/>
    </row>
    <row r="285">
      <c r="A285" s="87"/>
      <c r="B285" s="88"/>
      <c r="C285" s="88"/>
      <c r="D285" s="18"/>
      <c r="E285" s="18"/>
      <c r="F285" s="89"/>
      <c r="G285" s="89"/>
      <c r="H285" s="90"/>
      <c r="I285" s="18"/>
    </row>
    <row r="286">
      <c r="A286" s="91"/>
      <c r="B286" s="59"/>
      <c r="C286" s="59"/>
      <c r="D286" s="25"/>
      <c r="E286" s="25"/>
      <c r="F286" s="92"/>
      <c r="G286" s="92"/>
      <c r="H286" s="93"/>
      <c r="I286" s="25"/>
    </row>
    <row r="287">
      <c r="A287" s="87"/>
      <c r="B287" s="88"/>
      <c r="C287" s="88"/>
      <c r="D287" s="18"/>
      <c r="E287" s="18"/>
      <c r="F287" s="89"/>
      <c r="G287" s="89"/>
      <c r="H287" s="90"/>
      <c r="I287" s="18"/>
    </row>
    <row r="288">
      <c r="A288" s="91"/>
      <c r="B288" s="59"/>
      <c r="C288" s="59"/>
      <c r="D288" s="25"/>
      <c r="E288" s="25"/>
      <c r="F288" s="92"/>
      <c r="G288" s="92"/>
      <c r="H288" s="93"/>
      <c r="I288" s="25"/>
    </row>
    <row r="289">
      <c r="A289" s="87"/>
      <c r="B289" s="88"/>
      <c r="C289" s="88"/>
      <c r="D289" s="18"/>
      <c r="E289" s="18"/>
      <c r="F289" s="89"/>
      <c r="G289" s="89"/>
      <c r="H289" s="90"/>
      <c r="I289" s="18"/>
    </row>
    <row r="290">
      <c r="A290" s="91"/>
      <c r="B290" s="59"/>
      <c r="C290" s="59"/>
      <c r="D290" s="25"/>
      <c r="E290" s="25"/>
      <c r="F290" s="92"/>
      <c r="G290" s="92"/>
      <c r="H290" s="93"/>
      <c r="I290" s="25"/>
    </row>
    <row r="291">
      <c r="A291" s="87"/>
      <c r="B291" s="88"/>
      <c r="C291" s="88"/>
      <c r="D291" s="18"/>
      <c r="E291" s="18"/>
      <c r="F291" s="89"/>
      <c r="G291" s="89"/>
      <c r="H291" s="90"/>
      <c r="I291" s="18"/>
    </row>
    <row r="292">
      <c r="A292" s="91"/>
      <c r="B292" s="59"/>
      <c r="C292" s="59"/>
      <c r="D292" s="25"/>
      <c r="E292" s="25"/>
      <c r="F292" s="92"/>
      <c r="G292" s="92"/>
      <c r="H292" s="93"/>
      <c r="I292" s="25"/>
    </row>
    <row r="293">
      <c r="A293" s="87"/>
      <c r="B293" s="88"/>
      <c r="C293" s="88"/>
      <c r="D293" s="18"/>
      <c r="E293" s="18"/>
      <c r="F293" s="89"/>
      <c r="G293" s="89"/>
      <c r="H293" s="90"/>
      <c r="I293" s="18"/>
    </row>
    <row r="294">
      <c r="A294" s="91"/>
      <c r="B294" s="59"/>
      <c r="C294" s="59"/>
      <c r="D294" s="25"/>
      <c r="E294" s="25"/>
      <c r="F294" s="92"/>
      <c r="G294" s="92"/>
      <c r="H294" s="93"/>
      <c r="I294" s="25"/>
    </row>
    <row r="295">
      <c r="A295" s="87"/>
      <c r="B295" s="88"/>
      <c r="C295" s="88"/>
      <c r="D295" s="18"/>
      <c r="E295" s="18"/>
      <c r="F295" s="89"/>
      <c r="G295" s="89"/>
      <c r="H295" s="90"/>
      <c r="I295" s="18"/>
    </row>
    <row r="296">
      <c r="A296" s="91"/>
      <c r="B296" s="59"/>
      <c r="C296" s="59"/>
      <c r="D296" s="25"/>
      <c r="E296" s="25"/>
      <c r="F296" s="92"/>
      <c r="G296" s="92"/>
      <c r="H296" s="93"/>
      <c r="I296" s="25"/>
    </row>
    <row r="297">
      <c r="A297" s="87"/>
      <c r="B297" s="88"/>
      <c r="C297" s="88"/>
      <c r="D297" s="18"/>
      <c r="E297" s="18"/>
      <c r="F297" s="89"/>
      <c r="G297" s="89"/>
      <c r="H297" s="90"/>
      <c r="I297" s="18"/>
    </row>
    <row r="298">
      <c r="A298" s="91"/>
      <c r="B298" s="59"/>
      <c r="C298" s="59"/>
      <c r="D298" s="25"/>
      <c r="E298" s="25"/>
      <c r="F298" s="92"/>
      <c r="G298" s="92"/>
      <c r="H298" s="93"/>
      <c r="I298" s="25"/>
    </row>
    <row r="299">
      <c r="A299" s="87"/>
      <c r="B299" s="88"/>
      <c r="C299" s="88"/>
      <c r="D299" s="18"/>
      <c r="E299" s="18"/>
      <c r="F299" s="89"/>
      <c r="G299" s="89"/>
      <c r="H299" s="90"/>
      <c r="I299" s="18"/>
    </row>
    <row r="300">
      <c r="A300" s="91"/>
      <c r="B300" s="59"/>
      <c r="C300" s="59"/>
      <c r="D300" s="25"/>
      <c r="E300" s="25"/>
      <c r="F300" s="92"/>
      <c r="G300" s="92"/>
      <c r="H300" s="93"/>
      <c r="I300" s="25"/>
    </row>
    <row r="301">
      <c r="A301" s="87"/>
      <c r="B301" s="88"/>
      <c r="C301" s="88"/>
      <c r="D301" s="18"/>
      <c r="E301" s="18"/>
      <c r="F301" s="89"/>
      <c r="G301" s="89"/>
      <c r="H301" s="90"/>
      <c r="I301" s="18"/>
    </row>
    <row r="302">
      <c r="A302" s="91"/>
      <c r="B302" s="59"/>
      <c r="C302" s="59"/>
      <c r="D302" s="25"/>
      <c r="E302" s="25"/>
      <c r="F302" s="92"/>
      <c r="G302" s="92"/>
      <c r="H302" s="93"/>
      <c r="I302" s="25"/>
    </row>
    <row r="303">
      <c r="A303" s="87"/>
      <c r="B303" s="88"/>
      <c r="C303" s="88"/>
      <c r="D303" s="18"/>
      <c r="E303" s="18"/>
      <c r="F303" s="89"/>
      <c r="G303" s="89"/>
      <c r="H303" s="90"/>
      <c r="I303" s="18"/>
    </row>
    <row r="304">
      <c r="A304" s="91"/>
      <c r="B304" s="59"/>
      <c r="C304" s="59"/>
      <c r="D304" s="25"/>
      <c r="E304" s="25"/>
      <c r="F304" s="92"/>
      <c r="G304" s="92"/>
      <c r="H304" s="93"/>
      <c r="I304" s="25"/>
    </row>
    <row r="305">
      <c r="A305" s="87"/>
      <c r="B305" s="88"/>
      <c r="C305" s="88"/>
      <c r="D305" s="18"/>
      <c r="E305" s="18"/>
      <c r="F305" s="89"/>
      <c r="G305" s="89"/>
      <c r="H305" s="90"/>
      <c r="I305" s="18"/>
    </row>
    <row r="306">
      <c r="A306" s="91"/>
      <c r="B306" s="59"/>
      <c r="C306" s="59"/>
      <c r="D306" s="25"/>
      <c r="E306" s="25"/>
      <c r="F306" s="92"/>
      <c r="G306" s="92"/>
      <c r="H306" s="93"/>
      <c r="I306" s="25"/>
    </row>
    <row r="307">
      <c r="A307" s="87"/>
      <c r="B307" s="88"/>
      <c r="C307" s="88"/>
      <c r="D307" s="18"/>
      <c r="E307" s="18"/>
      <c r="F307" s="89"/>
      <c r="G307" s="89"/>
      <c r="H307" s="90"/>
      <c r="I307" s="18"/>
    </row>
    <row r="308">
      <c r="A308" s="91"/>
      <c r="B308" s="59"/>
      <c r="C308" s="59"/>
      <c r="D308" s="25"/>
      <c r="E308" s="25"/>
      <c r="F308" s="92"/>
      <c r="G308" s="92"/>
      <c r="H308" s="93"/>
      <c r="I308" s="25"/>
    </row>
    <row r="309">
      <c r="A309" s="87"/>
      <c r="B309" s="88"/>
      <c r="C309" s="88"/>
      <c r="D309" s="18"/>
      <c r="E309" s="18"/>
      <c r="F309" s="89"/>
      <c r="G309" s="89"/>
      <c r="H309" s="90"/>
      <c r="I309" s="18"/>
    </row>
    <row r="310">
      <c r="A310" s="91"/>
      <c r="B310" s="59"/>
      <c r="C310" s="59"/>
      <c r="D310" s="25"/>
      <c r="E310" s="25"/>
      <c r="F310" s="92"/>
      <c r="G310" s="92"/>
      <c r="H310" s="93"/>
      <c r="I310" s="25"/>
    </row>
    <row r="311">
      <c r="A311" s="87"/>
      <c r="B311" s="88"/>
      <c r="C311" s="88"/>
      <c r="D311" s="18"/>
      <c r="E311" s="18"/>
      <c r="F311" s="89"/>
      <c r="G311" s="89"/>
      <c r="H311" s="90"/>
      <c r="I311" s="18"/>
    </row>
    <row r="312">
      <c r="A312" s="91"/>
      <c r="B312" s="59"/>
      <c r="C312" s="59"/>
      <c r="D312" s="25"/>
      <c r="E312" s="25"/>
      <c r="F312" s="92"/>
      <c r="G312" s="92"/>
      <c r="H312" s="93"/>
      <c r="I312" s="25"/>
    </row>
    <row r="313">
      <c r="A313" s="87"/>
      <c r="B313" s="88"/>
      <c r="C313" s="88"/>
      <c r="D313" s="18"/>
      <c r="E313" s="18"/>
      <c r="F313" s="89"/>
      <c r="G313" s="89"/>
      <c r="H313" s="90"/>
      <c r="I313" s="18"/>
    </row>
    <row r="314">
      <c r="A314" s="91"/>
      <c r="B314" s="59"/>
      <c r="C314" s="59"/>
      <c r="D314" s="25"/>
      <c r="E314" s="25"/>
      <c r="F314" s="92"/>
      <c r="G314" s="92"/>
      <c r="H314" s="93"/>
      <c r="I314" s="25"/>
    </row>
    <row r="315">
      <c r="A315" s="87"/>
      <c r="B315" s="88"/>
      <c r="C315" s="88"/>
      <c r="D315" s="18"/>
      <c r="E315" s="18"/>
      <c r="F315" s="89"/>
      <c r="G315" s="89"/>
      <c r="H315" s="90"/>
      <c r="I315" s="18"/>
    </row>
    <row r="316">
      <c r="A316" s="91"/>
      <c r="B316" s="59"/>
      <c r="C316" s="59"/>
      <c r="D316" s="25"/>
      <c r="E316" s="25"/>
      <c r="F316" s="92"/>
      <c r="G316" s="92"/>
      <c r="H316" s="93"/>
      <c r="I316" s="25"/>
    </row>
    <row r="317">
      <c r="A317" s="87"/>
      <c r="B317" s="88"/>
      <c r="C317" s="88"/>
      <c r="D317" s="18"/>
      <c r="E317" s="18"/>
      <c r="F317" s="89"/>
      <c r="G317" s="89"/>
      <c r="H317" s="90"/>
      <c r="I317" s="18"/>
    </row>
    <row r="318">
      <c r="A318" s="91"/>
      <c r="B318" s="59"/>
      <c r="C318" s="59"/>
      <c r="D318" s="25"/>
      <c r="E318" s="25"/>
      <c r="F318" s="92"/>
      <c r="G318" s="92"/>
      <c r="H318" s="93"/>
      <c r="I318" s="25"/>
    </row>
    <row r="319">
      <c r="A319" s="87"/>
      <c r="B319" s="88"/>
      <c r="C319" s="88"/>
      <c r="D319" s="18"/>
      <c r="E319" s="18"/>
      <c r="F319" s="89"/>
      <c r="G319" s="89"/>
      <c r="H319" s="90"/>
      <c r="I319" s="18"/>
    </row>
    <row r="320">
      <c r="A320" s="91"/>
      <c r="B320" s="59"/>
      <c r="C320" s="59"/>
      <c r="D320" s="25"/>
      <c r="E320" s="25"/>
      <c r="F320" s="92"/>
      <c r="G320" s="92"/>
      <c r="H320" s="93"/>
      <c r="I320" s="25"/>
    </row>
    <row r="321">
      <c r="A321" s="87"/>
      <c r="B321" s="88"/>
      <c r="C321" s="88"/>
      <c r="D321" s="18"/>
      <c r="E321" s="18"/>
      <c r="F321" s="89"/>
      <c r="G321" s="89"/>
      <c r="H321" s="90"/>
      <c r="I321" s="18"/>
    </row>
    <row r="322">
      <c r="A322" s="91"/>
      <c r="B322" s="59"/>
      <c r="C322" s="59"/>
      <c r="D322" s="25"/>
      <c r="E322" s="25"/>
      <c r="F322" s="92"/>
      <c r="G322" s="92"/>
      <c r="H322" s="93"/>
      <c r="I322" s="25"/>
    </row>
    <row r="323">
      <c r="A323" s="87"/>
      <c r="B323" s="88"/>
      <c r="C323" s="88"/>
      <c r="D323" s="18"/>
      <c r="E323" s="18"/>
      <c r="F323" s="89"/>
      <c r="G323" s="89"/>
      <c r="H323" s="90"/>
      <c r="I323" s="18"/>
    </row>
    <row r="324">
      <c r="A324" s="91"/>
      <c r="B324" s="59"/>
      <c r="C324" s="59"/>
      <c r="D324" s="25"/>
      <c r="E324" s="25"/>
      <c r="F324" s="92"/>
      <c r="G324" s="92"/>
      <c r="H324" s="93"/>
      <c r="I324" s="25"/>
    </row>
    <row r="325">
      <c r="A325" s="87"/>
      <c r="B325" s="88"/>
      <c r="C325" s="88"/>
      <c r="D325" s="18"/>
      <c r="E325" s="18"/>
      <c r="F325" s="89"/>
      <c r="G325" s="89"/>
      <c r="H325" s="90"/>
      <c r="I325" s="18"/>
    </row>
    <row r="326">
      <c r="A326" s="91"/>
      <c r="B326" s="59"/>
      <c r="C326" s="59"/>
      <c r="D326" s="25"/>
      <c r="E326" s="25"/>
      <c r="F326" s="92"/>
      <c r="G326" s="92"/>
      <c r="H326" s="93"/>
      <c r="I326" s="25"/>
    </row>
    <row r="327">
      <c r="A327" s="87"/>
      <c r="B327" s="88"/>
      <c r="C327" s="88"/>
      <c r="D327" s="18"/>
      <c r="E327" s="18"/>
      <c r="F327" s="89"/>
      <c r="G327" s="89"/>
      <c r="H327" s="90"/>
      <c r="I327" s="18"/>
    </row>
    <row r="328">
      <c r="A328" s="91"/>
      <c r="B328" s="59"/>
      <c r="C328" s="59"/>
      <c r="D328" s="25"/>
      <c r="E328" s="25"/>
      <c r="F328" s="92"/>
      <c r="G328" s="92"/>
      <c r="H328" s="93"/>
      <c r="I328" s="25"/>
    </row>
    <row r="329">
      <c r="A329" s="87"/>
      <c r="B329" s="88"/>
      <c r="C329" s="88"/>
      <c r="D329" s="18"/>
      <c r="E329" s="18"/>
      <c r="F329" s="89"/>
      <c r="G329" s="89"/>
      <c r="H329" s="90"/>
      <c r="I329" s="18"/>
    </row>
    <row r="330">
      <c r="A330" s="91"/>
      <c r="B330" s="59"/>
      <c r="C330" s="59"/>
      <c r="D330" s="25"/>
      <c r="E330" s="25"/>
      <c r="F330" s="92"/>
      <c r="G330" s="92"/>
      <c r="H330" s="93"/>
      <c r="I330" s="25"/>
    </row>
    <row r="331">
      <c r="A331" s="87"/>
      <c r="B331" s="88"/>
      <c r="C331" s="88"/>
      <c r="D331" s="18"/>
      <c r="E331" s="18"/>
      <c r="F331" s="89"/>
      <c r="G331" s="89"/>
      <c r="H331" s="90"/>
      <c r="I331" s="18"/>
    </row>
    <row r="332">
      <c r="A332" s="91"/>
      <c r="B332" s="59"/>
      <c r="C332" s="59"/>
      <c r="D332" s="25"/>
      <c r="E332" s="25"/>
      <c r="F332" s="92"/>
      <c r="G332" s="92"/>
      <c r="H332" s="93"/>
      <c r="I332" s="25"/>
    </row>
    <row r="333">
      <c r="A333" s="87"/>
      <c r="B333" s="88"/>
      <c r="C333" s="88"/>
      <c r="D333" s="18"/>
      <c r="E333" s="18"/>
      <c r="F333" s="89"/>
      <c r="G333" s="89"/>
      <c r="H333" s="90"/>
      <c r="I333" s="18"/>
    </row>
    <row r="334">
      <c r="A334" s="91"/>
      <c r="B334" s="59"/>
      <c r="C334" s="59"/>
      <c r="D334" s="25"/>
      <c r="E334" s="25"/>
      <c r="F334" s="92"/>
      <c r="G334" s="92"/>
      <c r="H334" s="93"/>
      <c r="I334" s="25"/>
    </row>
    <row r="335">
      <c r="A335" s="87"/>
      <c r="B335" s="88"/>
      <c r="C335" s="88"/>
      <c r="D335" s="18"/>
      <c r="E335" s="18"/>
      <c r="F335" s="89"/>
      <c r="G335" s="89"/>
      <c r="H335" s="90"/>
      <c r="I335" s="18"/>
    </row>
    <row r="336">
      <c r="A336" s="91"/>
      <c r="B336" s="59"/>
      <c r="C336" s="59"/>
      <c r="D336" s="25"/>
      <c r="E336" s="25"/>
      <c r="F336" s="92"/>
      <c r="G336" s="92"/>
      <c r="H336" s="93"/>
      <c r="I336" s="25"/>
    </row>
    <row r="337">
      <c r="A337" s="87"/>
      <c r="B337" s="88"/>
      <c r="C337" s="88"/>
      <c r="D337" s="18"/>
      <c r="E337" s="18"/>
      <c r="F337" s="89"/>
      <c r="G337" s="89"/>
      <c r="H337" s="90"/>
      <c r="I337" s="18"/>
    </row>
    <row r="338">
      <c r="A338" s="91"/>
      <c r="B338" s="59"/>
      <c r="C338" s="59"/>
      <c r="D338" s="25"/>
      <c r="E338" s="25"/>
      <c r="F338" s="92"/>
      <c r="G338" s="92"/>
      <c r="H338" s="93"/>
      <c r="I338" s="25"/>
    </row>
    <row r="339">
      <c r="A339" s="87"/>
      <c r="B339" s="88"/>
      <c r="C339" s="88"/>
      <c r="D339" s="18"/>
      <c r="E339" s="18"/>
      <c r="F339" s="89"/>
      <c r="G339" s="89"/>
      <c r="H339" s="90"/>
      <c r="I339" s="18"/>
    </row>
    <row r="340">
      <c r="A340" s="91"/>
      <c r="B340" s="59"/>
      <c r="C340" s="59"/>
      <c r="D340" s="25"/>
      <c r="E340" s="25"/>
      <c r="F340" s="92"/>
      <c r="G340" s="92"/>
      <c r="H340" s="93"/>
      <c r="I340" s="25"/>
    </row>
    <row r="341">
      <c r="A341" s="87"/>
      <c r="B341" s="88"/>
      <c r="C341" s="88"/>
      <c r="D341" s="18"/>
      <c r="E341" s="18"/>
      <c r="F341" s="89"/>
      <c r="G341" s="89"/>
      <c r="H341" s="90"/>
      <c r="I341" s="18"/>
    </row>
    <row r="342">
      <c r="A342" s="91"/>
      <c r="B342" s="59"/>
      <c r="C342" s="59"/>
      <c r="D342" s="25"/>
      <c r="E342" s="25"/>
      <c r="F342" s="92"/>
      <c r="G342" s="92"/>
      <c r="H342" s="93"/>
      <c r="I342" s="25"/>
    </row>
    <row r="343">
      <c r="A343" s="87"/>
      <c r="B343" s="88"/>
      <c r="C343" s="88"/>
      <c r="D343" s="18"/>
      <c r="E343" s="18"/>
      <c r="F343" s="89"/>
      <c r="G343" s="89"/>
      <c r="H343" s="90"/>
      <c r="I343" s="18"/>
    </row>
    <row r="344">
      <c r="A344" s="91"/>
      <c r="B344" s="59"/>
      <c r="C344" s="59"/>
      <c r="D344" s="25"/>
      <c r="E344" s="25"/>
      <c r="F344" s="92"/>
      <c r="G344" s="92"/>
      <c r="H344" s="93"/>
      <c r="I344" s="25"/>
    </row>
    <row r="345">
      <c r="A345" s="87"/>
      <c r="B345" s="88"/>
      <c r="C345" s="88"/>
      <c r="D345" s="18"/>
      <c r="E345" s="18"/>
      <c r="F345" s="89"/>
      <c r="G345" s="89"/>
      <c r="H345" s="90"/>
      <c r="I345" s="18"/>
    </row>
    <row r="346">
      <c r="A346" s="91"/>
      <c r="B346" s="59"/>
      <c r="C346" s="59"/>
      <c r="D346" s="25"/>
      <c r="E346" s="25"/>
      <c r="F346" s="92"/>
      <c r="G346" s="92"/>
      <c r="H346" s="93"/>
      <c r="I346" s="25"/>
    </row>
    <row r="347">
      <c r="A347" s="87"/>
      <c r="B347" s="88"/>
      <c r="C347" s="88"/>
      <c r="D347" s="18"/>
      <c r="E347" s="18"/>
      <c r="F347" s="89"/>
      <c r="G347" s="89"/>
      <c r="H347" s="90"/>
      <c r="I347" s="18"/>
    </row>
    <row r="348">
      <c r="A348" s="91"/>
      <c r="B348" s="59"/>
      <c r="C348" s="59"/>
      <c r="D348" s="25"/>
      <c r="E348" s="25"/>
      <c r="F348" s="92"/>
      <c r="G348" s="92"/>
      <c r="H348" s="93"/>
      <c r="I348" s="25"/>
    </row>
    <row r="349">
      <c r="A349" s="87"/>
      <c r="B349" s="88"/>
      <c r="C349" s="88"/>
      <c r="D349" s="18"/>
      <c r="E349" s="18"/>
      <c r="F349" s="89"/>
      <c r="G349" s="89"/>
      <c r="H349" s="90"/>
      <c r="I349" s="18"/>
    </row>
    <row r="350">
      <c r="A350" s="91"/>
      <c r="B350" s="59"/>
      <c r="C350" s="59"/>
      <c r="D350" s="25"/>
      <c r="E350" s="25"/>
      <c r="F350" s="92"/>
      <c r="G350" s="92"/>
      <c r="H350" s="93"/>
      <c r="I350" s="25"/>
    </row>
    <row r="351">
      <c r="A351" s="87"/>
      <c r="B351" s="88"/>
      <c r="C351" s="88"/>
      <c r="D351" s="18"/>
      <c r="E351" s="18"/>
      <c r="F351" s="89"/>
      <c r="G351" s="89"/>
      <c r="H351" s="90"/>
      <c r="I351" s="18"/>
    </row>
    <row r="352">
      <c r="A352" s="91"/>
      <c r="B352" s="59"/>
      <c r="C352" s="59"/>
      <c r="D352" s="25"/>
      <c r="E352" s="25"/>
      <c r="F352" s="92"/>
      <c r="G352" s="92"/>
      <c r="H352" s="93"/>
      <c r="I352" s="25"/>
    </row>
    <row r="353">
      <c r="A353" s="87"/>
      <c r="B353" s="88"/>
      <c r="C353" s="88"/>
      <c r="D353" s="18"/>
      <c r="E353" s="18"/>
      <c r="F353" s="89"/>
      <c r="G353" s="89"/>
      <c r="H353" s="90"/>
      <c r="I353" s="18"/>
    </row>
    <row r="354">
      <c r="A354" s="91"/>
      <c r="B354" s="59"/>
      <c r="C354" s="59"/>
      <c r="D354" s="25"/>
      <c r="E354" s="25"/>
      <c r="F354" s="92"/>
      <c r="G354" s="92"/>
      <c r="H354" s="93"/>
      <c r="I354" s="25"/>
    </row>
    <row r="355">
      <c r="A355" s="87"/>
      <c r="B355" s="88"/>
      <c r="C355" s="88"/>
      <c r="D355" s="18"/>
      <c r="E355" s="18"/>
      <c r="F355" s="89"/>
      <c r="G355" s="89"/>
      <c r="H355" s="90"/>
      <c r="I355" s="18"/>
    </row>
    <row r="356">
      <c r="A356" s="91"/>
      <c r="B356" s="59"/>
      <c r="C356" s="59"/>
      <c r="D356" s="25"/>
      <c r="E356" s="25"/>
      <c r="F356" s="92"/>
      <c r="G356" s="92"/>
      <c r="H356" s="93"/>
      <c r="I356" s="25"/>
    </row>
    <row r="357">
      <c r="A357" s="87"/>
      <c r="B357" s="88"/>
      <c r="C357" s="88"/>
      <c r="D357" s="18"/>
      <c r="E357" s="18"/>
      <c r="F357" s="89"/>
      <c r="G357" s="89"/>
      <c r="H357" s="90"/>
      <c r="I357" s="18"/>
    </row>
    <row r="358">
      <c r="A358" s="91"/>
      <c r="B358" s="59"/>
      <c r="C358" s="59"/>
      <c r="D358" s="25"/>
      <c r="E358" s="25"/>
      <c r="F358" s="92"/>
      <c r="G358" s="92"/>
      <c r="H358" s="93"/>
      <c r="I358" s="25"/>
    </row>
    <row r="359">
      <c r="A359" s="87"/>
      <c r="B359" s="88"/>
      <c r="C359" s="88"/>
      <c r="D359" s="18"/>
      <c r="E359" s="18"/>
      <c r="F359" s="89"/>
      <c r="G359" s="89"/>
      <c r="H359" s="90"/>
      <c r="I359" s="18"/>
    </row>
    <row r="360">
      <c r="A360" s="91"/>
      <c r="B360" s="59"/>
      <c r="C360" s="59"/>
      <c r="D360" s="25"/>
      <c r="E360" s="25"/>
      <c r="F360" s="92"/>
      <c r="G360" s="92"/>
      <c r="H360" s="93"/>
      <c r="I360" s="25"/>
    </row>
    <row r="361">
      <c r="A361" s="87"/>
      <c r="B361" s="88"/>
      <c r="C361" s="88"/>
      <c r="D361" s="18"/>
      <c r="E361" s="18"/>
      <c r="F361" s="89"/>
      <c r="G361" s="89"/>
      <c r="H361" s="90"/>
      <c r="I361" s="18"/>
    </row>
    <row r="362">
      <c r="A362" s="91"/>
      <c r="B362" s="59"/>
      <c r="C362" s="59"/>
      <c r="D362" s="25"/>
      <c r="E362" s="25"/>
      <c r="F362" s="92"/>
      <c r="G362" s="92"/>
      <c r="H362" s="93"/>
      <c r="I362" s="25"/>
    </row>
    <row r="363">
      <c r="A363" s="87"/>
      <c r="B363" s="88"/>
      <c r="C363" s="88"/>
      <c r="D363" s="18"/>
      <c r="E363" s="18"/>
      <c r="F363" s="89"/>
      <c r="G363" s="89"/>
      <c r="H363" s="90"/>
      <c r="I363" s="18"/>
    </row>
    <row r="364">
      <c r="A364" s="91"/>
      <c r="B364" s="59"/>
      <c r="C364" s="59"/>
      <c r="D364" s="25"/>
      <c r="E364" s="25"/>
      <c r="F364" s="92"/>
      <c r="G364" s="92"/>
      <c r="H364" s="93"/>
      <c r="I364" s="25"/>
    </row>
    <row r="365">
      <c r="A365" s="87"/>
      <c r="B365" s="88"/>
      <c r="C365" s="88"/>
      <c r="D365" s="18"/>
      <c r="E365" s="18"/>
      <c r="F365" s="89"/>
      <c r="G365" s="89"/>
      <c r="H365" s="90"/>
      <c r="I365" s="18"/>
    </row>
    <row r="366">
      <c r="A366" s="91"/>
      <c r="B366" s="59"/>
      <c r="C366" s="59"/>
      <c r="D366" s="25"/>
      <c r="E366" s="25"/>
      <c r="F366" s="92"/>
      <c r="G366" s="92"/>
      <c r="H366" s="93"/>
      <c r="I366" s="25"/>
    </row>
    <row r="367">
      <c r="A367" s="87"/>
      <c r="B367" s="88"/>
      <c r="C367" s="88"/>
      <c r="D367" s="18"/>
      <c r="E367" s="18"/>
      <c r="F367" s="89"/>
      <c r="G367" s="89"/>
      <c r="H367" s="90"/>
      <c r="I367" s="18"/>
    </row>
    <row r="368">
      <c r="A368" s="91"/>
      <c r="B368" s="59"/>
      <c r="C368" s="59"/>
      <c r="D368" s="25"/>
      <c r="E368" s="25"/>
      <c r="F368" s="92"/>
      <c r="G368" s="92"/>
      <c r="H368" s="93"/>
      <c r="I368" s="25"/>
    </row>
    <row r="369">
      <c r="A369" s="87"/>
      <c r="B369" s="88"/>
      <c r="C369" s="88"/>
      <c r="D369" s="18"/>
      <c r="E369" s="18"/>
      <c r="F369" s="89"/>
      <c r="G369" s="89"/>
      <c r="H369" s="90"/>
      <c r="I369" s="18"/>
    </row>
    <row r="370">
      <c r="A370" s="91"/>
      <c r="B370" s="59"/>
      <c r="C370" s="59"/>
      <c r="D370" s="25"/>
      <c r="E370" s="25"/>
      <c r="F370" s="92"/>
      <c r="G370" s="92"/>
      <c r="H370" s="93"/>
      <c r="I370" s="25"/>
    </row>
    <row r="371">
      <c r="A371" s="87"/>
      <c r="B371" s="88"/>
      <c r="C371" s="88"/>
      <c r="D371" s="18"/>
      <c r="E371" s="18"/>
      <c r="F371" s="89"/>
      <c r="G371" s="89"/>
      <c r="H371" s="90"/>
      <c r="I371" s="18"/>
    </row>
    <row r="372">
      <c r="A372" s="91"/>
      <c r="B372" s="59"/>
      <c r="C372" s="59"/>
      <c r="D372" s="25"/>
      <c r="E372" s="25"/>
      <c r="F372" s="92"/>
      <c r="G372" s="92"/>
      <c r="H372" s="93"/>
      <c r="I372" s="25"/>
    </row>
    <row r="373">
      <c r="A373" s="87"/>
      <c r="B373" s="88"/>
      <c r="C373" s="88"/>
      <c r="D373" s="18"/>
      <c r="E373" s="18"/>
      <c r="F373" s="89"/>
      <c r="G373" s="89"/>
      <c r="H373" s="90"/>
      <c r="I373" s="18"/>
    </row>
    <row r="374">
      <c r="A374" s="91"/>
      <c r="B374" s="59"/>
      <c r="C374" s="59"/>
      <c r="D374" s="25"/>
      <c r="E374" s="25"/>
      <c r="F374" s="92"/>
      <c r="G374" s="92"/>
      <c r="H374" s="93"/>
      <c r="I374" s="25"/>
    </row>
    <row r="375">
      <c r="A375" s="87"/>
      <c r="B375" s="88"/>
      <c r="C375" s="88"/>
      <c r="D375" s="18"/>
      <c r="E375" s="18"/>
      <c r="F375" s="89"/>
      <c r="G375" s="89"/>
      <c r="H375" s="90"/>
      <c r="I375" s="18"/>
    </row>
    <row r="376">
      <c r="A376" s="91"/>
      <c r="B376" s="59"/>
      <c r="C376" s="59"/>
      <c r="D376" s="25"/>
      <c r="E376" s="25"/>
      <c r="F376" s="92"/>
      <c r="G376" s="92"/>
      <c r="H376" s="93"/>
      <c r="I376" s="25"/>
    </row>
    <row r="377">
      <c r="A377" s="87"/>
      <c r="B377" s="88"/>
      <c r="C377" s="88"/>
      <c r="D377" s="18"/>
      <c r="E377" s="18"/>
      <c r="F377" s="89"/>
      <c r="G377" s="89"/>
      <c r="H377" s="90"/>
      <c r="I377" s="18"/>
    </row>
    <row r="378">
      <c r="A378" s="91"/>
      <c r="B378" s="59"/>
      <c r="C378" s="59"/>
      <c r="D378" s="25"/>
      <c r="E378" s="25"/>
      <c r="F378" s="92"/>
      <c r="G378" s="92"/>
      <c r="H378" s="93"/>
      <c r="I378" s="25"/>
    </row>
    <row r="379">
      <c r="A379" s="87"/>
      <c r="B379" s="88"/>
      <c r="C379" s="88"/>
      <c r="D379" s="18"/>
      <c r="E379" s="18"/>
      <c r="F379" s="89"/>
      <c r="G379" s="89"/>
      <c r="H379" s="90"/>
      <c r="I379" s="18"/>
    </row>
    <row r="380">
      <c r="A380" s="91"/>
      <c r="B380" s="59"/>
      <c r="C380" s="59"/>
      <c r="D380" s="25"/>
      <c r="E380" s="25"/>
      <c r="F380" s="92"/>
      <c r="G380" s="92"/>
      <c r="H380" s="93"/>
      <c r="I380" s="25"/>
    </row>
    <row r="381">
      <c r="A381" s="87"/>
      <c r="B381" s="88"/>
      <c r="C381" s="88"/>
      <c r="D381" s="18"/>
      <c r="E381" s="18"/>
      <c r="F381" s="89"/>
      <c r="G381" s="89"/>
      <c r="H381" s="90"/>
      <c r="I381" s="18"/>
    </row>
    <row r="382">
      <c r="A382" s="91"/>
      <c r="B382" s="59"/>
      <c r="C382" s="59"/>
      <c r="D382" s="25"/>
      <c r="E382" s="25"/>
      <c r="F382" s="92"/>
      <c r="G382" s="92"/>
      <c r="H382" s="93"/>
      <c r="I382" s="25"/>
    </row>
    <row r="383">
      <c r="A383" s="87"/>
      <c r="B383" s="88"/>
      <c r="C383" s="88"/>
      <c r="D383" s="18"/>
      <c r="E383" s="18"/>
      <c r="F383" s="89"/>
      <c r="G383" s="89"/>
      <c r="H383" s="90"/>
      <c r="I383" s="18"/>
    </row>
    <row r="384">
      <c r="A384" s="91"/>
      <c r="B384" s="59"/>
      <c r="C384" s="59"/>
      <c r="D384" s="25"/>
      <c r="E384" s="25"/>
      <c r="F384" s="92"/>
      <c r="G384" s="92"/>
      <c r="H384" s="93"/>
      <c r="I384" s="25"/>
    </row>
    <row r="385">
      <c r="A385" s="87"/>
      <c r="B385" s="88"/>
      <c r="C385" s="88"/>
      <c r="D385" s="18"/>
      <c r="E385" s="18"/>
      <c r="F385" s="89"/>
      <c r="G385" s="89"/>
      <c r="H385" s="90"/>
      <c r="I385" s="18"/>
    </row>
    <row r="386">
      <c r="A386" s="91"/>
      <c r="B386" s="59"/>
      <c r="C386" s="59"/>
      <c r="D386" s="25"/>
      <c r="E386" s="25"/>
      <c r="F386" s="92"/>
      <c r="G386" s="92"/>
      <c r="H386" s="93"/>
      <c r="I386" s="25"/>
    </row>
    <row r="387">
      <c r="A387" s="87"/>
      <c r="B387" s="88"/>
      <c r="C387" s="88"/>
      <c r="D387" s="18"/>
      <c r="E387" s="18"/>
      <c r="F387" s="89"/>
      <c r="G387" s="89"/>
      <c r="H387" s="90"/>
      <c r="I387" s="18"/>
    </row>
    <row r="388">
      <c r="A388" s="91"/>
      <c r="B388" s="59"/>
      <c r="C388" s="59"/>
      <c r="D388" s="25"/>
      <c r="E388" s="25"/>
      <c r="F388" s="92"/>
      <c r="G388" s="92"/>
      <c r="H388" s="93"/>
      <c r="I388" s="25"/>
    </row>
    <row r="389">
      <c r="A389" s="87"/>
      <c r="B389" s="88"/>
      <c r="C389" s="88"/>
      <c r="D389" s="18"/>
      <c r="E389" s="18"/>
      <c r="F389" s="89"/>
      <c r="G389" s="89"/>
      <c r="H389" s="90"/>
      <c r="I389" s="18"/>
    </row>
    <row r="390">
      <c r="A390" s="91"/>
      <c r="B390" s="59"/>
      <c r="C390" s="59"/>
      <c r="D390" s="25"/>
      <c r="E390" s="25"/>
      <c r="F390" s="92"/>
      <c r="G390" s="92"/>
      <c r="H390" s="93"/>
      <c r="I390" s="25"/>
    </row>
    <row r="391">
      <c r="A391" s="87"/>
      <c r="B391" s="88"/>
      <c r="C391" s="88"/>
      <c r="D391" s="18"/>
      <c r="E391" s="18"/>
      <c r="F391" s="89"/>
      <c r="G391" s="89"/>
      <c r="H391" s="90"/>
      <c r="I391" s="18"/>
    </row>
    <row r="392">
      <c r="A392" s="91"/>
      <c r="B392" s="59"/>
      <c r="C392" s="59"/>
      <c r="D392" s="25"/>
      <c r="E392" s="25"/>
      <c r="F392" s="92"/>
      <c r="G392" s="92"/>
      <c r="H392" s="93"/>
      <c r="I392" s="25"/>
    </row>
    <row r="393">
      <c r="A393" s="87"/>
      <c r="B393" s="88"/>
      <c r="C393" s="88"/>
      <c r="D393" s="18"/>
      <c r="E393" s="18"/>
      <c r="F393" s="89"/>
      <c r="G393" s="89"/>
      <c r="H393" s="90"/>
      <c r="I393" s="18"/>
    </row>
    <row r="394">
      <c r="A394" s="91"/>
      <c r="B394" s="59"/>
      <c r="C394" s="59"/>
      <c r="D394" s="25"/>
      <c r="E394" s="25"/>
      <c r="F394" s="92"/>
      <c r="G394" s="92"/>
      <c r="H394" s="93"/>
      <c r="I394" s="25"/>
    </row>
    <row r="395">
      <c r="A395" s="87"/>
      <c r="B395" s="88"/>
      <c r="C395" s="88"/>
      <c r="D395" s="18"/>
      <c r="E395" s="18"/>
      <c r="F395" s="89"/>
      <c r="G395" s="89"/>
      <c r="H395" s="90"/>
      <c r="I395" s="18"/>
    </row>
    <row r="396">
      <c r="A396" s="91"/>
      <c r="B396" s="59"/>
      <c r="C396" s="59"/>
      <c r="D396" s="25"/>
      <c r="E396" s="25"/>
      <c r="F396" s="92"/>
      <c r="G396" s="92"/>
      <c r="H396" s="93"/>
      <c r="I396" s="25"/>
    </row>
    <row r="397">
      <c r="A397" s="87"/>
      <c r="B397" s="88"/>
      <c r="C397" s="88"/>
      <c r="D397" s="18"/>
      <c r="E397" s="18"/>
      <c r="F397" s="89"/>
      <c r="G397" s="89"/>
      <c r="H397" s="90"/>
      <c r="I397" s="18"/>
    </row>
    <row r="398">
      <c r="A398" s="91"/>
      <c r="B398" s="59"/>
      <c r="C398" s="59"/>
      <c r="D398" s="25"/>
      <c r="E398" s="25"/>
      <c r="F398" s="92"/>
      <c r="G398" s="92"/>
      <c r="H398" s="93"/>
      <c r="I398" s="25"/>
    </row>
    <row r="399">
      <c r="A399" s="87"/>
      <c r="B399" s="88"/>
      <c r="C399" s="88"/>
      <c r="D399" s="18"/>
      <c r="E399" s="18"/>
      <c r="F399" s="89"/>
      <c r="G399" s="89"/>
      <c r="H399" s="90"/>
      <c r="I399" s="18"/>
    </row>
    <row r="400">
      <c r="A400" s="91"/>
      <c r="B400" s="59"/>
      <c r="C400" s="59"/>
      <c r="D400" s="25"/>
      <c r="E400" s="25"/>
      <c r="F400" s="92"/>
      <c r="G400" s="92"/>
      <c r="H400" s="93"/>
      <c r="I400" s="25"/>
    </row>
    <row r="401">
      <c r="A401" s="87"/>
      <c r="B401" s="88"/>
      <c r="C401" s="88"/>
      <c r="D401" s="18"/>
      <c r="E401" s="18"/>
      <c r="F401" s="89"/>
      <c r="G401" s="89"/>
      <c r="H401" s="90"/>
      <c r="I401" s="18"/>
    </row>
    <row r="402">
      <c r="A402" s="91"/>
      <c r="B402" s="59"/>
      <c r="C402" s="59"/>
      <c r="D402" s="25"/>
      <c r="E402" s="25"/>
      <c r="F402" s="92"/>
      <c r="G402" s="92"/>
      <c r="H402" s="93"/>
      <c r="I402" s="25"/>
    </row>
    <row r="403">
      <c r="A403" s="87"/>
      <c r="B403" s="88"/>
      <c r="C403" s="88"/>
      <c r="D403" s="18"/>
      <c r="E403" s="18"/>
      <c r="F403" s="89"/>
      <c r="G403" s="89"/>
      <c r="H403" s="90"/>
      <c r="I403" s="18"/>
    </row>
    <row r="404">
      <c r="A404" s="91"/>
      <c r="B404" s="59"/>
      <c r="C404" s="59"/>
      <c r="D404" s="25"/>
      <c r="E404" s="25"/>
      <c r="F404" s="92"/>
      <c r="G404" s="92"/>
      <c r="H404" s="93"/>
      <c r="I404" s="25"/>
    </row>
    <row r="405">
      <c r="A405" s="87"/>
      <c r="B405" s="88"/>
      <c r="C405" s="88"/>
      <c r="D405" s="18"/>
      <c r="E405" s="18"/>
      <c r="F405" s="89"/>
      <c r="G405" s="89"/>
      <c r="H405" s="90"/>
      <c r="I405" s="18"/>
    </row>
    <row r="406">
      <c r="A406" s="91"/>
      <c r="B406" s="59"/>
      <c r="C406" s="59"/>
      <c r="D406" s="25"/>
      <c r="E406" s="25"/>
      <c r="F406" s="92"/>
      <c r="G406" s="92"/>
      <c r="H406" s="93"/>
      <c r="I406" s="25"/>
    </row>
    <row r="407">
      <c r="A407" s="87"/>
      <c r="B407" s="88"/>
      <c r="C407" s="88"/>
      <c r="D407" s="18"/>
      <c r="E407" s="18"/>
      <c r="F407" s="89"/>
      <c r="G407" s="89"/>
      <c r="H407" s="90"/>
      <c r="I407" s="18"/>
    </row>
    <row r="408">
      <c r="A408" s="91"/>
      <c r="B408" s="59"/>
      <c r="C408" s="59"/>
      <c r="D408" s="25"/>
      <c r="E408" s="25"/>
      <c r="F408" s="92"/>
      <c r="G408" s="92"/>
      <c r="H408" s="93"/>
      <c r="I408" s="25"/>
    </row>
    <row r="409">
      <c r="A409" s="87"/>
      <c r="B409" s="88"/>
      <c r="C409" s="88"/>
      <c r="D409" s="18"/>
      <c r="E409" s="18"/>
      <c r="F409" s="89"/>
      <c r="G409" s="89"/>
      <c r="H409" s="90"/>
      <c r="I409" s="18"/>
    </row>
    <row r="410">
      <c r="A410" s="91"/>
      <c r="B410" s="59"/>
      <c r="C410" s="59"/>
      <c r="D410" s="25"/>
      <c r="E410" s="25"/>
      <c r="F410" s="92"/>
      <c r="G410" s="92"/>
      <c r="H410" s="93"/>
      <c r="I410" s="25"/>
    </row>
    <row r="411">
      <c r="A411" s="87"/>
      <c r="B411" s="88"/>
      <c r="C411" s="88"/>
      <c r="D411" s="18"/>
      <c r="E411" s="18"/>
      <c r="F411" s="89"/>
      <c r="G411" s="89"/>
      <c r="H411" s="90"/>
      <c r="I411" s="18"/>
    </row>
    <row r="412">
      <c r="A412" s="91"/>
      <c r="B412" s="59"/>
      <c r="C412" s="59"/>
      <c r="D412" s="25"/>
      <c r="E412" s="25"/>
      <c r="F412" s="92"/>
      <c r="G412" s="92"/>
      <c r="H412" s="93"/>
      <c r="I412" s="25"/>
    </row>
    <row r="413">
      <c r="A413" s="87"/>
      <c r="B413" s="88"/>
      <c r="C413" s="88"/>
      <c r="D413" s="18"/>
      <c r="E413" s="18"/>
      <c r="F413" s="89"/>
      <c r="G413" s="89"/>
      <c r="H413" s="90"/>
      <c r="I413" s="18"/>
    </row>
    <row r="414">
      <c r="A414" s="91"/>
      <c r="B414" s="59"/>
      <c r="C414" s="59"/>
      <c r="D414" s="25"/>
      <c r="E414" s="25"/>
      <c r="F414" s="92"/>
      <c r="G414" s="92"/>
      <c r="H414" s="93"/>
      <c r="I414" s="25"/>
    </row>
    <row r="415">
      <c r="A415" s="87"/>
      <c r="B415" s="88"/>
      <c r="C415" s="88"/>
      <c r="D415" s="18"/>
      <c r="E415" s="18"/>
      <c r="F415" s="89"/>
      <c r="G415" s="89"/>
      <c r="H415" s="90"/>
      <c r="I415" s="18"/>
    </row>
    <row r="416">
      <c r="A416" s="91"/>
      <c r="B416" s="59"/>
      <c r="C416" s="59"/>
      <c r="D416" s="25"/>
      <c r="E416" s="25"/>
      <c r="F416" s="92"/>
      <c r="G416" s="92"/>
      <c r="H416" s="93"/>
      <c r="I416" s="25"/>
    </row>
    <row r="417">
      <c r="A417" s="87"/>
      <c r="B417" s="88"/>
      <c r="C417" s="88"/>
      <c r="D417" s="18"/>
      <c r="E417" s="18"/>
      <c r="F417" s="89"/>
      <c r="G417" s="89"/>
      <c r="H417" s="90"/>
      <c r="I417" s="18"/>
    </row>
    <row r="418">
      <c r="A418" s="91"/>
      <c r="B418" s="59"/>
      <c r="C418" s="59"/>
      <c r="D418" s="25"/>
      <c r="E418" s="25"/>
      <c r="F418" s="92"/>
      <c r="G418" s="92"/>
      <c r="H418" s="93"/>
      <c r="I418" s="25"/>
    </row>
    <row r="419">
      <c r="A419" s="87"/>
      <c r="B419" s="88"/>
      <c r="C419" s="88"/>
      <c r="D419" s="18"/>
      <c r="E419" s="18"/>
      <c r="F419" s="89"/>
      <c r="G419" s="89"/>
      <c r="H419" s="90"/>
      <c r="I419" s="18"/>
    </row>
    <row r="420">
      <c r="A420" s="91"/>
      <c r="B420" s="59"/>
      <c r="C420" s="59"/>
      <c r="D420" s="25"/>
      <c r="E420" s="25"/>
      <c r="F420" s="92"/>
      <c r="G420" s="92"/>
      <c r="H420" s="93"/>
      <c r="I420" s="25"/>
    </row>
    <row r="421">
      <c r="A421" s="87"/>
      <c r="B421" s="88"/>
      <c r="C421" s="88"/>
      <c r="D421" s="18"/>
      <c r="E421" s="18"/>
      <c r="F421" s="89"/>
      <c r="G421" s="89"/>
      <c r="H421" s="90"/>
      <c r="I421" s="18"/>
    </row>
    <row r="422">
      <c r="A422" s="91"/>
      <c r="B422" s="59"/>
      <c r="C422" s="59"/>
      <c r="D422" s="25"/>
      <c r="E422" s="25"/>
      <c r="F422" s="92"/>
      <c r="G422" s="92"/>
      <c r="H422" s="93"/>
      <c r="I422" s="25"/>
    </row>
    <row r="423">
      <c r="A423" s="87"/>
      <c r="B423" s="88"/>
      <c r="C423" s="88"/>
      <c r="D423" s="18"/>
      <c r="E423" s="18"/>
      <c r="F423" s="89"/>
      <c r="G423" s="89"/>
      <c r="H423" s="90"/>
      <c r="I423" s="18"/>
    </row>
    <row r="424">
      <c r="A424" s="91"/>
      <c r="B424" s="59"/>
      <c r="C424" s="59"/>
      <c r="D424" s="25"/>
      <c r="E424" s="25"/>
      <c r="F424" s="92"/>
      <c r="G424" s="92"/>
      <c r="H424" s="93"/>
      <c r="I424" s="25"/>
    </row>
    <row r="425">
      <c r="A425" s="87"/>
      <c r="B425" s="88"/>
      <c r="C425" s="88"/>
      <c r="D425" s="18"/>
      <c r="E425" s="18"/>
      <c r="F425" s="89"/>
      <c r="G425" s="89"/>
      <c r="H425" s="90"/>
      <c r="I425" s="18"/>
    </row>
    <row r="426">
      <c r="A426" s="91"/>
      <c r="B426" s="59"/>
      <c r="C426" s="59"/>
      <c r="D426" s="25"/>
      <c r="E426" s="25"/>
      <c r="F426" s="92"/>
      <c r="G426" s="92"/>
      <c r="H426" s="93"/>
      <c r="I426" s="25"/>
    </row>
    <row r="427">
      <c r="A427" s="87"/>
      <c r="B427" s="88"/>
      <c r="C427" s="88"/>
      <c r="D427" s="18"/>
      <c r="E427" s="18"/>
      <c r="F427" s="89"/>
      <c r="G427" s="89"/>
      <c r="H427" s="90"/>
      <c r="I427" s="18"/>
    </row>
    <row r="428">
      <c r="A428" s="91"/>
      <c r="B428" s="59"/>
      <c r="C428" s="59"/>
      <c r="D428" s="25"/>
      <c r="E428" s="25"/>
      <c r="F428" s="92"/>
      <c r="G428" s="92"/>
      <c r="H428" s="93"/>
      <c r="I428" s="25"/>
    </row>
    <row r="429">
      <c r="A429" s="87"/>
      <c r="B429" s="88"/>
      <c r="C429" s="88"/>
      <c r="D429" s="18"/>
      <c r="E429" s="18"/>
      <c r="F429" s="89"/>
      <c r="G429" s="89"/>
      <c r="H429" s="90"/>
      <c r="I429" s="18"/>
    </row>
    <row r="430">
      <c r="A430" s="91"/>
      <c r="B430" s="59"/>
      <c r="C430" s="59"/>
      <c r="D430" s="25"/>
      <c r="E430" s="25"/>
      <c r="F430" s="92"/>
      <c r="G430" s="92"/>
      <c r="H430" s="93"/>
      <c r="I430" s="25"/>
    </row>
    <row r="431">
      <c r="A431" s="87"/>
      <c r="B431" s="88"/>
      <c r="C431" s="88"/>
      <c r="D431" s="18"/>
      <c r="E431" s="18"/>
      <c r="F431" s="89"/>
      <c r="G431" s="89"/>
      <c r="H431" s="90"/>
      <c r="I431" s="18"/>
    </row>
    <row r="432">
      <c r="A432" s="91"/>
      <c r="B432" s="59"/>
      <c r="C432" s="59"/>
      <c r="D432" s="25"/>
      <c r="E432" s="25"/>
      <c r="F432" s="92"/>
      <c r="G432" s="92"/>
      <c r="H432" s="93"/>
      <c r="I432" s="25"/>
    </row>
    <row r="433">
      <c r="A433" s="87"/>
      <c r="B433" s="88"/>
      <c r="C433" s="88"/>
      <c r="D433" s="18"/>
      <c r="E433" s="18"/>
      <c r="F433" s="89"/>
      <c r="G433" s="89"/>
      <c r="H433" s="90"/>
      <c r="I433" s="18"/>
    </row>
    <row r="434">
      <c r="A434" s="91"/>
      <c r="B434" s="59"/>
      <c r="C434" s="59"/>
      <c r="D434" s="25"/>
      <c r="E434" s="25"/>
      <c r="F434" s="92"/>
      <c r="G434" s="92"/>
      <c r="H434" s="93"/>
      <c r="I434" s="25"/>
    </row>
    <row r="435">
      <c r="A435" s="87"/>
      <c r="B435" s="88"/>
      <c r="C435" s="88"/>
      <c r="D435" s="18"/>
      <c r="E435" s="18"/>
      <c r="F435" s="89"/>
      <c r="G435" s="89"/>
      <c r="H435" s="90"/>
      <c r="I435" s="18"/>
    </row>
    <row r="436">
      <c r="A436" s="91"/>
      <c r="B436" s="59"/>
      <c r="C436" s="59"/>
      <c r="D436" s="25"/>
      <c r="E436" s="25"/>
      <c r="F436" s="92"/>
      <c r="G436" s="92"/>
      <c r="H436" s="93"/>
      <c r="I436" s="25"/>
    </row>
    <row r="437">
      <c r="A437" s="87"/>
      <c r="B437" s="88"/>
      <c r="C437" s="88"/>
      <c r="D437" s="18"/>
      <c r="E437" s="18"/>
      <c r="F437" s="89"/>
      <c r="G437" s="89"/>
      <c r="H437" s="90"/>
      <c r="I437" s="18"/>
    </row>
    <row r="438">
      <c r="A438" s="91"/>
      <c r="B438" s="59"/>
      <c r="C438" s="59"/>
      <c r="D438" s="25"/>
      <c r="E438" s="25"/>
      <c r="F438" s="92"/>
      <c r="G438" s="92"/>
      <c r="H438" s="93"/>
      <c r="I438" s="25"/>
    </row>
    <row r="439">
      <c r="A439" s="87"/>
      <c r="B439" s="88"/>
      <c r="C439" s="88"/>
      <c r="D439" s="18"/>
      <c r="E439" s="18"/>
      <c r="F439" s="89"/>
      <c r="G439" s="89"/>
      <c r="H439" s="90"/>
      <c r="I439" s="18"/>
    </row>
    <row r="440">
      <c r="A440" s="91"/>
      <c r="B440" s="59"/>
      <c r="C440" s="59"/>
      <c r="D440" s="25"/>
      <c r="E440" s="25"/>
      <c r="F440" s="92"/>
      <c r="G440" s="92"/>
      <c r="H440" s="93"/>
      <c r="I440" s="25"/>
    </row>
    <row r="441">
      <c r="A441" s="87"/>
      <c r="B441" s="88"/>
      <c r="C441" s="88"/>
      <c r="D441" s="18"/>
      <c r="E441" s="18"/>
      <c r="F441" s="89"/>
      <c r="G441" s="89"/>
      <c r="H441" s="90"/>
      <c r="I441" s="18"/>
    </row>
    <row r="442">
      <c r="A442" s="91"/>
      <c r="B442" s="59"/>
      <c r="C442" s="59"/>
      <c r="D442" s="25"/>
      <c r="E442" s="25"/>
      <c r="F442" s="92"/>
      <c r="G442" s="92"/>
      <c r="H442" s="93"/>
      <c r="I442" s="25"/>
    </row>
    <row r="443">
      <c r="A443" s="87"/>
      <c r="B443" s="88"/>
      <c r="C443" s="88"/>
      <c r="D443" s="18"/>
      <c r="E443" s="18"/>
      <c r="F443" s="89"/>
      <c r="G443" s="89"/>
      <c r="H443" s="90"/>
      <c r="I443" s="18"/>
    </row>
    <row r="444">
      <c r="A444" s="91"/>
      <c r="B444" s="59"/>
      <c r="C444" s="59"/>
      <c r="D444" s="25"/>
      <c r="E444" s="25"/>
      <c r="F444" s="92"/>
      <c r="G444" s="92"/>
      <c r="H444" s="93"/>
      <c r="I444" s="25"/>
    </row>
    <row r="445">
      <c r="A445" s="87"/>
      <c r="B445" s="88"/>
      <c r="C445" s="88"/>
      <c r="D445" s="18"/>
      <c r="E445" s="18"/>
      <c r="F445" s="89"/>
      <c r="G445" s="89"/>
      <c r="H445" s="90"/>
      <c r="I445" s="18"/>
    </row>
    <row r="446">
      <c r="A446" s="91"/>
      <c r="B446" s="59"/>
      <c r="C446" s="59"/>
      <c r="D446" s="25"/>
      <c r="E446" s="25"/>
      <c r="F446" s="92"/>
      <c r="G446" s="92"/>
      <c r="H446" s="93"/>
      <c r="I446" s="25"/>
    </row>
    <row r="447">
      <c r="A447" s="87"/>
      <c r="B447" s="88"/>
      <c r="C447" s="88"/>
      <c r="D447" s="18"/>
      <c r="E447" s="18"/>
      <c r="F447" s="89"/>
      <c r="G447" s="89"/>
      <c r="H447" s="90"/>
      <c r="I447" s="18"/>
    </row>
    <row r="448">
      <c r="A448" s="91"/>
      <c r="B448" s="59"/>
      <c r="C448" s="59"/>
      <c r="D448" s="25"/>
      <c r="E448" s="25"/>
      <c r="F448" s="92"/>
      <c r="G448" s="92"/>
      <c r="H448" s="93"/>
      <c r="I448" s="25"/>
    </row>
    <row r="449">
      <c r="A449" s="87"/>
      <c r="B449" s="88"/>
      <c r="C449" s="88"/>
      <c r="D449" s="18"/>
      <c r="E449" s="18"/>
      <c r="F449" s="89"/>
      <c r="G449" s="89"/>
      <c r="H449" s="90"/>
      <c r="I449" s="18"/>
    </row>
    <row r="450">
      <c r="A450" s="91"/>
      <c r="B450" s="59"/>
      <c r="C450" s="59"/>
      <c r="D450" s="25"/>
      <c r="E450" s="25"/>
      <c r="F450" s="92"/>
      <c r="G450" s="92"/>
      <c r="H450" s="93"/>
      <c r="I450" s="25"/>
    </row>
    <row r="451">
      <c r="A451" s="87"/>
      <c r="B451" s="88"/>
      <c r="C451" s="88"/>
      <c r="D451" s="18"/>
      <c r="E451" s="18"/>
      <c r="F451" s="89"/>
      <c r="G451" s="89"/>
      <c r="H451" s="90"/>
      <c r="I451" s="18"/>
    </row>
    <row r="452">
      <c r="A452" s="91"/>
      <c r="B452" s="59"/>
      <c r="C452" s="59"/>
      <c r="D452" s="25"/>
      <c r="E452" s="25"/>
      <c r="F452" s="92"/>
      <c r="G452" s="92"/>
      <c r="H452" s="93"/>
      <c r="I452" s="25"/>
    </row>
    <row r="453">
      <c r="A453" s="87"/>
      <c r="B453" s="88"/>
      <c r="C453" s="88"/>
      <c r="D453" s="18"/>
      <c r="E453" s="18"/>
      <c r="F453" s="89"/>
      <c r="G453" s="89"/>
      <c r="H453" s="90"/>
      <c r="I453" s="18"/>
    </row>
    <row r="454">
      <c r="A454" s="91"/>
      <c r="B454" s="59"/>
      <c r="C454" s="59"/>
      <c r="D454" s="25"/>
      <c r="E454" s="25"/>
      <c r="F454" s="92"/>
      <c r="G454" s="92"/>
      <c r="H454" s="93"/>
      <c r="I454" s="25"/>
    </row>
    <row r="455">
      <c r="A455" s="87"/>
      <c r="B455" s="88"/>
      <c r="C455" s="88"/>
      <c r="D455" s="18"/>
      <c r="E455" s="18"/>
      <c r="F455" s="89"/>
      <c r="G455" s="89"/>
      <c r="H455" s="90"/>
      <c r="I455" s="18"/>
    </row>
    <row r="456">
      <c r="A456" s="91"/>
      <c r="B456" s="59"/>
      <c r="C456" s="59"/>
      <c r="D456" s="25"/>
      <c r="E456" s="25"/>
      <c r="F456" s="92"/>
      <c r="G456" s="92"/>
      <c r="H456" s="93"/>
      <c r="I456" s="25"/>
    </row>
    <row r="457">
      <c r="A457" s="87"/>
      <c r="B457" s="88"/>
      <c r="C457" s="88"/>
      <c r="D457" s="18"/>
      <c r="E457" s="18"/>
      <c r="F457" s="89"/>
      <c r="G457" s="89"/>
      <c r="H457" s="90"/>
      <c r="I457" s="18"/>
    </row>
    <row r="458">
      <c r="A458" s="91"/>
      <c r="B458" s="59"/>
      <c r="C458" s="59"/>
      <c r="D458" s="25"/>
      <c r="E458" s="25"/>
      <c r="F458" s="92"/>
      <c r="G458" s="92"/>
      <c r="H458" s="93"/>
      <c r="I458" s="25"/>
    </row>
    <row r="459">
      <c r="A459" s="87"/>
      <c r="B459" s="88"/>
      <c r="C459" s="88"/>
      <c r="D459" s="18"/>
      <c r="E459" s="18"/>
      <c r="F459" s="89"/>
      <c r="G459" s="89"/>
      <c r="H459" s="90"/>
      <c r="I459" s="18"/>
    </row>
    <row r="460">
      <c r="A460" s="91"/>
      <c r="B460" s="59"/>
      <c r="C460" s="59"/>
      <c r="D460" s="25"/>
      <c r="E460" s="25"/>
      <c r="F460" s="92"/>
      <c r="G460" s="92"/>
      <c r="H460" s="93"/>
      <c r="I460" s="25"/>
    </row>
    <row r="461">
      <c r="A461" s="87"/>
      <c r="B461" s="88"/>
      <c r="C461" s="88"/>
      <c r="D461" s="18"/>
      <c r="E461" s="18"/>
      <c r="F461" s="89"/>
      <c r="G461" s="89"/>
      <c r="H461" s="90"/>
      <c r="I461" s="18"/>
    </row>
    <row r="462">
      <c r="A462" s="91"/>
      <c r="B462" s="59"/>
      <c r="C462" s="59"/>
      <c r="D462" s="25"/>
      <c r="E462" s="25"/>
      <c r="F462" s="92"/>
      <c r="G462" s="92"/>
      <c r="H462" s="93"/>
      <c r="I462" s="25"/>
    </row>
    <row r="463">
      <c r="A463" s="87"/>
      <c r="B463" s="88"/>
      <c r="C463" s="88"/>
      <c r="D463" s="18"/>
      <c r="E463" s="18"/>
      <c r="F463" s="89"/>
      <c r="G463" s="89"/>
      <c r="H463" s="90"/>
      <c r="I463" s="18"/>
    </row>
    <row r="464">
      <c r="A464" s="91"/>
      <c r="B464" s="59"/>
      <c r="C464" s="59"/>
      <c r="D464" s="25"/>
      <c r="E464" s="25"/>
      <c r="F464" s="92"/>
      <c r="G464" s="92"/>
      <c r="H464" s="93"/>
      <c r="I464" s="25"/>
    </row>
    <row r="465">
      <c r="A465" s="87"/>
      <c r="B465" s="88"/>
      <c r="C465" s="88"/>
      <c r="D465" s="18"/>
      <c r="E465" s="18"/>
      <c r="F465" s="89"/>
      <c r="G465" s="89"/>
      <c r="H465" s="90"/>
      <c r="I465" s="18"/>
    </row>
    <row r="466">
      <c r="A466" s="91"/>
      <c r="B466" s="59"/>
      <c r="C466" s="59"/>
      <c r="D466" s="25"/>
      <c r="E466" s="25"/>
      <c r="F466" s="92"/>
      <c r="G466" s="92"/>
      <c r="H466" s="93"/>
      <c r="I466" s="25"/>
    </row>
    <row r="467">
      <c r="A467" s="87"/>
      <c r="B467" s="88"/>
      <c r="C467" s="88"/>
      <c r="D467" s="18"/>
      <c r="E467" s="18"/>
      <c r="F467" s="89"/>
      <c r="G467" s="89"/>
      <c r="H467" s="90"/>
      <c r="I467" s="18"/>
    </row>
    <row r="468">
      <c r="A468" s="91"/>
      <c r="B468" s="59"/>
      <c r="C468" s="59"/>
      <c r="D468" s="25"/>
      <c r="E468" s="25"/>
      <c r="F468" s="92"/>
      <c r="G468" s="92"/>
      <c r="H468" s="93"/>
      <c r="I468" s="25"/>
    </row>
    <row r="469">
      <c r="A469" s="87"/>
      <c r="B469" s="88"/>
      <c r="C469" s="88"/>
      <c r="D469" s="18"/>
      <c r="E469" s="18"/>
      <c r="F469" s="89"/>
      <c r="G469" s="89"/>
      <c r="H469" s="90"/>
      <c r="I469" s="18"/>
    </row>
    <row r="470">
      <c r="A470" s="91"/>
      <c r="B470" s="59"/>
      <c r="C470" s="59"/>
      <c r="D470" s="25"/>
      <c r="E470" s="25"/>
      <c r="F470" s="92"/>
      <c r="G470" s="92"/>
      <c r="H470" s="93"/>
      <c r="I470" s="25"/>
    </row>
    <row r="471">
      <c r="A471" s="87"/>
      <c r="B471" s="88"/>
      <c r="C471" s="88"/>
      <c r="D471" s="18"/>
      <c r="E471" s="18"/>
      <c r="F471" s="89"/>
      <c r="G471" s="89"/>
      <c r="H471" s="90"/>
      <c r="I471" s="18"/>
    </row>
    <row r="472">
      <c r="A472" s="91"/>
      <c r="B472" s="59"/>
      <c r="C472" s="59"/>
      <c r="D472" s="25"/>
      <c r="E472" s="25"/>
      <c r="F472" s="92"/>
      <c r="G472" s="92"/>
      <c r="H472" s="93"/>
      <c r="I472" s="25"/>
    </row>
    <row r="473">
      <c r="A473" s="87"/>
      <c r="B473" s="88"/>
      <c r="C473" s="88"/>
      <c r="D473" s="18"/>
      <c r="E473" s="18"/>
      <c r="F473" s="89"/>
      <c r="G473" s="89"/>
      <c r="H473" s="90"/>
      <c r="I473" s="18"/>
    </row>
    <row r="474">
      <c r="A474" s="91"/>
      <c r="B474" s="59"/>
      <c r="C474" s="59"/>
      <c r="D474" s="25"/>
      <c r="E474" s="25"/>
      <c r="F474" s="92"/>
      <c r="G474" s="92"/>
      <c r="H474" s="93"/>
      <c r="I474" s="25"/>
    </row>
    <row r="475">
      <c r="A475" s="87"/>
      <c r="B475" s="88"/>
      <c r="C475" s="88"/>
      <c r="D475" s="18"/>
      <c r="E475" s="18"/>
      <c r="F475" s="89"/>
      <c r="G475" s="89"/>
      <c r="H475" s="90"/>
      <c r="I475" s="18"/>
    </row>
    <row r="476">
      <c r="A476" s="91"/>
      <c r="B476" s="59"/>
      <c r="C476" s="59"/>
      <c r="D476" s="25"/>
      <c r="E476" s="25"/>
      <c r="F476" s="92"/>
      <c r="G476" s="92"/>
      <c r="H476" s="93"/>
      <c r="I476" s="25"/>
    </row>
    <row r="477">
      <c r="A477" s="87"/>
      <c r="B477" s="88"/>
      <c r="C477" s="88"/>
      <c r="D477" s="18"/>
      <c r="E477" s="18"/>
      <c r="F477" s="89"/>
      <c r="G477" s="89"/>
      <c r="H477" s="90"/>
      <c r="I477" s="18"/>
    </row>
    <row r="478">
      <c r="A478" s="91"/>
      <c r="B478" s="59"/>
      <c r="C478" s="59"/>
      <c r="D478" s="25"/>
      <c r="E478" s="25"/>
      <c r="F478" s="92"/>
      <c r="G478" s="92"/>
      <c r="H478" s="93"/>
      <c r="I478" s="25"/>
    </row>
    <row r="479">
      <c r="A479" s="87"/>
      <c r="B479" s="88"/>
      <c r="C479" s="88"/>
      <c r="D479" s="18"/>
      <c r="E479" s="18"/>
      <c r="F479" s="89"/>
      <c r="G479" s="89"/>
      <c r="H479" s="90"/>
      <c r="I479" s="18"/>
    </row>
    <row r="480">
      <c r="A480" s="91"/>
      <c r="B480" s="59"/>
      <c r="C480" s="59"/>
      <c r="D480" s="25"/>
      <c r="E480" s="25"/>
      <c r="F480" s="92"/>
      <c r="G480" s="92"/>
      <c r="H480" s="93"/>
      <c r="I480" s="25"/>
    </row>
    <row r="481">
      <c r="A481" s="87"/>
      <c r="B481" s="88"/>
      <c r="C481" s="88"/>
      <c r="D481" s="18"/>
      <c r="E481" s="18"/>
      <c r="F481" s="89"/>
      <c r="G481" s="89"/>
      <c r="H481" s="90"/>
      <c r="I481" s="18"/>
    </row>
    <row r="482">
      <c r="A482" s="91"/>
      <c r="B482" s="59"/>
      <c r="C482" s="59"/>
      <c r="D482" s="25"/>
      <c r="E482" s="25"/>
      <c r="F482" s="92"/>
      <c r="G482" s="92"/>
      <c r="H482" s="93"/>
      <c r="I482" s="25"/>
    </row>
    <row r="483">
      <c r="A483" s="87"/>
      <c r="B483" s="88"/>
      <c r="C483" s="88"/>
      <c r="D483" s="18"/>
      <c r="E483" s="18"/>
      <c r="F483" s="89"/>
      <c r="G483" s="89"/>
      <c r="H483" s="90"/>
      <c r="I483" s="18"/>
    </row>
    <row r="484">
      <c r="A484" s="91"/>
      <c r="B484" s="59"/>
      <c r="C484" s="59"/>
      <c r="D484" s="25"/>
      <c r="E484" s="25"/>
      <c r="F484" s="92"/>
      <c r="G484" s="92"/>
      <c r="H484" s="93"/>
      <c r="I484" s="25"/>
    </row>
    <row r="485">
      <c r="A485" s="87"/>
      <c r="B485" s="88"/>
      <c r="C485" s="88"/>
      <c r="D485" s="18"/>
      <c r="E485" s="18"/>
      <c r="F485" s="89"/>
      <c r="G485" s="89"/>
      <c r="H485" s="90"/>
      <c r="I485" s="18"/>
    </row>
    <row r="486">
      <c r="A486" s="91"/>
      <c r="B486" s="59"/>
      <c r="C486" s="59"/>
      <c r="D486" s="25"/>
      <c r="E486" s="25"/>
      <c r="F486" s="92"/>
      <c r="G486" s="92"/>
      <c r="H486" s="93"/>
      <c r="I486" s="25"/>
    </row>
    <row r="487">
      <c r="A487" s="87"/>
      <c r="B487" s="88"/>
      <c r="C487" s="88"/>
      <c r="D487" s="18"/>
      <c r="E487" s="18"/>
      <c r="F487" s="89"/>
      <c r="G487" s="89"/>
      <c r="H487" s="90"/>
      <c r="I487" s="18"/>
    </row>
    <row r="488">
      <c r="A488" s="91"/>
      <c r="B488" s="59"/>
      <c r="C488" s="59"/>
      <c r="D488" s="25"/>
      <c r="E488" s="25"/>
      <c r="F488" s="92"/>
      <c r="G488" s="92"/>
      <c r="H488" s="93"/>
      <c r="I488" s="25"/>
    </row>
    <row r="489">
      <c r="A489" s="87"/>
      <c r="B489" s="88"/>
      <c r="C489" s="88"/>
      <c r="D489" s="18"/>
      <c r="E489" s="18"/>
      <c r="F489" s="89"/>
      <c r="G489" s="89"/>
      <c r="H489" s="90"/>
      <c r="I489" s="18"/>
    </row>
    <row r="490">
      <c r="A490" s="91"/>
      <c r="B490" s="59"/>
      <c r="C490" s="59"/>
      <c r="D490" s="25"/>
      <c r="E490" s="25"/>
      <c r="F490" s="92"/>
      <c r="G490" s="92"/>
      <c r="H490" s="93"/>
      <c r="I490" s="25"/>
    </row>
    <row r="491">
      <c r="A491" s="87"/>
      <c r="B491" s="88"/>
      <c r="C491" s="88"/>
      <c r="D491" s="18"/>
      <c r="E491" s="18"/>
      <c r="F491" s="89"/>
      <c r="G491" s="89"/>
      <c r="H491" s="90"/>
      <c r="I491" s="18"/>
    </row>
    <row r="492">
      <c r="A492" s="91"/>
      <c r="B492" s="59"/>
      <c r="C492" s="59"/>
      <c r="D492" s="25"/>
      <c r="E492" s="25"/>
      <c r="F492" s="92"/>
      <c r="G492" s="92"/>
      <c r="H492" s="93"/>
      <c r="I492" s="25"/>
    </row>
    <row r="493">
      <c r="A493" s="87"/>
      <c r="B493" s="88"/>
      <c r="C493" s="88"/>
      <c r="D493" s="18"/>
      <c r="E493" s="18"/>
      <c r="F493" s="89"/>
      <c r="G493" s="89"/>
      <c r="H493" s="90"/>
      <c r="I493" s="18"/>
    </row>
    <row r="494">
      <c r="A494" s="91"/>
      <c r="B494" s="59"/>
      <c r="C494" s="59"/>
      <c r="D494" s="25"/>
      <c r="E494" s="25"/>
      <c r="F494" s="92"/>
      <c r="G494" s="92"/>
      <c r="H494" s="93"/>
      <c r="I494" s="25"/>
    </row>
    <row r="495">
      <c r="A495" s="87"/>
      <c r="B495" s="88"/>
      <c r="C495" s="88"/>
      <c r="D495" s="18"/>
      <c r="E495" s="18"/>
      <c r="F495" s="89"/>
      <c r="G495" s="89"/>
      <c r="H495" s="90"/>
      <c r="I495" s="18"/>
    </row>
    <row r="496">
      <c r="A496" s="91"/>
      <c r="B496" s="59"/>
      <c r="C496" s="59"/>
      <c r="D496" s="25"/>
      <c r="E496" s="25"/>
      <c r="F496" s="92"/>
      <c r="G496" s="92"/>
      <c r="H496" s="93"/>
      <c r="I496" s="25"/>
    </row>
    <row r="497">
      <c r="A497" s="87"/>
      <c r="B497" s="88"/>
      <c r="C497" s="88"/>
      <c r="D497" s="18"/>
      <c r="E497" s="18"/>
      <c r="F497" s="89"/>
      <c r="G497" s="89"/>
      <c r="H497" s="90"/>
      <c r="I497" s="18"/>
    </row>
    <row r="498">
      <c r="A498" s="91"/>
      <c r="B498" s="59"/>
      <c r="C498" s="59"/>
      <c r="D498" s="25"/>
      <c r="E498" s="25"/>
      <c r="F498" s="92"/>
      <c r="G498" s="92"/>
      <c r="H498" s="93"/>
      <c r="I498" s="25"/>
    </row>
    <row r="499">
      <c r="A499" s="87"/>
      <c r="B499" s="88"/>
      <c r="C499" s="88"/>
      <c r="D499" s="18"/>
      <c r="E499" s="18"/>
      <c r="F499" s="89"/>
      <c r="G499" s="89"/>
      <c r="H499" s="90"/>
      <c r="I499" s="18"/>
    </row>
    <row r="500">
      <c r="A500" s="91"/>
      <c r="B500" s="59"/>
      <c r="C500" s="59"/>
      <c r="D500" s="25"/>
      <c r="E500" s="25"/>
      <c r="F500" s="92"/>
      <c r="G500" s="92"/>
      <c r="H500" s="93"/>
      <c r="I500" s="25"/>
    </row>
    <row r="501">
      <c r="A501" s="87"/>
      <c r="B501" s="88"/>
      <c r="C501" s="88"/>
      <c r="D501" s="18"/>
      <c r="E501" s="18"/>
      <c r="F501" s="89"/>
      <c r="G501" s="89"/>
      <c r="H501" s="90"/>
      <c r="I501" s="18"/>
    </row>
    <row r="502">
      <c r="A502" s="91"/>
      <c r="B502" s="59"/>
      <c r="C502" s="59"/>
      <c r="D502" s="25"/>
      <c r="E502" s="25"/>
      <c r="F502" s="92"/>
      <c r="G502" s="92"/>
      <c r="H502" s="93"/>
      <c r="I502" s="25"/>
    </row>
    <row r="503">
      <c r="A503" s="87"/>
      <c r="B503" s="88"/>
      <c r="C503" s="88"/>
      <c r="D503" s="18"/>
      <c r="E503" s="18"/>
      <c r="F503" s="89"/>
      <c r="G503" s="89"/>
      <c r="H503" s="90"/>
      <c r="I503" s="18"/>
    </row>
    <row r="504">
      <c r="A504" s="91"/>
      <c r="B504" s="59"/>
      <c r="C504" s="59"/>
      <c r="D504" s="25"/>
      <c r="E504" s="25"/>
      <c r="F504" s="92"/>
      <c r="G504" s="92"/>
      <c r="H504" s="93"/>
      <c r="I504" s="25"/>
    </row>
    <row r="505">
      <c r="A505" s="87"/>
      <c r="B505" s="88"/>
      <c r="C505" s="88"/>
      <c r="D505" s="18"/>
      <c r="E505" s="18"/>
      <c r="F505" s="89"/>
      <c r="G505" s="89"/>
      <c r="H505" s="90"/>
      <c r="I505" s="18"/>
    </row>
    <row r="506">
      <c r="A506" s="91"/>
      <c r="B506" s="59"/>
      <c r="C506" s="59"/>
      <c r="D506" s="25"/>
      <c r="E506" s="25"/>
      <c r="F506" s="92"/>
      <c r="G506" s="92"/>
      <c r="H506" s="93"/>
      <c r="I506" s="25"/>
    </row>
    <row r="507">
      <c r="A507" s="87"/>
      <c r="B507" s="88"/>
      <c r="C507" s="88"/>
      <c r="D507" s="18"/>
      <c r="E507" s="18"/>
      <c r="F507" s="89"/>
      <c r="G507" s="89"/>
      <c r="H507" s="90"/>
      <c r="I507" s="18"/>
    </row>
    <row r="508">
      <c r="A508" s="91"/>
      <c r="B508" s="59"/>
      <c r="C508" s="59"/>
      <c r="D508" s="25"/>
      <c r="E508" s="25"/>
      <c r="F508" s="92"/>
      <c r="G508" s="92"/>
      <c r="H508" s="93"/>
      <c r="I508" s="25"/>
    </row>
    <row r="509">
      <c r="A509" s="87"/>
      <c r="B509" s="88"/>
      <c r="C509" s="88"/>
      <c r="D509" s="18"/>
      <c r="E509" s="18"/>
      <c r="F509" s="89"/>
      <c r="G509" s="89"/>
      <c r="H509" s="90"/>
      <c r="I509" s="18"/>
    </row>
    <row r="510">
      <c r="A510" s="91"/>
      <c r="B510" s="59"/>
      <c r="C510" s="59"/>
      <c r="D510" s="25"/>
      <c r="E510" s="25"/>
      <c r="F510" s="92"/>
      <c r="G510" s="92"/>
      <c r="H510" s="93"/>
      <c r="I510" s="25"/>
    </row>
    <row r="511">
      <c r="A511" s="87"/>
      <c r="B511" s="88"/>
      <c r="C511" s="88"/>
      <c r="D511" s="18"/>
      <c r="E511" s="18"/>
      <c r="F511" s="89"/>
      <c r="G511" s="89"/>
      <c r="H511" s="90"/>
      <c r="I511" s="18"/>
    </row>
    <row r="512">
      <c r="A512" s="91"/>
      <c r="B512" s="59"/>
      <c r="C512" s="59"/>
      <c r="D512" s="25"/>
      <c r="E512" s="25"/>
      <c r="F512" s="92"/>
      <c r="G512" s="92"/>
      <c r="H512" s="93"/>
      <c r="I512" s="25"/>
    </row>
    <row r="513">
      <c r="A513" s="87"/>
      <c r="B513" s="88"/>
      <c r="C513" s="88"/>
      <c r="D513" s="18"/>
      <c r="E513" s="18"/>
      <c r="F513" s="89"/>
      <c r="G513" s="89"/>
      <c r="H513" s="90"/>
      <c r="I513" s="18"/>
    </row>
    <row r="514">
      <c r="A514" s="91"/>
      <c r="B514" s="59"/>
      <c r="C514" s="59"/>
      <c r="D514" s="25"/>
      <c r="E514" s="25"/>
      <c r="F514" s="92"/>
      <c r="G514" s="92"/>
      <c r="H514" s="93"/>
      <c r="I514" s="25"/>
    </row>
    <row r="515">
      <c r="A515" s="87"/>
      <c r="B515" s="88"/>
      <c r="C515" s="88"/>
      <c r="D515" s="18"/>
      <c r="E515" s="18"/>
      <c r="F515" s="89"/>
      <c r="G515" s="89"/>
      <c r="H515" s="90"/>
      <c r="I515" s="18"/>
    </row>
    <row r="516">
      <c r="A516" s="91"/>
      <c r="B516" s="59"/>
      <c r="C516" s="59"/>
      <c r="D516" s="25"/>
      <c r="E516" s="25"/>
      <c r="F516" s="92"/>
      <c r="G516" s="92"/>
      <c r="H516" s="93"/>
      <c r="I516" s="25"/>
    </row>
    <row r="517">
      <c r="A517" s="87"/>
      <c r="B517" s="88"/>
      <c r="C517" s="88"/>
      <c r="D517" s="18"/>
      <c r="E517" s="18"/>
      <c r="F517" s="89"/>
      <c r="G517" s="89"/>
      <c r="H517" s="90"/>
      <c r="I517" s="18"/>
    </row>
    <row r="518">
      <c r="A518" s="91"/>
      <c r="B518" s="59"/>
      <c r="C518" s="59"/>
      <c r="D518" s="25"/>
      <c r="E518" s="25"/>
      <c r="F518" s="92"/>
      <c r="G518" s="92"/>
      <c r="H518" s="93"/>
      <c r="I518" s="25"/>
    </row>
    <row r="519">
      <c r="A519" s="87"/>
      <c r="B519" s="88"/>
      <c r="C519" s="88"/>
      <c r="D519" s="18"/>
      <c r="E519" s="18"/>
      <c r="F519" s="89"/>
      <c r="G519" s="89"/>
      <c r="H519" s="90"/>
      <c r="I519" s="18"/>
    </row>
    <row r="520">
      <c r="A520" s="91"/>
      <c r="B520" s="59"/>
      <c r="C520" s="59"/>
      <c r="D520" s="25"/>
      <c r="E520" s="25"/>
      <c r="F520" s="92"/>
      <c r="G520" s="92"/>
      <c r="H520" s="93"/>
      <c r="I520" s="25"/>
    </row>
    <row r="521">
      <c r="A521" s="87"/>
      <c r="B521" s="88"/>
      <c r="C521" s="88"/>
      <c r="D521" s="18"/>
      <c r="E521" s="18"/>
      <c r="F521" s="89"/>
      <c r="G521" s="89"/>
      <c r="H521" s="90"/>
      <c r="I521" s="18"/>
    </row>
    <row r="522">
      <c r="A522" s="91"/>
      <c r="B522" s="59"/>
      <c r="C522" s="59"/>
      <c r="D522" s="25"/>
      <c r="E522" s="25"/>
      <c r="F522" s="92"/>
      <c r="G522" s="92"/>
      <c r="H522" s="93"/>
      <c r="I522" s="25"/>
    </row>
    <row r="523">
      <c r="A523" s="87"/>
      <c r="B523" s="88"/>
      <c r="C523" s="88"/>
      <c r="D523" s="18"/>
      <c r="E523" s="18"/>
      <c r="F523" s="89"/>
      <c r="G523" s="89"/>
      <c r="H523" s="90"/>
      <c r="I523" s="18"/>
    </row>
    <row r="524">
      <c r="A524" s="91"/>
      <c r="B524" s="59"/>
      <c r="C524" s="59"/>
      <c r="D524" s="25"/>
      <c r="E524" s="25"/>
      <c r="F524" s="92"/>
      <c r="G524" s="92"/>
      <c r="H524" s="93"/>
      <c r="I524" s="25"/>
    </row>
    <row r="525">
      <c r="A525" s="87"/>
      <c r="B525" s="88"/>
      <c r="C525" s="88"/>
      <c r="D525" s="18"/>
      <c r="E525" s="18"/>
      <c r="F525" s="89"/>
      <c r="G525" s="89"/>
      <c r="H525" s="90"/>
      <c r="I525" s="18"/>
    </row>
    <row r="526">
      <c r="A526" s="91"/>
      <c r="B526" s="59"/>
      <c r="C526" s="59"/>
      <c r="D526" s="25"/>
      <c r="E526" s="25"/>
      <c r="F526" s="92"/>
      <c r="G526" s="92"/>
      <c r="H526" s="93"/>
      <c r="I526" s="25"/>
    </row>
    <row r="527">
      <c r="A527" s="87"/>
      <c r="B527" s="88"/>
      <c r="C527" s="88"/>
      <c r="D527" s="18"/>
      <c r="E527" s="18"/>
      <c r="F527" s="89"/>
      <c r="G527" s="89"/>
      <c r="H527" s="90"/>
      <c r="I527" s="18"/>
    </row>
    <row r="528">
      <c r="A528" s="91"/>
      <c r="B528" s="59"/>
      <c r="C528" s="59"/>
      <c r="D528" s="25"/>
      <c r="E528" s="25"/>
      <c r="F528" s="92"/>
      <c r="G528" s="92"/>
      <c r="H528" s="93"/>
      <c r="I528" s="25"/>
    </row>
    <row r="529">
      <c r="A529" s="87"/>
      <c r="B529" s="88"/>
      <c r="C529" s="88"/>
      <c r="D529" s="18"/>
      <c r="E529" s="18"/>
      <c r="F529" s="89"/>
      <c r="G529" s="89"/>
      <c r="H529" s="90"/>
      <c r="I529" s="18"/>
    </row>
    <row r="530">
      <c r="A530" s="91"/>
      <c r="B530" s="59"/>
      <c r="C530" s="59"/>
      <c r="D530" s="25"/>
      <c r="E530" s="25"/>
      <c r="F530" s="92"/>
      <c r="G530" s="92"/>
      <c r="H530" s="93"/>
      <c r="I530" s="25"/>
    </row>
    <row r="531">
      <c r="A531" s="87"/>
      <c r="B531" s="88"/>
      <c r="C531" s="88"/>
      <c r="D531" s="18"/>
      <c r="E531" s="18"/>
      <c r="F531" s="89"/>
      <c r="G531" s="89"/>
      <c r="H531" s="90"/>
      <c r="I531" s="18"/>
    </row>
    <row r="532">
      <c r="A532" s="91"/>
      <c r="B532" s="59"/>
      <c r="C532" s="59"/>
      <c r="D532" s="25"/>
      <c r="E532" s="25"/>
      <c r="F532" s="92"/>
      <c r="G532" s="92"/>
      <c r="H532" s="93"/>
      <c r="I532" s="25"/>
    </row>
    <row r="533">
      <c r="A533" s="87"/>
      <c r="B533" s="88"/>
      <c r="C533" s="88"/>
      <c r="D533" s="18"/>
      <c r="E533" s="18"/>
      <c r="F533" s="89"/>
      <c r="G533" s="89"/>
      <c r="H533" s="90"/>
      <c r="I533" s="18"/>
    </row>
    <row r="534">
      <c r="A534" s="91"/>
      <c r="B534" s="59"/>
      <c r="C534" s="59"/>
      <c r="D534" s="25"/>
      <c r="E534" s="25"/>
      <c r="F534" s="92"/>
      <c r="G534" s="92"/>
      <c r="H534" s="93"/>
      <c r="I534" s="25"/>
    </row>
    <row r="535">
      <c r="A535" s="87"/>
      <c r="B535" s="88"/>
      <c r="C535" s="88"/>
      <c r="D535" s="18"/>
      <c r="E535" s="18"/>
      <c r="F535" s="89"/>
      <c r="G535" s="89"/>
      <c r="H535" s="90"/>
      <c r="I535" s="18"/>
    </row>
    <row r="536">
      <c r="A536" s="91"/>
      <c r="B536" s="59"/>
      <c r="C536" s="59"/>
      <c r="D536" s="25"/>
      <c r="E536" s="25"/>
      <c r="F536" s="92"/>
      <c r="G536" s="92"/>
      <c r="H536" s="93"/>
      <c r="I536" s="25"/>
    </row>
    <row r="537">
      <c r="A537" s="87"/>
      <c r="B537" s="88"/>
      <c r="C537" s="88"/>
      <c r="D537" s="18"/>
      <c r="E537" s="18"/>
      <c r="F537" s="89"/>
      <c r="G537" s="89"/>
      <c r="H537" s="90"/>
      <c r="I537" s="18"/>
    </row>
    <row r="538">
      <c r="A538" s="91"/>
      <c r="B538" s="59"/>
      <c r="C538" s="59"/>
      <c r="D538" s="25"/>
      <c r="E538" s="25"/>
      <c r="F538" s="92"/>
      <c r="G538" s="92"/>
      <c r="H538" s="93"/>
      <c r="I538" s="25"/>
    </row>
    <row r="539">
      <c r="A539" s="87"/>
      <c r="B539" s="88"/>
      <c r="C539" s="88"/>
      <c r="D539" s="18"/>
      <c r="E539" s="18"/>
      <c r="F539" s="89"/>
      <c r="G539" s="89"/>
      <c r="H539" s="90"/>
      <c r="I539" s="18"/>
    </row>
    <row r="540">
      <c r="A540" s="91"/>
      <c r="B540" s="59"/>
      <c r="C540" s="59"/>
      <c r="D540" s="25"/>
      <c r="E540" s="25"/>
      <c r="F540" s="92"/>
      <c r="G540" s="92"/>
      <c r="H540" s="93"/>
      <c r="I540" s="25"/>
    </row>
    <row r="541">
      <c r="A541" s="87"/>
      <c r="B541" s="88"/>
      <c r="C541" s="88"/>
      <c r="D541" s="18"/>
      <c r="E541" s="18"/>
      <c r="F541" s="89"/>
      <c r="G541" s="89"/>
      <c r="H541" s="90"/>
      <c r="I541" s="18"/>
    </row>
    <row r="542">
      <c r="A542" s="91"/>
      <c r="B542" s="59"/>
      <c r="C542" s="59"/>
      <c r="D542" s="25"/>
      <c r="E542" s="25"/>
      <c r="F542" s="92"/>
      <c r="G542" s="92"/>
      <c r="H542" s="93"/>
      <c r="I542" s="25"/>
    </row>
    <row r="543">
      <c r="A543" s="87"/>
      <c r="B543" s="88"/>
      <c r="C543" s="88"/>
      <c r="D543" s="18"/>
      <c r="E543" s="18"/>
      <c r="F543" s="89"/>
      <c r="G543" s="89"/>
      <c r="H543" s="90"/>
      <c r="I543" s="18"/>
    </row>
    <row r="544">
      <c r="A544" s="91"/>
      <c r="B544" s="59"/>
      <c r="C544" s="59"/>
      <c r="D544" s="25"/>
      <c r="E544" s="25"/>
      <c r="F544" s="92"/>
      <c r="G544" s="92"/>
      <c r="H544" s="93"/>
      <c r="I544" s="25"/>
    </row>
    <row r="545">
      <c r="A545" s="87"/>
      <c r="B545" s="88"/>
      <c r="C545" s="88"/>
      <c r="D545" s="18"/>
      <c r="E545" s="18"/>
      <c r="F545" s="89"/>
      <c r="G545" s="89"/>
      <c r="H545" s="90"/>
      <c r="I545" s="18"/>
    </row>
    <row r="546">
      <c r="A546" s="91"/>
      <c r="B546" s="59"/>
      <c r="C546" s="59"/>
      <c r="D546" s="25"/>
      <c r="E546" s="25"/>
      <c r="F546" s="92"/>
      <c r="G546" s="92"/>
      <c r="H546" s="93"/>
      <c r="I546" s="25"/>
    </row>
    <row r="547">
      <c r="A547" s="87"/>
      <c r="B547" s="88"/>
      <c r="C547" s="88"/>
      <c r="D547" s="18"/>
      <c r="E547" s="18"/>
      <c r="F547" s="89"/>
      <c r="G547" s="89"/>
      <c r="H547" s="90"/>
      <c r="I547" s="18"/>
    </row>
    <row r="548">
      <c r="A548" s="91"/>
      <c r="B548" s="59"/>
      <c r="C548" s="59"/>
      <c r="D548" s="25"/>
      <c r="E548" s="25"/>
      <c r="F548" s="92"/>
      <c r="G548" s="92"/>
      <c r="H548" s="93"/>
      <c r="I548" s="25"/>
    </row>
    <row r="549">
      <c r="A549" s="87"/>
      <c r="B549" s="88"/>
      <c r="C549" s="88"/>
      <c r="D549" s="18"/>
      <c r="E549" s="18"/>
      <c r="F549" s="89"/>
      <c r="G549" s="89"/>
      <c r="H549" s="90"/>
      <c r="I549" s="18"/>
    </row>
    <row r="550">
      <c r="A550" s="91"/>
      <c r="B550" s="59"/>
      <c r="C550" s="59"/>
      <c r="D550" s="25"/>
      <c r="E550" s="25"/>
      <c r="F550" s="92"/>
      <c r="G550" s="92"/>
      <c r="H550" s="93"/>
      <c r="I550" s="25"/>
    </row>
    <row r="551">
      <c r="A551" s="87"/>
      <c r="B551" s="88"/>
      <c r="C551" s="88"/>
      <c r="D551" s="18"/>
      <c r="E551" s="18"/>
      <c r="F551" s="89"/>
      <c r="G551" s="89"/>
      <c r="H551" s="90"/>
      <c r="I551" s="18"/>
    </row>
    <row r="552">
      <c r="A552" s="91"/>
      <c r="B552" s="59"/>
      <c r="C552" s="59"/>
      <c r="D552" s="25"/>
      <c r="E552" s="25"/>
      <c r="F552" s="92"/>
      <c r="G552" s="92"/>
      <c r="H552" s="93"/>
      <c r="I552" s="25"/>
    </row>
    <row r="553">
      <c r="A553" s="87"/>
      <c r="B553" s="88"/>
      <c r="C553" s="88"/>
      <c r="D553" s="18"/>
      <c r="E553" s="18"/>
      <c r="F553" s="89"/>
      <c r="G553" s="89"/>
      <c r="H553" s="90"/>
      <c r="I553" s="18"/>
    </row>
    <row r="554">
      <c r="A554" s="91"/>
      <c r="B554" s="59"/>
      <c r="C554" s="59"/>
      <c r="D554" s="25"/>
      <c r="E554" s="25"/>
      <c r="F554" s="92"/>
      <c r="G554" s="92"/>
      <c r="H554" s="93"/>
      <c r="I554" s="25"/>
    </row>
    <row r="555">
      <c r="A555" s="87"/>
      <c r="B555" s="88"/>
      <c r="C555" s="88"/>
      <c r="D555" s="18"/>
      <c r="E555" s="18"/>
      <c r="F555" s="89"/>
      <c r="G555" s="89"/>
      <c r="H555" s="90"/>
      <c r="I555" s="18"/>
    </row>
    <row r="556">
      <c r="A556" s="91"/>
      <c r="B556" s="59"/>
      <c r="C556" s="59"/>
      <c r="D556" s="25"/>
      <c r="E556" s="25"/>
      <c r="F556" s="92"/>
      <c r="G556" s="92"/>
      <c r="H556" s="93"/>
      <c r="I556" s="25"/>
    </row>
    <row r="557">
      <c r="A557" s="87"/>
      <c r="B557" s="88"/>
      <c r="C557" s="88"/>
      <c r="D557" s="18"/>
      <c r="E557" s="18"/>
      <c r="F557" s="89"/>
      <c r="G557" s="89"/>
      <c r="H557" s="90"/>
      <c r="I557" s="18"/>
    </row>
    <row r="558">
      <c r="A558" s="91"/>
      <c r="B558" s="59"/>
      <c r="C558" s="59"/>
      <c r="D558" s="25"/>
      <c r="E558" s="25"/>
      <c r="F558" s="92"/>
      <c r="G558" s="92"/>
      <c r="H558" s="93"/>
      <c r="I558" s="25"/>
    </row>
    <row r="559">
      <c r="A559" s="87"/>
      <c r="B559" s="88"/>
      <c r="C559" s="88"/>
      <c r="D559" s="18"/>
      <c r="E559" s="18"/>
      <c r="F559" s="89"/>
      <c r="G559" s="89"/>
      <c r="H559" s="90"/>
      <c r="I559" s="18"/>
    </row>
    <row r="560">
      <c r="A560" s="91"/>
      <c r="B560" s="59"/>
      <c r="C560" s="59"/>
      <c r="D560" s="25"/>
      <c r="E560" s="25"/>
      <c r="F560" s="92"/>
      <c r="G560" s="92"/>
      <c r="H560" s="93"/>
      <c r="I560" s="25"/>
    </row>
    <row r="561">
      <c r="A561" s="87"/>
      <c r="B561" s="88"/>
      <c r="C561" s="88"/>
      <c r="D561" s="18"/>
      <c r="E561" s="18"/>
      <c r="F561" s="89"/>
      <c r="G561" s="89"/>
      <c r="H561" s="90"/>
      <c r="I561" s="18"/>
    </row>
    <row r="562">
      <c r="A562" s="91"/>
      <c r="B562" s="59"/>
      <c r="C562" s="59"/>
      <c r="D562" s="25"/>
      <c r="E562" s="25"/>
      <c r="F562" s="92"/>
      <c r="G562" s="92"/>
      <c r="H562" s="93"/>
      <c r="I562" s="25"/>
    </row>
    <row r="563">
      <c r="A563" s="87"/>
      <c r="B563" s="88"/>
      <c r="C563" s="88"/>
      <c r="D563" s="18"/>
      <c r="E563" s="18"/>
      <c r="F563" s="89"/>
      <c r="G563" s="89"/>
      <c r="H563" s="90"/>
      <c r="I563" s="18"/>
    </row>
    <row r="564">
      <c r="A564" s="91"/>
      <c r="B564" s="59"/>
      <c r="C564" s="59"/>
      <c r="D564" s="25"/>
      <c r="E564" s="25"/>
      <c r="F564" s="92"/>
      <c r="G564" s="92"/>
      <c r="H564" s="93"/>
      <c r="I564" s="25"/>
    </row>
    <row r="565">
      <c r="A565" s="87"/>
      <c r="B565" s="88"/>
      <c r="C565" s="88"/>
      <c r="D565" s="18"/>
      <c r="E565" s="18"/>
      <c r="F565" s="89"/>
      <c r="G565" s="89"/>
      <c r="H565" s="90"/>
      <c r="I565" s="18"/>
    </row>
    <row r="566">
      <c r="A566" s="91"/>
      <c r="B566" s="59"/>
      <c r="C566" s="59"/>
      <c r="D566" s="25"/>
      <c r="E566" s="25"/>
      <c r="F566" s="92"/>
      <c r="G566" s="92"/>
      <c r="H566" s="93"/>
      <c r="I566" s="25"/>
    </row>
    <row r="567">
      <c r="A567" s="87"/>
      <c r="B567" s="88"/>
      <c r="C567" s="88"/>
      <c r="D567" s="18"/>
      <c r="E567" s="18"/>
      <c r="F567" s="89"/>
      <c r="G567" s="89"/>
      <c r="H567" s="90"/>
      <c r="I567" s="18"/>
    </row>
    <row r="568">
      <c r="A568" s="91"/>
      <c r="B568" s="59"/>
      <c r="C568" s="59"/>
      <c r="D568" s="25"/>
      <c r="E568" s="25"/>
      <c r="F568" s="92"/>
      <c r="G568" s="92"/>
      <c r="H568" s="93"/>
      <c r="I568" s="25"/>
    </row>
    <row r="569">
      <c r="A569" s="87"/>
      <c r="B569" s="88"/>
      <c r="C569" s="88"/>
      <c r="D569" s="18"/>
      <c r="E569" s="18"/>
      <c r="F569" s="89"/>
      <c r="G569" s="89"/>
      <c r="H569" s="90"/>
      <c r="I569" s="18"/>
    </row>
    <row r="570">
      <c r="A570" s="91"/>
      <c r="B570" s="59"/>
      <c r="C570" s="59"/>
      <c r="D570" s="25"/>
      <c r="E570" s="25"/>
      <c r="F570" s="92"/>
      <c r="G570" s="92"/>
      <c r="H570" s="93"/>
      <c r="I570" s="25"/>
    </row>
    <row r="571">
      <c r="A571" s="87"/>
      <c r="B571" s="88"/>
      <c r="C571" s="88"/>
      <c r="D571" s="18"/>
      <c r="E571" s="18"/>
      <c r="F571" s="89"/>
      <c r="G571" s="89"/>
      <c r="H571" s="90"/>
      <c r="I571" s="18"/>
    </row>
    <row r="572">
      <c r="A572" s="91"/>
      <c r="B572" s="59"/>
      <c r="C572" s="59"/>
      <c r="D572" s="25"/>
      <c r="E572" s="25"/>
      <c r="F572" s="92"/>
      <c r="G572" s="92"/>
      <c r="H572" s="93"/>
      <c r="I572" s="25"/>
    </row>
    <row r="573">
      <c r="A573" s="87"/>
      <c r="B573" s="88"/>
      <c r="C573" s="88"/>
      <c r="D573" s="18"/>
      <c r="E573" s="18"/>
      <c r="F573" s="89"/>
      <c r="G573" s="89"/>
      <c r="H573" s="90"/>
      <c r="I573" s="18"/>
    </row>
    <row r="574">
      <c r="A574" s="91"/>
      <c r="B574" s="59"/>
      <c r="C574" s="59"/>
      <c r="D574" s="25"/>
      <c r="E574" s="25"/>
      <c r="F574" s="92"/>
      <c r="G574" s="92"/>
      <c r="H574" s="93"/>
      <c r="I574" s="25"/>
    </row>
    <row r="575">
      <c r="A575" s="87"/>
      <c r="B575" s="88"/>
      <c r="C575" s="88"/>
      <c r="D575" s="18"/>
      <c r="E575" s="18"/>
      <c r="F575" s="89"/>
      <c r="G575" s="89"/>
      <c r="H575" s="90"/>
      <c r="I575" s="18"/>
    </row>
    <row r="576">
      <c r="A576" s="91"/>
      <c r="B576" s="59"/>
      <c r="C576" s="59"/>
      <c r="D576" s="25"/>
      <c r="E576" s="25"/>
      <c r="F576" s="92"/>
      <c r="G576" s="92"/>
      <c r="H576" s="93"/>
      <c r="I576" s="25"/>
    </row>
    <row r="577">
      <c r="A577" s="87"/>
      <c r="B577" s="88"/>
      <c r="C577" s="88"/>
      <c r="D577" s="18"/>
      <c r="E577" s="18"/>
      <c r="F577" s="89"/>
      <c r="G577" s="89"/>
      <c r="H577" s="90"/>
      <c r="I577" s="18"/>
    </row>
    <row r="578">
      <c r="A578" s="91"/>
      <c r="B578" s="59"/>
      <c r="C578" s="59"/>
      <c r="D578" s="25"/>
      <c r="E578" s="25"/>
      <c r="F578" s="92"/>
      <c r="G578" s="92"/>
      <c r="H578" s="93"/>
      <c r="I578" s="25"/>
    </row>
    <row r="579">
      <c r="A579" s="87"/>
      <c r="B579" s="88"/>
      <c r="C579" s="88"/>
      <c r="D579" s="18"/>
      <c r="E579" s="18"/>
      <c r="F579" s="89"/>
      <c r="G579" s="89"/>
      <c r="H579" s="90"/>
      <c r="I579" s="18"/>
    </row>
    <row r="580">
      <c r="A580" s="91"/>
      <c r="B580" s="59"/>
      <c r="C580" s="59"/>
      <c r="D580" s="25"/>
      <c r="E580" s="25"/>
      <c r="F580" s="92"/>
      <c r="G580" s="92"/>
      <c r="H580" s="93"/>
      <c r="I580" s="25"/>
    </row>
    <row r="581">
      <c r="A581" s="87"/>
      <c r="B581" s="88"/>
      <c r="C581" s="88"/>
      <c r="D581" s="18"/>
      <c r="E581" s="18"/>
      <c r="F581" s="89"/>
      <c r="G581" s="89"/>
      <c r="H581" s="90"/>
      <c r="I581" s="18"/>
    </row>
    <row r="582">
      <c r="A582" s="91"/>
      <c r="B582" s="59"/>
      <c r="C582" s="59"/>
      <c r="D582" s="25"/>
      <c r="E582" s="25"/>
      <c r="F582" s="92"/>
      <c r="G582" s="92"/>
      <c r="H582" s="93"/>
      <c r="I582" s="25"/>
    </row>
    <row r="583">
      <c r="A583" s="87"/>
      <c r="B583" s="88"/>
      <c r="C583" s="88"/>
      <c r="D583" s="18"/>
      <c r="E583" s="18"/>
      <c r="F583" s="89"/>
      <c r="G583" s="89"/>
      <c r="H583" s="90"/>
      <c r="I583" s="18"/>
    </row>
    <row r="584">
      <c r="A584" s="91"/>
      <c r="B584" s="59"/>
      <c r="C584" s="59"/>
      <c r="D584" s="25"/>
      <c r="E584" s="25"/>
      <c r="F584" s="92"/>
      <c r="G584" s="92"/>
      <c r="H584" s="93"/>
      <c r="I584" s="25"/>
    </row>
    <row r="585">
      <c r="A585" s="87"/>
      <c r="B585" s="88"/>
      <c r="C585" s="88"/>
      <c r="D585" s="18"/>
      <c r="E585" s="18"/>
      <c r="F585" s="89"/>
      <c r="G585" s="89"/>
      <c r="H585" s="90"/>
      <c r="I585" s="18"/>
    </row>
    <row r="586">
      <c r="A586" s="91"/>
      <c r="B586" s="59"/>
      <c r="C586" s="59"/>
      <c r="D586" s="25"/>
      <c r="E586" s="25"/>
      <c r="F586" s="92"/>
      <c r="G586" s="92"/>
      <c r="H586" s="93"/>
      <c r="I586" s="25"/>
    </row>
    <row r="587">
      <c r="A587" s="87"/>
      <c r="B587" s="88"/>
      <c r="C587" s="88"/>
      <c r="D587" s="18"/>
      <c r="E587" s="18"/>
      <c r="F587" s="89"/>
      <c r="G587" s="89"/>
      <c r="H587" s="90"/>
      <c r="I587" s="18"/>
    </row>
    <row r="588">
      <c r="A588" s="91"/>
      <c r="B588" s="59"/>
      <c r="C588" s="59"/>
      <c r="D588" s="25"/>
      <c r="E588" s="25"/>
      <c r="F588" s="92"/>
      <c r="G588" s="92"/>
      <c r="H588" s="93"/>
      <c r="I588" s="25"/>
    </row>
    <row r="589">
      <c r="A589" s="87"/>
      <c r="B589" s="88"/>
      <c r="C589" s="88"/>
      <c r="D589" s="18"/>
      <c r="E589" s="18"/>
      <c r="F589" s="89"/>
      <c r="G589" s="89"/>
      <c r="H589" s="90"/>
      <c r="I589" s="18"/>
    </row>
    <row r="590">
      <c r="A590" s="91"/>
      <c r="B590" s="59"/>
      <c r="C590" s="59"/>
      <c r="D590" s="25"/>
      <c r="E590" s="25"/>
      <c r="F590" s="92"/>
      <c r="G590" s="92"/>
      <c r="H590" s="93"/>
      <c r="I590" s="25"/>
    </row>
    <row r="591">
      <c r="A591" s="87"/>
      <c r="B591" s="88"/>
      <c r="C591" s="88"/>
      <c r="D591" s="18"/>
      <c r="E591" s="18"/>
      <c r="F591" s="89"/>
      <c r="G591" s="89"/>
      <c r="H591" s="90"/>
      <c r="I591" s="18"/>
    </row>
    <row r="592">
      <c r="A592" s="91"/>
      <c r="B592" s="59"/>
      <c r="C592" s="59"/>
      <c r="D592" s="25"/>
      <c r="E592" s="25"/>
      <c r="F592" s="92"/>
      <c r="G592" s="92"/>
      <c r="H592" s="93"/>
      <c r="I592" s="25"/>
    </row>
    <row r="593">
      <c r="A593" s="87"/>
      <c r="B593" s="88"/>
      <c r="C593" s="88"/>
      <c r="D593" s="18"/>
      <c r="E593" s="18"/>
      <c r="F593" s="89"/>
      <c r="G593" s="89"/>
      <c r="H593" s="90"/>
      <c r="I593" s="18"/>
    </row>
    <row r="594">
      <c r="A594" s="91"/>
      <c r="B594" s="59"/>
      <c r="C594" s="59"/>
      <c r="D594" s="25"/>
      <c r="E594" s="25"/>
      <c r="F594" s="92"/>
      <c r="G594" s="92"/>
      <c r="H594" s="93"/>
      <c r="I594" s="25"/>
    </row>
    <row r="595">
      <c r="A595" s="87"/>
      <c r="B595" s="88"/>
      <c r="C595" s="88"/>
      <c r="D595" s="18"/>
      <c r="E595" s="18"/>
      <c r="F595" s="89"/>
      <c r="G595" s="89"/>
      <c r="H595" s="90"/>
      <c r="I595" s="18"/>
    </row>
    <row r="596">
      <c r="A596" s="91"/>
      <c r="B596" s="59"/>
      <c r="C596" s="59"/>
      <c r="D596" s="25"/>
      <c r="E596" s="25"/>
      <c r="F596" s="92"/>
      <c r="G596" s="92"/>
      <c r="H596" s="93"/>
      <c r="I596" s="25"/>
    </row>
    <row r="597">
      <c r="A597" s="87"/>
      <c r="B597" s="88"/>
      <c r="C597" s="88"/>
      <c r="D597" s="18"/>
      <c r="E597" s="18"/>
      <c r="F597" s="89"/>
      <c r="G597" s="89"/>
      <c r="H597" s="90"/>
      <c r="I597" s="18"/>
    </row>
    <row r="598">
      <c r="A598" s="91"/>
      <c r="B598" s="59"/>
      <c r="C598" s="59"/>
      <c r="D598" s="25"/>
      <c r="E598" s="25"/>
      <c r="F598" s="92"/>
      <c r="G598" s="92"/>
      <c r="H598" s="93"/>
      <c r="I598" s="25"/>
    </row>
    <row r="599">
      <c r="A599" s="87"/>
      <c r="B599" s="88"/>
      <c r="C599" s="88"/>
      <c r="D599" s="18"/>
      <c r="E599" s="18"/>
      <c r="F599" s="89"/>
      <c r="G599" s="89"/>
      <c r="H599" s="90"/>
      <c r="I599" s="18"/>
    </row>
    <row r="600">
      <c r="A600" s="91"/>
      <c r="B600" s="59"/>
      <c r="C600" s="59"/>
      <c r="D600" s="25"/>
      <c r="E600" s="25"/>
      <c r="F600" s="92"/>
      <c r="G600" s="92"/>
      <c r="H600" s="93"/>
      <c r="I600" s="25"/>
    </row>
    <row r="601">
      <c r="A601" s="87"/>
      <c r="B601" s="88"/>
      <c r="C601" s="88"/>
      <c r="D601" s="18"/>
      <c r="E601" s="18"/>
      <c r="F601" s="89"/>
      <c r="G601" s="89"/>
      <c r="H601" s="90"/>
      <c r="I601" s="18"/>
    </row>
    <row r="602">
      <c r="A602" s="91"/>
      <c r="B602" s="59"/>
      <c r="C602" s="59"/>
      <c r="D602" s="25"/>
      <c r="E602" s="25"/>
      <c r="F602" s="92"/>
      <c r="G602" s="92"/>
      <c r="H602" s="93"/>
      <c r="I602" s="25"/>
    </row>
    <row r="603">
      <c r="A603" s="87"/>
      <c r="B603" s="88"/>
      <c r="C603" s="88"/>
      <c r="D603" s="18"/>
      <c r="E603" s="18"/>
      <c r="F603" s="89"/>
      <c r="G603" s="89"/>
      <c r="H603" s="90"/>
      <c r="I603" s="18"/>
    </row>
    <row r="604">
      <c r="A604" s="91"/>
      <c r="B604" s="59"/>
      <c r="C604" s="59"/>
      <c r="D604" s="25"/>
      <c r="E604" s="25"/>
      <c r="F604" s="92"/>
      <c r="G604" s="92"/>
      <c r="H604" s="93"/>
      <c r="I604" s="25"/>
    </row>
    <row r="605">
      <c r="A605" s="87"/>
      <c r="B605" s="88"/>
      <c r="C605" s="88"/>
      <c r="D605" s="18"/>
      <c r="E605" s="18"/>
      <c r="F605" s="89"/>
      <c r="G605" s="89"/>
      <c r="H605" s="90"/>
      <c r="I605" s="18"/>
    </row>
    <row r="606">
      <c r="A606" s="91"/>
      <c r="B606" s="59"/>
      <c r="C606" s="59"/>
      <c r="D606" s="25"/>
      <c r="E606" s="25"/>
      <c r="F606" s="92"/>
      <c r="G606" s="92"/>
      <c r="H606" s="93"/>
      <c r="I606" s="25"/>
    </row>
    <row r="607">
      <c r="A607" s="87"/>
      <c r="B607" s="88"/>
      <c r="C607" s="88"/>
      <c r="D607" s="18"/>
      <c r="E607" s="18"/>
      <c r="F607" s="89"/>
      <c r="G607" s="89"/>
      <c r="H607" s="90"/>
      <c r="I607" s="18"/>
    </row>
    <row r="608">
      <c r="A608" s="91"/>
      <c r="B608" s="59"/>
      <c r="C608" s="59"/>
      <c r="D608" s="25"/>
      <c r="E608" s="25"/>
      <c r="F608" s="92"/>
      <c r="G608" s="92"/>
      <c r="H608" s="93"/>
      <c r="I608" s="25"/>
    </row>
    <row r="609">
      <c r="A609" s="87"/>
      <c r="B609" s="88"/>
      <c r="C609" s="88"/>
      <c r="D609" s="18"/>
      <c r="E609" s="18"/>
      <c r="F609" s="89"/>
      <c r="G609" s="89"/>
      <c r="H609" s="90"/>
      <c r="I609" s="18"/>
    </row>
    <row r="610">
      <c r="A610" s="91"/>
      <c r="B610" s="59"/>
      <c r="C610" s="59"/>
      <c r="D610" s="25"/>
      <c r="E610" s="25"/>
      <c r="F610" s="92"/>
      <c r="G610" s="92"/>
      <c r="H610" s="93"/>
      <c r="I610" s="25"/>
    </row>
    <row r="611">
      <c r="A611" s="87"/>
      <c r="B611" s="88"/>
      <c r="C611" s="88"/>
      <c r="D611" s="18"/>
      <c r="E611" s="18"/>
      <c r="F611" s="89"/>
      <c r="G611" s="89"/>
      <c r="H611" s="90"/>
      <c r="I611" s="18"/>
    </row>
    <row r="612">
      <c r="A612" s="91"/>
      <c r="B612" s="59"/>
      <c r="C612" s="59"/>
      <c r="D612" s="25"/>
      <c r="E612" s="25"/>
      <c r="F612" s="92"/>
      <c r="G612" s="92"/>
      <c r="H612" s="93"/>
      <c r="I612" s="25"/>
    </row>
    <row r="613">
      <c r="A613" s="87"/>
      <c r="B613" s="88"/>
      <c r="C613" s="88"/>
      <c r="D613" s="18"/>
      <c r="E613" s="18"/>
      <c r="F613" s="89"/>
      <c r="G613" s="89"/>
      <c r="H613" s="90"/>
      <c r="I613" s="18"/>
    </row>
    <row r="614">
      <c r="A614" s="91"/>
      <c r="B614" s="59"/>
      <c r="C614" s="59"/>
      <c r="D614" s="25"/>
      <c r="E614" s="25"/>
      <c r="F614" s="92"/>
      <c r="G614" s="92"/>
      <c r="H614" s="93"/>
      <c r="I614" s="25"/>
    </row>
    <row r="615">
      <c r="A615" s="87"/>
      <c r="B615" s="88"/>
      <c r="C615" s="88"/>
      <c r="D615" s="18"/>
      <c r="E615" s="18"/>
      <c r="F615" s="89"/>
      <c r="G615" s="89"/>
      <c r="H615" s="90"/>
      <c r="I615" s="18"/>
    </row>
    <row r="616">
      <c r="A616" s="91"/>
      <c r="B616" s="59"/>
      <c r="C616" s="59"/>
      <c r="D616" s="25"/>
      <c r="E616" s="25"/>
      <c r="F616" s="92"/>
      <c r="G616" s="92"/>
      <c r="H616" s="93"/>
      <c r="I616" s="25"/>
    </row>
    <row r="617">
      <c r="A617" s="87"/>
      <c r="B617" s="88"/>
      <c r="C617" s="88"/>
      <c r="D617" s="18"/>
      <c r="E617" s="18"/>
      <c r="F617" s="89"/>
      <c r="G617" s="89"/>
      <c r="H617" s="90"/>
      <c r="I617" s="18"/>
    </row>
    <row r="618">
      <c r="A618" s="91"/>
      <c r="B618" s="59"/>
      <c r="C618" s="59"/>
      <c r="D618" s="25"/>
      <c r="E618" s="25"/>
      <c r="F618" s="92"/>
      <c r="G618" s="92"/>
      <c r="H618" s="93"/>
      <c r="I618" s="25"/>
    </row>
    <row r="619">
      <c r="A619" s="87"/>
      <c r="B619" s="88"/>
      <c r="C619" s="88"/>
      <c r="D619" s="18"/>
      <c r="E619" s="18"/>
      <c r="F619" s="89"/>
      <c r="G619" s="89"/>
      <c r="H619" s="90"/>
      <c r="I619" s="18"/>
    </row>
    <row r="620">
      <c r="A620" s="91"/>
      <c r="B620" s="59"/>
      <c r="C620" s="59"/>
      <c r="D620" s="25"/>
      <c r="E620" s="25"/>
      <c r="F620" s="92"/>
      <c r="G620" s="92"/>
      <c r="H620" s="93"/>
      <c r="I620" s="25"/>
    </row>
    <row r="621">
      <c r="A621" s="87"/>
      <c r="B621" s="88"/>
      <c r="C621" s="88"/>
      <c r="D621" s="18"/>
      <c r="E621" s="18"/>
      <c r="F621" s="89"/>
      <c r="G621" s="89"/>
      <c r="H621" s="90"/>
      <c r="I621" s="18"/>
    </row>
    <row r="622">
      <c r="A622" s="91"/>
      <c r="B622" s="59"/>
      <c r="C622" s="59"/>
      <c r="D622" s="25"/>
      <c r="E622" s="25"/>
      <c r="F622" s="92"/>
      <c r="G622" s="92"/>
      <c r="H622" s="93"/>
      <c r="I622" s="25"/>
    </row>
    <row r="623">
      <c r="A623" s="87"/>
      <c r="B623" s="88"/>
      <c r="C623" s="88"/>
      <c r="D623" s="18"/>
      <c r="E623" s="18"/>
      <c r="F623" s="89"/>
      <c r="G623" s="89"/>
      <c r="H623" s="90"/>
      <c r="I623" s="18"/>
    </row>
    <row r="624">
      <c r="A624" s="91"/>
      <c r="B624" s="59"/>
      <c r="C624" s="59"/>
      <c r="D624" s="25"/>
      <c r="E624" s="25"/>
      <c r="F624" s="92"/>
      <c r="G624" s="92"/>
      <c r="H624" s="93"/>
      <c r="I624" s="25"/>
    </row>
    <row r="625">
      <c r="A625" s="87"/>
      <c r="B625" s="88"/>
      <c r="C625" s="88"/>
      <c r="D625" s="18"/>
      <c r="E625" s="18"/>
      <c r="F625" s="89"/>
      <c r="G625" s="89"/>
      <c r="H625" s="90"/>
      <c r="I625" s="18"/>
    </row>
    <row r="626">
      <c r="A626" s="91"/>
      <c r="B626" s="59"/>
      <c r="C626" s="59"/>
      <c r="D626" s="25"/>
      <c r="E626" s="25"/>
      <c r="F626" s="92"/>
      <c r="G626" s="92"/>
      <c r="H626" s="93"/>
      <c r="I626" s="25"/>
    </row>
    <row r="627">
      <c r="A627" s="87"/>
      <c r="B627" s="88"/>
      <c r="C627" s="88"/>
      <c r="D627" s="18"/>
      <c r="E627" s="18"/>
      <c r="F627" s="89"/>
      <c r="G627" s="89"/>
      <c r="H627" s="90"/>
      <c r="I627" s="18"/>
    </row>
    <row r="628">
      <c r="A628" s="91"/>
      <c r="B628" s="59"/>
      <c r="C628" s="59"/>
      <c r="D628" s="25"/>
      <c r="E628" s="25"/>
      <c r="F628" s="92"/>
      <c r="G628" s="92"/>
      <c r="H628" s="93"/>
      <c r="I628" s="25"/>
    </row>
    <row r="629">
      <c r="A629" s="87"/>
      <c r="B629" s="88"/>
      <c r="C629" s="88"/>
      <c r="D629" s="18"/>
      <c r="E629" s="18"/>
      <c r="F629" s="89"/>
      <c r="G629" s="89"/>
      <c r="H629" s="90"/>
      <c r="I629" s="18"/>
    </row>
    <row r="630">
      <c r="A630" s="91"/>
      <c r="B630" s="59"/>
      <c r="C630" s="59"/>
      <c r="D630" s="25"/>
      <c r="E630" s="25"/>
      <c r="F630" s="92"/>
      <c r="G630" s="92"/>
      <c r="H630" s="93"/>
      <c r="I630" s="25"/>
    </row>
    <row r="631">
      <c r="A631" s="87"/>
      <c r="B631" s="88"/>
      <c r="C631" s="88"/>
      <c r="D631" s="18"/>
      <c r="E631" s="18"/>
      <c r="F631" s="89"/>
      <c r="G631" s="89"/>
      <c r="H631" s="90"/>
      <c r="I631" s="18"/>
    </row>
    <row r="632">
      <c r="A632" s="91"/>
      <c r="B632" s="59"/>
      <c r="C632" s="59"/>
      <c r="D632" s="25"/>
      <c r="E632" s="25"/>
      <c r="F632" s="92"/>
      <c r="G632" s="92"/>
      <c r="H632" s="93"/>
      <c r="I632" s="25"/>
    </row>
    <row r="633">
      <c r="A633" s="87"/>
      <c r="B633" s="88"/>
      <c r="C633" s="88"/>
      <c r="D633" s="18"/>
      <c r="E633" s="18"/>
      <c r="F633" s="89"/>
      <c r="G633" s="89"/>
      <c r="H633" s="90"/>
      <c r="I633" s="18"/>
    </row>
    <row r="634">
      <c r="A634" s="91"/>
      <c r="B634" s="59"/>
      <c r="C634" s="59"/>
      <c r="D634" s="25"/>
      <c r="E634" s="25"/>
      <c r="F634" s="92"/>
      <c r="G634" s="92"/>
      <c r="H634" s="93"/>
      <c r="I634" s="25"/>
    </row>
    <row r="635">
      <c r="A635" s="87"/>
      <c r="B635" s="88"/>
      <c r="C635" s="88"/>
      <c r="D635" s="18"/>
      <c r="E635" s="18"/>
      <c r="F635" s="89"/>
      <c r="G635" s="89"/>
      <c r="H635" s="90"/>
      <c r="I635" s="18"/>
    </row>
    <row r="636">
      <c r="A636" s="91"/>
      <c r="B636" s="59"/>
      <c r="C636" s="59"/>
      <c r="D636" s="25"/>
      <c r="E636" s="25"/>
      <c r="F636" s="92"/>
      <c r="G636" s="92"/>
      <c r="H636" s="93"/>
      <c r="I636" s="25"/>
    </row>
    <row r="637">
      <c r="A637" s="87"/>
      <c r="B637" s="88"/>
      <c r="C637" s="88"/>
      <c r="D637" s="18"/>
      <c r="E637" s="18"/>
      <c r="F637" s="89"/>
      <c r="G637" s="89"/>
      <c r="H637" s="90"/>
      <c r="I637" s="18"/>
    </row>
    <row r="638">
      <c r="A638" s="91"/>
      <c r="B638" s="59"/>
      <c r="C638" s="59"/>
      <c r="D638" s="25"/>
      <c r="E638" s="25"/>
      <c r="F638" s="92"/>
      <c r="G638" s="92"/>
      <c r="H638" s="93"/>
      <c r="I638" s="25"/>
    </row>
    <row r="639">
      <c r="A639" s="87"/>
      <c r="B639" s="88"/>
      <c r="C639" s="88"/>
      <c r="D639" s="18"/>
      <c r="E639" s="18"/>
      <c r="F639" s="89"/>
      <c r="G639" s="89"/>
      <c r="H639" s="90"/>
      <c r="I639" s="18"/>
    </row>
    <row r="640">
      <c r="A640" s="91"/>
      <c r="B640" s="59"/>
      <c r="C640" s="59"/>
      <c r="D640" s="25"/>
      <c r="E640" s="25"/>
      <c r="F640" s="92"/>
      <c r="G640" s="92"/>
      <c r="H640" s="93"/>
      <c r="I640" s="25"/>
    </row>
    <row r="641">
      <c r="A641" s="87"/>
      <c r="B641" s="88"/>
      <c r="C641" s="88"/>
      <c r="D641" s="18"/>
      <c r="E641" s="18"/>
      <c r="F641" s="89"/>
      <c r="G641" s="89"/>
      <c r="H641" s="90"/>
      <c r="I641" s="18"/>
    </row>
    <row r="642">
      <c r="A642" s="91"/>
      <c r="B642" s="59"/>
      <c r="C642" s="59"/>
      <c r="D642" s="25"/>
      <c r="E642" s="25"/>
      <c r="F642" s="92"/>
      <c r="G642" s="92"/>
      <c r="H642" s="93"/>
      <c r="I642" s="25"/>
    </row>
    <row r="643">
      <c r="A643" s="87"/>
      <c r="B643" s="88"/>
      <c r="C643" s="88"/>
      <c r="D643" s="18"/>
      <c r="E643" s="18"/>
      <c r="F643" s="89"/>
      <c r="G643" s="89"/>
      <c r="H643" s="90"/>
      <c r="I643" s="18"/>
    </row>
    <row r="644">
      <c r="A644" s="91"/>
      <c r="B644" s="59"/>
      <c r="C644" s="59"/>
      <c r="D644" s="25"/>
      <c r="E644" s="25"/>
      <c r="F644" s="92"/>
      <c r="G644" s="92"/>
      <c r="H644" s="93"/>
      <c r="I644" s="25"/>
    </row>
    <row r="645">
      <c r="A645" s="87"/>
      <c r="B645" s="88"/>
      <c r="C645" s="88"/>
      <c r="D645" s="18"/>
      <c r="E645" s="18"/>
      <c r="F645" s="89"/>
      <c r="G645" s="89"/>
      <c r="H645" s="90"/>
      <c r="I645" s="18"/>
    </row>
    <row r="646">
      <c r="A646" s="91"/>
      <c r="B646" s="59"/>
      <c r="C646" s="59"/>
      <c r="D646" s="25"/>
      <c r="E646" s="25"/>
      <c r="F646" s="92"/>
      <c r="G646" s="92"/>
      <c r="H646" s="93"/>
      <c r="I646" s="25"/>
    </row>
    <row r="647">
      <c r="A647" s="87"/>
      <c r="B647" s="88"/>
      <c r="C647" s="88"/>
      <c r="D647" s="18"/>
      <c r="E647" s="18"/>
      <c r="F647" s="89"/>
      <c r="G647" s="89"/>
      <c r="H647" s="90"/>
      <c r="I647" s="18"/>
    </row>
    <row r="648">
      <c r="A648" s="91"/>
      <c r="B648" s="59"/>
      <c r="C648" s="59"/>
      <c r="D648" s="25"/>
      <c r="E648" s="25"/>
      <c r="F648" s="92"/>
      <c r="G648" s="92"/>
      <c r="H648" s="93"/>
      <c r="I648" s="25"/>
    </row>
    <row r="649">
      <c r="A649" s="87"/>
      <c r="B649" s="88"/>
      <c r="C649" s="88"/>
      <c r="D649" s="18"/>
      <c r="E649" s="18"/>
      <c r="F649" s="89"/>
      <c r="G649" s="89"/>
      <c r="H649" s="90"/>
      <c r="I649" s="18"/>
    </row>
    <row r="650">
      <c r="A650" s="91"/>
      <c r="B650" s="59"/>
      <c r="C650" s="59"/>
      <c r="D650" s="25"/>
      <c r="E650" s="25"/>
      <c r="F650" s="92"/>
      <c r="G650" s="92"/>
      <c r="H650" s="93"/>
      <c r="I650" s="25"/>
    </row>
    <row r="651">
      <c r="A651" s="87"/>
      <c r="B651" s="88"/>
      <c r="C651" s="88"/>
      <c r="D651" s="18"/>
      <c r="E651" s="18"/>
      <c r="F651" s="89"/>
      <c r="G651" s="89"/>
      <c r="H651" s="90"/>
      <c r="I651" s="18"/>
    </row>
    <row r="652">
      <c r="A652" s="91"/>
      <c r="B652" s="59"/>
      <c r="C652" s="59"/>
      <c r="D652" s="25"/>
      <c r="E652" s="25"/>
      <c r="F652" s="92"/>
      <c r="G652" s="92"/>
      <c r="H652" s="93"/>
      <c r="I652" s="25"/>
    </row>
    <row r="653">
      <c r="A653" s="87"/>
      <c r="B653" s="88"/>
      <c r="C653" s="88"/>
      <c r="D653" s="18"/>
      <c r="E653" s="18"/>
      <c r="F653" s="89"/>
      <c r="G653" s="89"/>
      <c r="H653" s="90"/>
      <c r="I653" s="18"/>
    </row>
    <row r="654">
      <c r="A654" s="91"/>
      <c r="B654" s="59"/>
      <c r="C654" s="59"/>
      <c r="D654" s="25"/>
      <c r="E654" s="25"/>
      <c r="F654" s="92"/>
      <c r="G654" s="92"/>
      <c r="H654" s="93"/>
      <c r="I654" s="25"/>
    </row>
    <row r="655">
      <c r="A655" s="87"/>
      <c r="B655" s="88"/>
      <c r="C655" s="88"/>
      <c r="D655" s="18"/>
      <c r="E655" s="18"/>
      <c r="F655" s="89"/>
      <c r="G655" s="89"/>
      <c r="H655" s="90"/>
      <c r="I655" s="18"/>
    </row>
    <row r="656">
      <c r="A656" s="91"/>
      <c r="B656" s="59"/>
      <c r="C656" s="59"/>
      <c r="D656" s="25"/>
      <c r="E656" s="25"/>
      <c r="F656" s="92"/>
      <c r="G656" s="92"/>
      <c r="H656" s="93"/>
      <c r="I656" s="25"/>
    </row>
    <row r="657">
      <c r="A657" s="87"/>
      <c r="B657" s="88"/>
      <c r="C657" s="88"/>
      <c r="D657" s="18"/>
      <c r="E657" s="18"/>
      <c r="F657" s="89"/>
      <c r="G657" s="89"/>
      <c r="H657" s="90"/>
      <c r="I657" s="18"/>
    </row>
    <row r="658">
      <c r="A658" s="91"/>
      <c r="B658" s="59"/>
      <c r="C658" s="59"/>
      <c r="D658" s="25"/>
      <c r="E658" s="25"/>
      <c r="F658" s="92"/>
      <c r="G658" s="92"/>
      <c r="H658" s="93"/>
      <c r="I658" s="25"/>
    </row>
    <row r="659">
      <c r="A659" s="87"/>
      <c r="B659" s="88"/>
      <c r="C659" s="88"/>
      <c r="D659" s="18"/>
      <c r="E659" s="18"/>
      <c r="F659" s="89"/>
      <c r="G659" s="89"/>
      <c r="H659" s="90"/>
      <c r="I659" s="18"/>
    </row>
    <row r="660">
      <c r="A660" s="91"/>
      <c r="B660" s="59"/>
      <c r="C660" s="59"/>
      <c r="D660" s="25"/>
      <c r="E660" s="25"/>
      <c r="F660" s="92"/>
      <c r="G660" s="92"/>
      <c r="H660" s="93"/>
      <c r="I660" s="25"/>
    </row>
    <row r="661">
      <c r="A661" s="87"/>
      <c r="B661" s="88"/>
      <c r="C661" s="88"/>
      <c r="D661" s="18"/>
      <c r="E661" s="18"/>
      <c r="F661" s="89"/>
      <c r="G661" s="89"/>
      <c r="H661" s="90"/>
      <c r="I661" s="18"/>
    </row>
    <row r="662">
      <c r="A662" s="91"/>
      <c r="B662" s="59"/>
      <c r="C662" s="59"/>
      <c r="D662" s="25"/>
      <c r="E662" s="25"/>
      <c r="F662" s="92"/>
      <c r="G662" s="92"/>
      <c r="H662" s="93"/>
      <c r="I662" s="25"/>
    </row>
    <row r="663">
      <c r="A663" s="87"/>
      <c r="B663" s="88"/>
      <c r="C663" s="88"/>
      <c r="D663" s="18"/>
      <c r="E663" s="18"/>
      <c r="F663" s="89"/>
      <c r="G663" s="89"/>
      <c r="H663" s="90"/>
      <c r="I663" s="18"/>
    </row>
    <row r="664">
      <c r="A664" s="91"/>
      <c r="B664" s="59"/>
      <c r="C664" s="59"/>
      <c r="D664" s="25"/>
      <c r="E664" s="25"/>
      <c r="F664" s="92"/>
      <c r="G664" s="92"/>
      <c r="H664" s="93"/>
      <c r="I664" s="25"/>
    </row>
    <row r="665">
      <c r="A665" s="87"/>
      <c r="B665" s="88"/>
      <c r="C665" s="88"/>
      <c r="D665" s="18"/>
      <c r="E665" s="18"/>
      <c r="F665" s="89"/>
      <c r="G665" s="89"/>
      <c r="H665" s="90"/>
      <c r="I665" s="18"/>
    </row>
    <row r="666">
      <c r="A666" s="91"/>
      <c r="B666" s="59"/>
      <c r="C666" s="59"/>
      <c r="D666" s="25"/>
      <c r="E666" s="25"/>
      <c r="F666" s="92"/>
      <c r="G666" s="92"/>
      <c r="H666" s="93"/>
      <c r="I666" s="25"/>
    </row>
    <row r="667">
      <c r="A667" s="87"/>
      <c r="B667" s="88"/>
      <c r="C667" s="88"/>
      <c r="D667" s="18"/>
      <c r="E667" s="18"/>
      <c r="F667" s="89"/>
      <c r="G667" s="89"/>
      <c r="H667" s="90"/>
      <c r="I667" s="18"/>
    </row>
    <row r="668">
      <c r="A668" s="91"/>
      <c r="B668" s="59"/>
      <c r="C668" s="59"/>
      <c r="D668" s="25"/>
      <c r="E668" s="25"/>
      <c r="F668" s="92"/>
      <c r="G668" s="92"/>
      <c r="H668" s="93"/>
      <c r="I668" s="25"/>
    </row>
    <row r="669">
      <c r="A669" s="87"/>
      <c r="B669" s="88"/>
      <c r="C669" s="88"/>
      <c r="D669" s="18"/>
      <c r="E669" s="18"/>
      <c r="F669" s="89"/>
      <c r="G669" s="89"/>
      <c r="H669" s="90"/>
      <c r="I669" s="18"/>
    </row>
    <row r="670">
      <c r="A670" s="91"/>
      <c r="B670" s="59"/>
      <c r="C670" s="59"/>
      <c r="D670" s="25"/>
      <c r="E670" s="25"/>
      <c r="F670" s="92"/>
      <c r="G670" s="92"/>
      <c r="H670" s="93"/>
      <c r="I670" s="25"/>
    </row>
    <row r="671">
      <c r="A671" s="87"/>
      <c r="B671" s="88"/>
      <c r="C671" s="88"/>
      <c r="D671" s="18"/>
      <c r="E671" s="18"/>
      <c r="F671" s="89"/>
      <c r="G671" s="89"/>
      <c r="H671" s="90"/>
      <c r="I671" s="18"/>
    </row>
    <row r="672">
      <c r="A672" s="91"/>
      <c r="B672" s="59"/>
      <c r="C672" s="59"/>
      <c r="D672" s="25"/>
      <c r="E672" s="25"/>
      <c r="F672" s="92"/>
      <c r="G672" s="92"/>
      <c r="H672" s="93"/>
      <c r="I672" s="25"/>
    </row>
    <row r="673">
      <c r="A673" s="87"/>
      <c r="B673" s="88"/>
      <c r="C673" s="88"/>
      <c r="D673" s="18"/>
      <c r="E673" s="18"/>
      <c r="F673" s="89"/>
      <c r="G673" s="89"/>
      <c r="H673" s="90"/>
      <c r="I673" s="18"/>
    </row>
    <row r="674">
      <c r="A674" s="91"/>
      <c r="B674" s="59"/>
      <c r="C674" s="59"/>
      <c r="D674" s="25"/>
      <c r="E674" s="25"/>
      <c r="F674" s="92"/>
      <c r="G674" s="92"/>
      <c r="H674" s="93"/>
      <c r="I674" s="25"/>
    </row>
    <row r="675">
      <c r="A675" s="87"/>
      <c r="B675" s="88"/>
      <c r="C675" s="88"/>
      <c r="D675" s="18"/>
      <c r="E675" s="18"/>
      <c r="F675" s="89"/>
      <c r="G675" s="89"/>
      <c r="H675" s="90"/>
      <c r="I675" s="18"/>
    </row>
    <row r="676">
      <c r="A676" s="91"/>
      <c r="B676" s="59"/>
      <c r="C676" s="59"/>
      <c r="D676" s="25"/>
      <c r="E676" s="25"/>
      <c r="F676" s="92"/>
      <c r="G676" s="92"/>
      <c r="H676" s="93"/>
      <c r="I676" s="25"/>
    </row>
    <row r="677">
      <c r="A677" s="87"/>
      <c r="B677" s="88"/>
      <c r="C677" s="88"/>
      <c r="D677" s="18"/>
      <c r="E677" s="18"/>
      <c r="F677" s="89"/>
      <c r="G677" s="89"/>
      <c r="H677" s="90"/>
      <c r="I677" s="18"/>
    </row>
    <row r="678">
      <c r="A678" s="91"/>
      <c r="B678" s="59"/>
      <c r="C678" s="59"/>
      <c r="D678" s="25"/>
      <c r="E678" s="25"/>
      <c r="F678" s="92"/>
      <c r="G678" s="92"/>
      <c r="H678" s="93"/>
      <c r="I678" s="25"/>
    </row>
    <row r="679">
      <c r="A679" s="87"/>
      <c r="B679" s="88"/>
      <c r="C679" s="88"/>
      <c r="D679" s="18"/>
      <c r="E679" s="18"/>
      <c r="F679" s="89"/>
      <c r="G679" s="89"/>
      <c r="H679" s="90"/>
      <c r="I679" s="18"/>
    </row>
    <row r="680">
      <c r="A680" s="91"/>
      <c r="B680" s="59"/>
      <c r="C680" s="59"/>
      <c r="D680" s="25"/>
      <c r="E680" s="25"/>
      <c r="F680" s="92"/>
      <c r="G680" s="92"/>
      <c r="H680" s="93"/>
      <c r="I680" s="25"/>
    </row>
    <row r="681">
      <c r="A681" s="87"/>
      <c r="B681" s="88"/>
      <c r="C681" s="88"/>
      <c r="D681" s="18"/>
      <c r="E681" s="18"/>
      <c r="F681" s="89"/>
      <c r="G681" s="89"/>
      <c r="H681" s="90"/>
      <c r="I681" s="18"/>
    </row>
    <row r="682">
      <c r="A682" s="91"/>
      <c r="B682" s="59"/>
      <c r="C682" s="59"/>
      <c r="D682" s="25"/>
      <c r="E682" s="25"/>
      <c r="F682" s="92"/>
      <c r="G682" s="92"/>
      <c r="H682" s="93"/>
      <c r="I682" s="25"/>
    </row>
    <row r="683">
      <c r="A683" s="87"/>
      <c r="B683" s="88"/>
      <c r="C683" s="88"/>
      <c r="D683" s="18"/>
      <c r="E683" s="18"/>
      <c r="F683" s="89"/>
      <c r="G683" s="89"/>
      <c r="H683" s="90"/>
      <c r="I683" s="18"/>
    </row>
    <row r="684">
      <c r="A684" s="91"/>
      <c r="B684" s="59"/>
      <c r="C684" s="59"/>
      <c r="D684" s="25"/>
      <c r="E684" s="25"/>
      <c r="F684" s="92"/>
      <c r="G684" s="92"/>
      <c r="H684" s="93"/>
      <c r="I684" s="25"/>
    </row>
    <row r="685">
      <c r="A685" s="87"/>
      <c r="B685" s="88"/>
      <c r="C685" s="88"/>
      <c r="D685" s="18"/>
      <c r="E685" s="18"/>
      <c r="F685" s="89"/>
      <c r="G685" s="89"/>
      <c r="H685" s="90"/>
      <c r="I685" s="18"/>
    </row>
    <row r="686">
      <c r="A686" s="91"/>
      <c r="B686" s="59"/>
      <c r="C686" s="59"/>
      <c r="D686" s="25"/>
      <c r="E686" s="25"/>
      <c r="F686" s="92"/>
      <c r="G686" s="92"/>
      <c r="H686" s="93"/>
      <c r="I686" s="25"/>
    </row>
    <row r="687">
      <c r="A687" s="87"/>
      <c r="B687" s="88"/>
      <c r="C687" s="88"/>
      <c r="D687" s="18"/>
      <c r="E687" s="18"/>
      <c r="F687" s="89"/>
      <c r="G687" s="89"/>
      <c r="H687" s="90"/>
      <c r="I687" s="18"/>
    </row>
    <row r="688">
      <c r="A688" s="91"/>
      <c r="B688" s="59"/>
      <c r="C688" s="59"/>
      <c r="D688" s="25"/>
      <c r="E688" s="25"/>
      <c r="F688" s="92"/>
      <c r="G688" s="92"/>
      <c r="H688" s="93"/>
      <c r="I688" s="25"/>
    </row>
    <row r="689">
      <c r="A689" s="87"/>
      <c r="B689" s="88"/>
      <c r="C689" s="88"/>
      <c r="D689" s="18"/>
      <c r="E689" s="18"/>
      <c r="F689" s="89"/>
      <c r="G689" s="89"/>
      <c r="H689" s="90"/>
      <c r="I689" s="18"/>
    </row>
    <row r="690">
      <c r="A690" s="91"/>
      <c r="B690" s="59"/>
      <c r="C690" s="59"/>
      <c r="D690" s="25"/>
      <c r="E690" s="25"/>
      <c r="F690" s="92"/>
      <c r="G690" s="92"/>
      <c r="H690" s="93"/>
      <c r="I690" s="25"/>
    </row>
    <row r="691">
      <c r="A691" s="87"/>
      <c r="B691" s="88"/>
      <c r="C691" s="88"/>
      <c r="D691" s="18"/>
      <c r="E691" s="18"/>
      <c r="F691" s="89"/>
      <c r="G691" s="89"/>
      <c r="H691" s="90"/>
      <c r="I691" s="18"/>
    </row>
    <row r="692">
      <c r="A692" s="91"/>
      <c r="B692" s="59"/>
      <c r="C692" s="59"/>
      <c r="D692" s="25"/>
      <c r="E692" s="25"/>
      <c r="F692" s="92"/>
      <c r="G692" s="92"/>
      <c r="H692" s="93"/>
      <c r="I692" s="25"/>
    </row>
    <row r="693">
      <c r="A693" s="87"/>
      <c r="B693" s="88"/>
      <c r="C693" s="88"/>
      <c r="D693" s="18"/>
      <c r="E693" s="18"/>
      <c r="F693" s="89"/>
      <c r="G693" s="89"/>
      <c r="H693" s="90"/>
      <c r="I693" s="18"/>
    </row>
    <row r="694">
      <c r="A694" s="91"/>
      <c r="B694" s="59"/>
      <c r="C694" s="59"/>
      <c r="D694" s="25"/>
      <c r="E694" s="25"/>
      <c r="F694" s="92"/>
      <c r="G694" s="92"/>
      <c r="H694" s="93"/>
      <c r="I694" s="25"/>
    </row>
    <row r="695">
      <c r="A695" s="87"/>
      <c r="B695" s="88"/>
      <c r="C695" s="88"/>
      <c r="D695" s="18"/>
      <c r="E695" s="18"/>
      <c r="F695" s="89"/>
      <c r="G695" s="89"/>
      <c r="H695" s="90"/>
      <c r="I695" s="18"/>
    </row>
    <row r="696">
      <c r="A696" s="91"/>
      <c r="B696" s="59"/>
      <c r="C696" s="59"/>
      <c r="D696" s="25"/>
      <c r="E696" s="25"/>
      <c r="F696" s="92"/>
      <c r="G696" s="92"/>
      <c r="H696" s="93"/>
      <c r="I696" s="25"/>
    </row>
    <row r="697">
      <c r="A697" s="87"/>
      <c r="B697" s="88"/>
      <c r="C697" s="88"/>
      <c r="D697" s="18"/>
      <c r="E697" s="18"/>
      <c r="F697" s="89"/>
      <c r="G697" s="89"/>
      <c r="H697" s="90"/>
      <c r="I697" s="18"/>
    </row>
    <row r="698">
      <c r="A698" s="91"/>
      <c r="B698" s="59"/>
      <c r="C698" s="59"/>
      <c r="D698" s="25"/>
      <c r="E698" s="25"/>
      <c r="F698" s="92"/>
      <c r="G698" s="92"/>
      <c r="H698" s="93"/>
      <c r="I698" s="25"/>
    </row>
    <row r="699">
      <c r="A699" s="87"/>
      <c r="B699" s="88"/>
      <c r="C699" s="88"/>
      <c r="D699" s="18"/>
      <c r="E699" s="18"/>
      <c r="F699" s="89"/>
      <c r="G699" s="89"/>
      <c r="H699" s="90"/>
      <c r="I699" s="18"/>
    </row>
    <row r="700">
      <c r="A700" s="91"/>
      <c r="B700" s="59"/>
      <c r="C700" s="59"/>
      <c r="D700" s="25"/>
      <c r="E700" s="25"/>
      <c r="F700" s="92"/>
      <c r="G700" s="92"/>
      <c r="H700" s="93"/>
      <c r="I700" s="25"/>
    </row>
    <row r="701">
      <c r="A701" s="87"/>
      <c r="B701" s="88"/>
      <c r="C701" s="88"/>
      <c r="D701" s="18"/>
      <c r="E701" s="18"/>
      <c r="F701" s="89"/>
      <c r="G701" s="89"/>
      <c r="H701" s="90"/>
      <c r="I701" s="18"/>
    </row>
    <row r="702">
      <c r="A702" s="91"/>
      <c r="B702" s="59"/>
      <c r="C702" s="59"/>
      <c r="D702" s="25"/>
      <c r="E702" s="25"/>
      <c r="F702" s="92"/>
      <c r="G702" s="92"/>
      <c r="H702" s="93"/>
      <c r="I702" s="25"/>
    </row>
    <row r="703">
      <c r="A703" s="87"/>
      <c r="B703" s="88"/>
      <c r="C703" s="88"/>
      <c r="D703" s="18"/>
      <c r="E703" s="18"/>
      <c r="F703" s="89"/>
      <c r="G703" s="89"/>
      <c r="H703" s="90"/>
      <c r="I703" s="18"/>
    </row>
    <row r="704">
      <c r="A704" s="91"/>
      <c r="B704" s="59"/>
      <c r="C704" s="59"/>
      <c r="D704" s="25"/>
      <c r="E704" s="25"/>
      <c r="F704" s="92"/>
      <c r="G704" s="92"/>
      <c r="H704" s="93"/>
      <c r="I704" s="25"/>
    </row>
    <row r="705">
      <c r="A705" s="87"/>
      <c r="B705" s="88"/>
      <c r="C705" s="88"/>
      <c r="D705" s="18"/>
      <c r="E705" s="18"/>
      <c r="F705" s="89"/>
      <c r="G705" s="89"/>
      <c r="H705" s="90"/>
      <c r="I705" s="18"/>
    </row>
    <row r="706">
      <c r="A706" s="91"/>
      <c r="B706" s="59"/>
      <c r="C706" s="59"/>
      <c r="D706" s="25"/>
      <c r="E706" s="25"/>
      <c r="F706" s="92"/>
      <c r="G706" s="92"/>
      <c r="H706" s="93"/>
      <c r="I706" s="25"/>
    </row>
    <row r="707">
      <c r="A707" s="87"/>
      <c r="B707" s="88"/>
      <c r="C707" s="88"/>
      <c r="D707" s="18"/>
      <c r="E707" s="18"/>
      <c r="F707" s="89"/>
      <c r="G707" s="89"/>
      <c r="H707" s="90"/>
      <c r="I707" s="18"/>
    </row>
    <row r="708">
      <c r="A708" s="91"/>
      <c r="B708" s="59"/>
      <c r="C708" s="59"/>
      <c r="D708" s="25"/>
      <c r="E708" s="25"/>
      <c r="F708" s="92"/>
      <c r="G708" s="92"/>
      <c r="H708" s="93"/>
      <c r="I708" s="25"/>
    </row>
    <row r="709">
      <c r="A709" s="87"/>
      <c r="B709" s="88"/>
      <c r="C709" s="88"/>
      <c r="D709" s="18"/>
      <c r="E709" s="18"/>
      <c r="F709" s="89"/>
      <c r="G709" s="89"/>
      <c r="H709" s="90"/>
      <c r="I709" s="18"/>
    </row>
    <row r="710">
      <c r="A710" s="91"/>
      <c r="B710" s="59"/>
      <c r="C710" s="59"/>
      <c r="D710" s="25"/>
      <c r="E710" s="25"/>
      <c r="F710" s="92"/>
      <c r="G710" s="92"/>
      <c r="H710" s="93"/>
      <c r="I710" s="25"/>
    </row>
    <row r="711">
      <c r="A711" s="87"/>
      <c r="B711" s="88"/>
      <c r="C711" s="88"/>
      <c r="D711" s="18"/>
      <c r="E711" s="18"/>
      <c r="F711" s="89"/>
      <c r="G711" s="89"/>
      <c r="H711" s="90"/>
      <c r="I711" s="18"/>
    </row>
    <row r="712">
      <c r="A712" s="91"/>
      <c r="B712" s="59"/>
      <c r="C712" s="59"/>
      <c r="D712" s="25"/>
      <c r="E712" s="25"/>
      <c r="F712" s="92"/>
      <c r="G712" s="92"/>
      <c r="H712" s="93"/>
      <c r="I712" s="25"/>
    </row>
    <row r="713">
      <c r="A713" s="87"/>
      <c r="B713" s="88"/>
      <c r="C713" s="88"/>
      <c r="D713" s="18"/>
      <c r="E713" s="18"/>
      <c r="F713" s="89"/>
      <c r="G713" s="89"/>
      <c r="H713" s="90"/>
      <c r="I713" s="18"/>
    </row>
    <row r="714">
      <c r="A714" s="91"/>
      <c r="B714" s="59"/>
      <c r="C714" s="59"/>
      <c r="D714" s="25"/>
      <c r="E714" s="25"/>
      <c r="F714" s="92"/>
      <c r="G714" s="92"/>
      <c r="H714" s="93"/>
      <c r="I714" s="25"/>
    </row>
    <row r="715">
      <c r="A715" s="87"/>
      <c r="B715" s="88"/>
      <c r="C715" s="88"/>
      <c r="D715" s="18"/>
      <c r="E715" s="18"/>
      <c r="F715" s="89"/>
      <c r="G715" s="89"/>
      <c r="H715" s="90"/>
      <c r="I715" s="18"/>
    </row>
    <row r="716">
      <c r="A716" s="91"/>
      <c r="B716" s="59"/>
      <c r="C716" s="59"/>
      <c r="D716" s="25"/>
      <c r="E716" s="25"/>
      <c r="F716" s="92"/>
      <c r="G716" s="92"/>
      <c r="H716" s="93"/>
      <c r="I716" s="25"/>
    </row>
    <row r="717">
      <c r="A717" s="87"/>
      <c r="B717" s="88"/>
      <c r="C717" s="88"/>
      <c r="D717" s="18"/>
      <c r="E717" s="18"/>
      <c r="F717" s="89"/>
      <c r="G717" s="89"/>
      <c r="H717" s="90"/>
      <c r="I717" s="18"/>
    </row>
    <row r="718">
      <c r="A718" s="91"/>
      <c r="B718" s="59"/>
      <c r="C718" s="59"/>
      <c r="D718" s="25"/>
      <c r="E718" s="25"/>
      <c r="F718" s="92"/>
      <c r="G718" s="92"/>
      <c r="H718" s="93"/>
      <c r="I718" s="25"/>
    </row>
    <row r="719">
      <c r="A719" s="87"/>
      <c r="B719" s="88"/>
      <c r="C719" s="88"/>
      <c r="D719" s="18"/>
      <c r="E719" s="18"/>
      <c r="F719" s="89"/>
      <c r="G719" s="89"/>
      <c r="H719" s="90"/>
      <c r="I719" s="18"/>
    </row>
    <row r="720">
      <c r="A720" s="91"/>
      <c r="B720" s="59"/>
      <c r="C720" s="59"/>
      <c r="D720" s="25"/>
      <c r="E720" s="25"/>
      <c r="F720" s="92"/>
      <c r="G720" s="92"/>
      <c r="H720" s="93"/>
      <c r="I720" s="25"/>
    </row>
    <row r="721">
      <c r="A721" s="87"/>
      <c r="B721" s="88"/>
      <c r="C721" s="88"/>
      <c r="D721" s="18"/>
      <c r="E721" s="18"/>
      <c r="F721" s="89"/>
      <c r="G721" s="89"/>
      <c r="H721" s="90"/>
      <c r="I721" s="18"/>
    </row>
    <row r="722">
      <c r="A722" s="91"/>
      <c r="B722" s="59"/>
      <c r="C722" s="59"/>
      <c r="D722" s="25"/>
      <c r="E722" s="25"/>
      <c r="F722" s="92"/>
      <c r="G722" s="92"/>
      <c r="H722" s="93"/>
      <c r="I722" s="25"/>
    </row>
    <row r="723">
      <c r="A723" s="87"/>
      <c r="B723" s="88"/>
      <c r="C723" s="88"/>
      <c r="D723" s="18"/>
      <c r="E723" s="18"/>
      <c r="F723" s="89"/>
      <c r="G723" s="89"/>
      <c r="H723" s="90"/>
      <c r="I723" s="18"/>
    </row>
    <row r="724">
      <c r="A724" s="91"/>
      <c r="B724" s="59"/>
      <c r="C724" s="59"/>
      <c r="D724" s="25"/>
      <c r="E724" s="25"/>
      <c r="F724" s="92"/>
      <c r="G724" s="92"/>
      <c r="H724" s="93"/>
      <c r="I724" s="25"/>
    </row>
    <row r="725">
      <c r="A725" s="87"/>
      <c r="B725" s="88"/>
      <c r="C725" s="88"/>
      <c r="D725" s="18"/>
      <c r="E725" s="18"/>
      <c r="F725" s="89"/>
      <c r="G725" s="89"/>
      <c r="H725" s="90"/>
      <c r="I725" s="18"/>
    </row>
    <row r="726">
      <c r="A726" s="91"/>
      <c r="B726" s="59"/>
      <c r="C726" s="59"/>
      <c r="D726" s="25"/>
      <c r="E726" s="25"/>
      <c r="F726" s="92"/>
      <c r="G726" s="92"/>
      <c r="H726" s="93"/>
      <c r="I726" s="25"/>
    </row>
    <row r="727">
      <c r="A727" s="87"/>
      <c r="B727" s="88"/>
      <c r="C727" s="88"/>
      <c r="D727" s="18"/>
      <c r="E727" s="18"/>
      <c r="F727" s="89"/>
      <c r="G727" s="89"/>
      <c r="H727" s="90"/>
      <c r="I727" s="18"/>
    </row>
    <row r="728">
      <c r="A728" s="91"/>
      <c r="B728" s="59"/>
      <c r="C728" s="59"/>
      <c r="D728" s="25"/>
      <c r="E728" s="25"/>
      <c r="F728" s="92"/>
      <c r="G728" s="92"/>
      <c r="H728" s="93"/>
      <c r="I728" s="25"/>
    </row>
    <row r="729">
      <c r="A729" s="87"/>
      <c r="B729" s="88"/>
      <c r="C729" s="88"/>
      <c r="D729" s="18"/>
      <c r="E729" s="18"/>
      <c r="F729" s="89"/>
      <c r="G729" s="89"/>
      <c r="H729" s="90"/>
      <c r="I729" s="18"/>
    </row>
    <row r="730">
      <c r="A730" s="91"/>
      <c r="B730" s="59"/>
      <c r="C730" s="59"/>
      <c r="D730" s="25"/>
      <c r="E730" s="25"/>
      <c r="F730" s="92"/>
      <c r="G730" s="92"/>
      <c r="H730" s="93"/>
      <c r="I730" s="25"/>
    </row>
    <row r="731">
      <c r="A731" s="87"/>
      <c r="B731" s="88"/>
      <c r="C731" s="88"/>
      <c r="D731" s="18"/>
      <c r="E731" s="18"/>
      <c r="F731" s="89"/>
      <c r="G731" s="89"/>
      <c r="H731" s="90"/>
      <c r="I731" s="18"/>
    </row>
    <row r="732">
      <c r="A732" s="91"/>
      <c r="B732" s="59"/>
      <c r="C732" s="59"/>
      <c r="D732" s="25"/>
      <c r="E732" s="25"/>
      <c r="F732" s="92"/>
      <c r="G732" s="92"/>
      <c r="H732" s="93"/>
      <c r="I732" s="25"/>
    </row>
    <row r="733">
      <c r="A733" s="87"/>
      <c r="B733" s="88"/>
      <c r="C733" s="88"/>
      <c r="D733" s="18"/>
      <c r="E733" s="18"/>
      <c r="F733" s="89"/>
      <c r="G733" s="89"/>
      <c r="H733" s="90"/>
      <c r="I733" s="18"/>
    </row>
    <row r="734">
      <c r="A734" s="91"/>
      <c r="B734" s="59"/>
      <c r="C734" s="59"/>
      <c r="D734" s="25"/>
      <c r="E734" s="25"/>
      <c r="F734" s="92"/>
      <c r="G734" s="92"/>
      <c r="H734" s="93"/>
      <c r="I734" s="25"/>
    </row>
    <row r="735">
      <c r="A735" s="87"/>
      <c r="B735" s="88"/>
      <c r="C735" s="88"/>
      <c r="D735" s="18"/>
      <c r="E735" s="18"/>
      <c r="F735" s="89"/>
      <c r="G735" s="89"/>
      <c r="H735" s="90"/>
      <c r="I735" s="18"/>
    </row>
    <row r="736">
      <c r="A736" s="91"/>
      <c r="B736" s="59"/>
      <c r="C736" s="59"/>
      <c r="D736" s="25"/>
      <c r="E736" s="25"/>
      <c r="F736" s="92"/>
      <c r="G736" s="92"/>
      <c r="H736" s="93"/>
      <c r="I736" s="25"/>
    </row>
    <row r="737">
      <c r="A737" s="87"/>
      <c r="B737" s="88"/>
      <c r="C737" s="88"/>
      <c r="D737" s="18"/>
      <c r="E737" s="18"/>
      <c r="F737" s="89"/>
      <c r="G737" s="89"/>
      <c r="H737" s="90"/>
      <c r="I737" s="18"/>
    </row>
    <row r="738">
      <c r="A738" s="91"/>
      <c r="B738" s="59"/>
      <c r="C738" s="59"/>
      <c r="D738" s="25"/>
      <c r="E738" s="25"/>
      <c r="F738" s="92"/>
      <c r="G738" s="92"/>
      <c r="H738" s="93"/>
      <c r="I738" s="25"/>
    </row>
    <row r="739">
      <c r="A739" s="87"/>
      <c r="B739" s="88"/>
      <c r="C739" s="88"/>
      <c r="D739" s="18"/>
      <c r="E739" s="18"/>
      <c r="F739" s="89"/>
      <c r="G739" s="89"/>
      <c r="H739" s="90"/>
      <c r="I739" s="18"/>
    </row>
    <row r="740">
      <c r="A740" s="91"/>
      <c r="B740" s="59"/>
      <c r="C740" s="59"/>
      <c r="D740" s="25"/>
      <c r="E740" s="25"/>
      <c r="F740" s="92"/>
      <c r="G740" s="92"/>
      <c r="H740" s="93"/>
      <c r="I740" s="25"/>
    </row>
    <row r="741">
      <c r="A741" s="87"/>
      <c r="B741" s="88"/>
      <c r="C741" s="88"/>
      <c r="D741" s="18"/>
      <c r="E741" s="18"/>
      <c r="F741" s="89"/>
      <c r="G741" s="89"/>
      <c r="H741" s="90"/>
      <c r="I741" s="18"/>
    </row>
    <row r="742">
      <c r="A742" s="91"/>
      <c r="B742" s="59"/>
      <c r="C742" s="59"/>
      <c r="D742" s="25"/>
      <c r="E742" s="25"/>
      <c r="F742" s="92"/>
      <c r="G742" s="92"/>
      <c r="H742" s="93"/>
      <c r="I742" s="25"/>
    </row>
    <row r="743">
      <c r="A743" s="87"/>
      <c r="B743" s="88"/>
      <c r="C743" s="88"/>
      <c r="D743" s="18"/>
      <c r="E743" s="18"/>
      <c r="F743" s="89"/>
      <c r="G743" s="89"/>
      <c r="H743" s="90"/>
      <c r="I743" s="18"/>
    </row>
    <row r="744">
      <c r="A744" s="91"/>
      <c r="B744" s="59"/>
      <c r="C744" s="59"/>
      <c r="D744" s="25"/>
      <c r="E744" s="25"/>
      <c r="F744" s="92"/>
      <c r="G744" s="92"/>
      <c r="H744" s="93"/>
      <c r="I744" s="25"/>
    </row>
    <row r="745">
      <c r="A745" s="87"/>
      <c r="B745" s="88"/>
      <c r="C745" s="88"/>
      <c r="D745" s="18"/>
      <c r="E745" s="18"/>
      <c r="F745" s="89"/>
      <c r="G745" s="89"/>
      <c r="H745" s="90"/>
      <c r="I745" s="18"/>
    </row>
    <row r="746">
      <c r="A746" s="91"/>
      <c r="B746" s="59"/>
      <c r="C746" s="59"/>
      <c r="D746" s="25"/>
      <c r="E746" s="25"/>
      <c r="F746" s="92"/>
      <c r="G746" s="92"/>
      <c r="H746" s="93"/>
      <c r="I746" s="25"/>
    </row>
    <row r="747">
      <c r="A747" s="87"/>
      <c r="B747" s="88"/>
      <c r="C747" s="88"/>
      <c r="D747" s="18"/>
      <c r="E747" s="18"/>
      <c r="F747" s="89"/>
      <c r="G747" s="89"/>
      <c r="H747" s="90"/>
      <c r="I747" s="18"/>
    </row>
    <row r="748">
      <c r="A748" s="91"/>
      <c r="B748" s="59"/>
      <c r="C748" s="59"/>
      <c r="D748" s="25"/>
      <c r="E748" s="25"/>
      <c r="F748" s="92"/>
      <c r="G748" s="92"/>
      <c r="H748" s="93"/>
      <c r="I748" s="25"/>
    </row>
    <row r="749">
      <c r="A749" s="87"/>
      <c r="B749" s="88"/>
      <c r="C749" s="88"/>
      <c r="D749" s="18"/>
      <c r="E749" s="18"/>
      <c r="F749" s="89"/>
      <c r="G749" s="89"/>
      <c r="H749" s="90"/>
      <c r="I749" s="18"/>
    </row>
    <row r="750">
      <c r="A750" s="91"/>
      <c r="B750" s="59"/>
      <c r="C750" s="59"/>
      <c r="D750" s="25"/>
      <c r="E750" s="25"/>
      <c r="F750" s="92"/>
      <c r="G750" s="92"/>
      <c r="H750" s="93"/>
      <c r="I750" s="25"/>
    </row>
    <row r="751">
      <c r="A751" s="87"/>
      <c r="B751" s="88"/>
      <c r="C751" s="88"/>
      <c r="D751" s="18"/>
      <c r="E751" s="18"/>
      <c r="F751" s="89"/>
      <c r="G751" s="89"/>
      <c r="H751" s="90"/>
      <c r="I751" s="18"/>
    </row>
    <row r="752">
      <c r="A752" s="91"/>
      <c r="B752" s="59"/>
      <c r="C752" s="59"/>
      <c r="D752" s="25"/>
      <c r="E752" s="25"/>
      <c r="F752" s="92"/>
      <c r="G752" s="92"/>
      <c r="H752" s="93"/>
      <c r="I752" s="25"/>
    </row>
    <row r="753">
      <c r="A753" s="87"/>
      <c r="B753" s="88"/>
      <c r="C753" s="88"/>
      <c r="D753" s="18"/>
      <c r="E753" s="18"/>
      <c r="F753" s="89"/>
      <c r="G753" s="89"/>
      <c r="H753" s="90"/>
      <c r="I753" s="18"/>
    </row>
    <row r="754">
      <c r="A754" s="91"/>
      <c r="B754" s="59"/>
      <c r="C754" s="59"/>
      <c r="D754" s="25"/>
      <c r="E754" s="25"/>
      <c r="F754" s="92"/>
      <c r="G754" s="92"/>
      <c r="H754" s="93"/>
      <c r="I754" s="25"/>
    </row>
    <row r="755">
      <c r="A755" s="87"/>
      <c r="B755" s="88"/>
      <c r="C755" s="88"/>
      <c r="D755" s="18"/>
      <c r="E755" s="18"/>
      <c r="F755" s="89"/>
      <c r="G755" s="89"/>
      <c r="H755" s="90"/>
      <c r="I755" s="18"/>
    </row>
    <row r="756">
      <c r="A756" s="91"/>
      <c r="B756" s="59"/>
      <c r="C756" s="59"/>
      <c r="D756" s="25"/>
      <c r="E756" s="25"/>
      <c r="F756" s="92"/>
      <c r="G756" s="92"/>
      <c r="H756" s="93"/>
      <c r="I756" s="25"/>
    </row>
    <row r="757">
      <c r="A757" s="87"/>
      <c r="B757" s="88"/>
      <c r="C757" s="88"/>
      <c r="D757" s="18"/>
      <c r="E757" s="18"/>
      <c r="F757" s="89"/>
      <c r="G757" s="89"/>
      <c r="H757" s="90"/>
      <c r="I757" s="18"/>
    </row>
    <row r="758">
      <c r="A758" s="91"/>
      <c r="B758" s="59"/>
      <c r="C758" s="59"/>
      <c r="D758" s="25"/>
      <c r="E758" s="25"/>
      <c r="F758" s="92"/>
      <c r="G758" s="92"/>
      <c r="H758" s="93"/>
      <c r="I758" s="25"/>
    </row>
    <row r="759">
      <c r="A759" s="87"/>
      <c r="B759" s="88"/>
      <c r="C759" s="88"/>
      <c r="D759" s="18"/>
      <c r="E759" s="18"/>
      <c r="F759" s="89"/>
      <c r="G759" s="89"/>
      <c r="H759" s="90"/>
      <c r="I759" s="18"/>
    </row>
    <row r="760">
      <c r="A760" s="91"/>
      <c r="B760" s="59"/>
      <c r="C760" s="59"/>
      <c r="D760" s="25"/>
      <c r="E760" s="25"/>
      <c r="F760" s="92"/>
      <c r="G760" s="92"/>
      <c r="H760" s="93"/>
      <c r="I760" s="25"/>
    </row>
    <row r="761">
      <c r="A761" s="87"/>
      <c r="B761" s="88"/>
      <c r="C761" s="88"/>
      <c r="D761" s="18"/>
      <c r="E761" s="18"/>
      <c r="F761" s="89"/>
      <c r="G761" s="89"/>
      <c r="H761" s="90"/>
      <c r="I761" s="18"/>
    </row>
    <row r="762">
      <c r="A762" s="91"/>
      <c r="B762" s="59"/>
      <c r="C762" s="59"/>
      <c r="D762" s="25"/>
      <c r="E762" s="25"/>
      <c r="F762" s="92"/>
      <c r="G762" s="92"/>
      <c r="H762" s="93"/>
      <c r="I762" s="25"/>
    </row>
    <row r="763">
      <c r="A763" s="87"/>
      <c r="B763" s="88"/>
      <c r="C763" s="88"/>
      <c r="D763" s="18"/>
      <c r="E763" s="18"/>
      <c r="F763" s="89"/>
      <c r="G763" s="89"/>
      <c r="H763" s="90"/>
      <c r="I763" s="18"/>
    </row>
    <row r="764">
      <c r="A764" s="91"/>
      <c r="B764" s="59"/>
      <c r="C764" s="59"/>
      <c r="D764" s="25"/>
      <c r="E764" s="25"/>
      <c r="F764" s="92"/>
      <c r="G764" s="92"/>
      <c r="H764" s="93"/>
      <c r="I764" s="25"/>
    </row>
    <row r="765">
      <c r="A765" s="87"/>
      <c r="B765" s="88"/>
      <c r="C765" s="88"/>
      <c r="D765" s="18"/>
      <c r="E765" s="18"/>
      <c r="F765" s="89"/>
      <c r="G765" s="89"/>
      <c r="H765" s="90"/>
      <c r="I765" s="18"/>
    </row>
    <row r="766">
      <c r="A766" s="91"/>
      <c r="B766" s="59"/>
      <c r="C766" s="59"/>
      <c r="D766" s="25"/>
      <c r="E766" s="25"/>
      <c r="F766" s="92"/>
      <c r="G766" s="92"/>
      <c r="H766" s="93"/>
      <c r="I766" s="25"/>
    </row>
    <row r="767">
      <c r="A767" s="87"/>
      <c r="B767" s="88"/>
      <c r="C767" s="88"/>
      <c r="D767" s="18"/>
      <c r="E767" s="18"/>
      <c r="F767" s="89"/>
      <c r="G767" s="89"/>
      <c r="H767" s="90"/>
      <c r="I767" s="18"/>
    </row>
    <row r="768">
      <c r="A768" s="91"/>
      <c r="B768" s="59"/>
      <c r="C768" s="59"/>
      <c r="D768" s="25"/>
      <c r="E768" s="25"/>
      <c r="F768" s="92"/>
      <c r="G768" s="92"/>
      <c r="H768" s="93"/>
      <c r="I768" s="25"/>
    </row>
    <row r="769">
      <c r="A769" s="87"/>
      <c r="B769" s="88"/>
      <c r="C769" s="88"/>
      <c r="D769" s="18"/>
      <c r="E769" s="18"/>
      <c r="F769" s="89"/>
      <c r="G769" s="89"/>
      <c r="H769" s="90"/>
      <c r="I769" s="18"/>
    </row>
    <row r="770">
      <c r="A770" s="91"/>
      <c r="B770" s="59"/>
      <c r="C770" s="59"/>
      <c r="D770" s="25"/>
      <c r="E770" s="25"/>
      <c r="F770" s="92"/>
      <c r="G770" s="92"/>
      <c r="H770" s="93"/>
      <c r="I770" s="25"/>
    </row>
    <row r="771">
      <c r="A771" s="87"/>
      <c r="B771" s="88"/>
      <c r="C771" s="88"/>
      <c r="D771" s="18"/>
      <c r="E771" s="18"/>
      <c r="F771" s="89"/>
      <c r="G771" s="89"/>
      <c r="H771" s="90"/>
      <c r="I771" s="18"/>
    </row>
    <row r="772">
      <c r="A772" s="91"/>
      <c r="B772" s="59"/>
      <c r="C772" s="59"/>
      <c r="D772" s="25"/>
      <c r="E772" s="25"/>
      <c r="F772" s="92"/>
      <c r="G772" s="92"/>
      <c r="H772" s="93"/>
      <c r="I772" s="25"/>
    </row>
    <row r="773">
      <c r="A773" s="87"/>
      <c r="B773" s="88"/>
      <c r="C773" s="88"/>
      <c r="D773" s="18"/>
      <c r="E773" s="18"/>
      <c r="F773" s="89"/>
      <c r="G773" s="89"/>
      <c r="H773" s="90"/>
      <c r="I773" s="18"/>
    </row>
    <row r="774">
      <c r="A774" s="91"/>
      <c r="B774" s="59"/>
      <c r="C774" s="59"/>
      <c r="D774" s="25"/>
      <c r="E774" s="25"/>
      <c r="F774" s="92"/>
      <c r="G774" s="92"/>
      <c r="H774" s="93"/>
      <c r="I774" s="25"/>
    </row>
    <row r="775">
      <c r="A775" s="87"/>
      <c r="B775" s="88"/>
      <c r="C775" s="88"/>
      <c r="D775" s="18"/>
      <c r="E775" s="18"/>
      <c r="F775" s="89"/>
      <c r="G775" s="89"/>
      <c r="H775" s="90"/>
      <c r="I775" s="18"/>
    </row>
    <row r="776">
      <c r="A776" s="91"/>
      <c r="B776" s="59"/>
      <c r="C776" s="59"/>
      <c r="D776" s="25"/>
      <c r="E776" s="25"/>
      <c r="F776" s="92"/>
      <c r="G776" s="92"/>
      <c r="H776" s="93"/>
      <c r="I776" s="25"/>
    </row>
    <row r="777">
      <c r="A777" s="87"/>
      <c r="B777" s="88"/>
      <c r="C777" s="88"/>
      <c r="D777" s="18"/>
      <c r="E777" s="18"/>
      <c r="F777" s="89"/>
      <c r="G777" s="89"/>
      <c r="H777" s="90"/>
      <c r="I777" s="18"/>
    </row>
    <row r="778">
      <c r="A778" s="91"/>
      <c r="B778" s="59"/>
      <c r="C778" s="59"/>
      <c r="D778" s="25"/>
      <c r="E778" s="25"/>
      <c r="F778" s="92"/>
      <c r="G778" s="92"/>
      <c r="H778" s="93"/>
      <c r="I778" s="25"/>
    </row>
    <row r="779">
      <c r="A779" s="87"/>
      <c r="B779" s="88"/>
      <c r="C779" s="88"/>
      <c r="D779" s="18"/>
      <c r="E779" s="18"/>
      <c r="F779" s="89"/>
      <c r="G779" s="89"/>
      <c r="H779" s="90"/>
      <c r="I779" s="18"/>
    </row>
    <row r="780">
      <c r="A780" s="91"/>
      <c r="B780" s="59"/>
      <c r="C780" s="59"/>
      <c r="D780" s="25"/>
      <c r="E780" s="25"/>
      <c r="F780" s="92"/>
      <c r="G780" s="92"/>
      <c r="H780" s="93"/>
      <c r="I780" s="25"/>
    </row>
    <row r="781">
      <c r="A781" s="87"/>
      <c r="B781" s="88"/>
      <c r="C781" s="88"/>
      <c r="D781" s="18"/>
      <c r="E781" s="18"/>
      <c r="F781" s="89"/>
      <c r="G781" s="89"/>
      <c r="H781" s="90"/>
      <c r="I781" s="18"/>
    </row>
    <row r="782">
      <c r="A782" s="91"/>
      <c r="B782" s="59"/>
      <c r="C782" s="59"/>
      <c r="D782" s="25"/>
      <c r="E782" s="25"/>
      <c r="F782" s="92"/>
      <c r="G782" s="92"/>
      <c r="H782" s="93"/>
      <c r="I782" s="25"/>
    </row>
    <row r="783">
      <c r="A783" s="87"/>
      <c r="B783" s="88"/>
      <c r="C783" s="88"/>
      <c r="D783" s="18"/>
      <c r="E783" s="18"/>
      <c r="F783" s="89"/>
      <c r="G783" s="89"/>
      <c r="H783" s="90"/>
      <c r="I783" s="18"/>
    </row>
    <row r="784">
      <c r="A784" s="91"/>
      <c r="B784" s="59"/>
      <c r="C784" s="59"/>
      <c r="D784" s="25"/>
      <c r="E784" s="25"/>
      <c r="F784" s="92"/>
      <c r="G784" s="92"/>
      <c r="H784" s="93"/>
      <c r="I784" s="25"/>
    </row>
    <row r="785">
      <c r="A785" s="87"/>
      <c r="B785" s="88"/>
      <c r="C785" s="88"/>
      <c r="D785" s="18"/>
      <c r="E785" s="18"/>
      <c r="F785" s="89"/>
      <c r="G785" s="89"/>
      <c r="H785" s="90"/>
      <c r="I785" s="18"/>
    </row>
    <row r="786">
      <c r="A786" s="91"/>
      <c r="B786" s="59"/>
      <c r="C786" s="59"/>
      <c r="D786" s="25"/>
      <c r="E786" s="25"/>
      <c r="F786" s="92"/>
      <c r="G786" s="92"/>
      <c r="H786" s="93"/>
      <c r="I786" s="25"/>
    </row>
    <row r="787">
      <c r="A787" s="87"/>
      <c r="B787" s="88"/>
      <c r="C787" s="88"/>
      <c r="D787" s="18"/>
      <c r="E787" s="18"/>
      <c r="F787" s="89"/>
      <c r="G787" s="89"/>
      <c r="H787" s="90"/>
      <c r="I787" s="18"/>
    </row>
    <row r="788">
      <c r="A788" s="91"/>
      <c r="B788" s="59"/>
      <c r="C788" s="59"/>
      <c r="D788" s="25"/>
      <c r="E788" s="25"/>
      <c r="F788" s="92"/>
      <c r="G788" s="92"/>
      <c r="H788" s="93"/>
      <c r="I788" s="25"/>
    </row>
    <row r="789">
      <c r="A789" s="87"/>
      <c r="B789" s="88"/>
      <c r="C789" s="88"/>
      <c r="D789" s="18"/>
      <c r="E789" s="18"/>
      <c r="F789" s="89"/>
      <c r="G789" s="89"/>
      <c r="H789" s="90"/>
      <c r="I789" s="18"/>
    </row>
    <row r="790">
      <c r="A790" s="91"/>
      <c r="B790" s="59"/>
      <c r="C790" s="59"/>
      <c r="D790" s="25"/>
      <c r="E790" s="25"/>
      <c r="F790" s="92"/>
      <c r="G790" s="92"/>
      <c r="H790" s="93"/>
      <c r="I790" s="25"/>
    </row>
    <row r="791">
      <c r="A791" s="87"/>
      <c r="B791" s="88"/>
      <c r="C791" s="88"/>
      <c r="D791" s="18"/>
      <c r="E791" s="18"/>
      <c r="F791" s="89"/>
      <c r="G791" s="89"/>
      <c r="H791" s="90"/>
      <c r="I791" s="18"/>
    </row>
    <row r="792">
      <c r="A792" s="91"/>
      <c r="B792" s="59"/>
      <c r="C792" s="59"/>
      <c r="D792" s="25"/>
      <c r="E792" s="25"/>
      <c r="F792" s="92"/>
      <c r="G792" s="92"/>
      <c r="H792" s="93"/>
      <c r="I792" s="25"/>
    </row>
    <row r="793">
      <c r="A793" s="87"/>
      <c r="B793" s="88"/>
      <c r="C793" s="88"/>
      <c r="D793" s="18"/>
      <c r="E793" s="18"/>
      <c r="F793" s="89"/>
      <c r="G793" s="89"/>
      <c r="H793" s="90"/>
      <c r="I793" s="18"/>
    </row>
    <row r="794">
      <c r="A794" s="91"/>
      <c r="B794" s="59"/>
      <c r="C794" s="59"/>
      <c r="D794" s="25"/>
      <c r="E794" s="25"/>
      <c r="F794" s="92"/>
      <c r="G794" s="92"/>
      <c r="H794" s="93"/>
      <c r="I794" s="25"/>
    </row>
    <row r="795">
      <c r="A795" s="87"/>
      <c r="B795" s="88"/>
      <c r="C795" s="88"/>
      <c r="D795" s="18"/>
      <c r="E795" s="18"/>
      <c r="F795" s="89"/>
      <c r="G795" s="89"/>
      <c r="H795" s="90"/>
      <c r="I795" s="18"/>
    </row>
    <row r="796">
      <c r="A796" s="91"/>
      <c r="B796" s="59"/>
      <c r="C796" s="59"/>
      <c r="D796" s="25"/>
      <c r="E796" s="25"/>
      <c r="F796" s="92"/>
      <c r="G796" s="92"/>
      <c r="H796" s="93"/>
      <c r="I796" s="25"/>
    </row>
    <row r="797">
      <c r="A797" s="87"/>
      <c r="B797" s="88"/>
      <c r="C797" s="88"/>
      <c r="D797" s="18"/>
      <c r="E797" s="18"/>
      <c r="F797" s="89"/>
      <c r="G797" s="89"/>
      <c r="H797" s="90"/>
      <c r="I797" s="18"/>
    </row>
    <row r="798">
      <c r="A798" s="91"/>
      <c r="B798" s="59"/>
      <c r="C798" s="59"/>
      <c r="D798" s="25"/>
      <c r="E798" s="25"/>
      <c r="F798" s="92"/>
      <c r="G798" s="92"/>
      <c r="H798" s="93"/>
      <c r="I798" s="25"/>
    </row>
    <row r="799">
      <c r="A799" s="87"/>
      <c r="B799" s="88"/>
      <c r="C799" s="88"/>
      <c r="D799" s="18"/>
      <c r="E799" s="18"/>
      <c r="F799" s="89"/>
      <c r="G799" s="89"/>
      <c r="H799" s="90"/>
      <c r="I799" s="18"/>
    </row>
    <row r="800">
      <c r="A800" s="91"/>
      <c r="B800" s="59"/>
      <c r="C800" s="59"/>
      <c r="D800" s="25"/>
      <c r="E800" s="25"/>
      <c r="F800" s="92"/>
      <c r="G800" s="92"/>
      <c r="H800" s="93"/>
      <c r="I800" s="25"/>
    </row>
    <row r="801">
      <c r="A801" s="87"/>
      <c r="B801" s="88"/>
      <c r="C801" s="88"/>
      <c r="D801" s="18"/>
      <c r="E801" s="18"/>
      <c r="F801" s="89"/>
      <c r="G801" s="89"/>
      <c r="H801" s="90"/>
      <c r="I801" s="18"/>
    </row>
    <row r="802">
      <c r="A802" s="91"/>
      <c r="B802" s="59"/>
      <c r="C802" s="59"/>
      <c r="D802" s="25"/>
      <c r="E802" s="25"/>
      <c r="F802" s="92"/>
      <c r="G802" s="92"/>
      <c r="H802" s="93"/>
      <c r="I802" s="25"/>
    </row>
    <row r="803">
      <c r="A803" s="87"/>
      <c r="B803" s="88"/>
      <c r="C803" s="88"/>
      <c r="D803" s="18"/>
      <c r="E803" s="18"/>
      <c r="F803" s="89"/>
      <c r="G803" s="89"/>
      <c r="H803" s="90"/>
      <c r="I803" s="18"/>
    </row>
    <row r="804">
      <c r="A804" s="91"/>
      <c r="B804" s="59"/>
      <c r="C804" s="59"/>
      <c r="D804" s="25"/>
      <c r="E804" s="25"/>
      <c r="F804" s="92"/>
      <c r="G804" s="92"/>
      <c r="H804" s="93"/>
      <c r="I804" s="25"/>
    </row>
    <row r="805">
      <c r="A805" s="87"/>
      <c r="B805" s="88"/>
      <c r="C805" s="88"/>
      <c r="D805" s="18"/>
      <c r="E805" s="18"/>
      <c r="F805" s="89"/>
      <c r="G805" s="89"/>
      <c r="H805" s="90"/>
      <c r="I805" s="18"/>
    </row>
    <row r="806">
      <c r="A806" s="91"/>
      <c r="B806" s="59"/>
      <c r="C806" s="59"/>
      <c r="D806" s="25"/>
      <c r="E806" s="25"/>
      <c r="F806" s="92"/>
      <c r="G806" s="92"/>
      <c r="H806" s="93"/>
      <c r="I806" s="25"/>
    </row>
    <row r="807">
      <c r="A807" s="87"/>
      <c r="B807" s="88"/>
      <c r="C807" s="88"/>
      <c r="D807" s="18"/>
      <c r="E807" s="18"/>
      <c r="F807" s="89"/>
      <c r="G807" s="89"/>
      <c r="H807" s="90"/>
      <c r="I807" s="18"/>
    </row>
    <row r="808">
      <c r="A808" s="91"/>
      <c r="B808" s="59"/>
      <c r="C808" s="59"/>
      <c r="D808" s="25"/>
      <c r="E808" s="25"/>
      <c r="F808" s="92"/>
      <c r="G808" s="92"/>
      <c r="H808" s="93"/>
      <c r="I808" s="25"/>
    </row>
    <row r="809">
      <c r="A809" s="87"/>
      <c r="B809" s="88"/>
      <c r="C809" s="88"/>
      <c r="D809" s="18"/>
      <c r="E809" s="18"/>
      <c r="F809" s="89"/>
      <c r="G809" s="89"/>
      <c r="H809" s="90"/>
      <c r="I809" s="18"/>
    </row>
    <row r="810">
      <c r="A810" s="91"/>
      <c r="B810" s="59"/>
      <c r="C810" s="59"/>
      <c r="D810" s="25"/>
      <c r="E810" s="25"/>
      <c r="F810" s="92"/>
      <c r="G810" s="92"/>
      <c r="H810" s="93"/>
      <c r="I810" s="25"/>
    </row>
    <row r="811">
      <c r="A811" s="87"/>
      <c r="B811" s="88"/>
      <c r="C811" s="88"/>
      <c r="D811" s="18"/>
      <c r="E811" s="18"/>
      <c r="F811" s="89"/>
      <c r="G811" s="89"/>
      <c r="H811" s="90"/>
      <c r="I811" s="18"/>
    </row>
    <row r="812">
      <c r="A812" s="91"/>
      <c r="B812" s="59"/>
      <c r="C812" s="59"/>
      <c r="D812" s="25"/>
      <c r="E812" s="25"/>
      <c r="F812" s="92"/>
      <c r="G812" s="92"/>
      <c r="H812" s="93"/>
      <c r="I812" s="25"/>
    </row>
    <row r="813">
      <c r="A813" s="87"/>
      <c r="B813" s="88"/>
      <c r="C813" s="88"/>
      <c r="D813" s="18"/>
      <c r="E813" s="18"/>
      <c r="F813" s="89"/>
      <c r="G813" s="89"/>
      <c r="H813" s="90"/>
      <c r="I813" s="18"/>
    </row>
    <row r="814">
      <c r="A814" s="91"/>
      <c r="B814" s="59"/>
      <c r="C814" s="59"/>
      <c r="D814" s="25"/>
      <c r="E814" s="25"/>
      <c r="F814" s="92"/>
      <c r="G814" s="92"/>
      <c r="H814" s="93"/>
      <c r="I814" s="25"/>
    </row>
    <row r="815">
      <c r="A815" s="87"/>
      <c r="B815" s="88"/>
      <c r="C815" s="88"/>
      <c r="D815" s="18"/>
      <c r="E815" s="18"/>
      <c r="F815" s="89"/>
      <c r="G815" s="89"/>
      <c r="H815" s="90"/>
      <c r="I815" s="18"/>
    </row>
    <row r="816">
      <c r="A816" s="91"/>
      <c r="B816" s="59"/>
      <c r="C816" s="59"/>
      <c r="D816" s="25"/>
      <c r="E816" s="25"/>
      <c r="F816" s="92"/>
      <c r="G816" s="92"/>
      <c r="H816" s="93"/>
      <c r="I816" s="25"/>
    </row>
    <row r="817">
      <c r="A817" s="87"/>
      <c r="B817" s="88"/>
      <c r="C817" s="88"/>
      <c r="D817" s="18"/>
      <c r="E817" s="18"/>
      <c r="F817" s="89"/>
      <c r="G817" s="89"/>
      <c r="H817" s="90"/>
      <c r="I817" s="18"/>
    </row>
    <row r="818">
      <c r="A818" s="91"/>
      <c r="B818" s="59"/>
      <c r="C818" s="59"/>
      <c r="D818" s="25"/>
      <c r="E818" s="25"/>
      <c r="F818" s="92"/>
      <c r="G818" s="92"/>
      <c r="H818" s="93"/>
      <c r="I818" s="25"/>
    </row>
    <row r="819">
      <c r="A819" s="87"/>
      <c r="B819" s="88"/>
      <c r="C819" s="88"/>
      <c r="D819" s="18"/>
      <c r="E819" s="18"/>
      <c r="F819" s="89"/>
      <c r="G819" s="89"/>
      <c r="H819" s="90"/>
      <c r="I819" s="18"/>
    </row>
    <row r="820">
      <c r="A820" s="91"/>
      <c r="B820" s="59"/>
      <c r="C820" s="59"/>
      <c r="D820" s="25"/>
      <c r="E820" s="25"/>
      <c r="F820" s="92"/>
      <c r="G820" s="92"/>
      <c r="H820" s="93"/>
      <c r="I820" s="25"/>
    </row>
    <row r="821">
      <c r="A821" s="87"/>
      <c r="B821" s="88"/>
      <c r="C821" s="88"/>
      <c r="D821" s="18"/>
      <c r="E821" s="18"/>
      <c r="F821" s="89"/>
      <c r="G821" s="89"/>
      <c r="H821" s="90"/>
      <c r="I821" s="18"/>
    </row>
    <row r="822">
      <c r="A822" s="91"/>
      <c r="B822" s="59"/>
      <c r="C822" s="59"/>
      <c r="D822" s="25"/>
      <c r="E822" s="25"/>
      <c r="F822" s="92"/>
      <c r="G822" s="92"/>
      <c r="H822" s="93"/>
      <c r="I822" s="25"/>
    </row>
    <row r="823">
      <c r="A823" s="87"/>
      <c r="B823" s="88"/>
      <c r="C823" s="88"/>
      <c r="D823" s="18"/>
      <c r="E823" s="18"/>
      <c r="F823" s="89"/>
      <c r="G823" s="89"/>
      <c r="H823" s="90"/>
      <c r="I823" s="18"/>
    </row>
    <row r="824">
      <c r="A824" s="91"/>
      <c r="B824" s="59"/>
      <c r="C824" s="59"/>
      <c r="D824" s="25"/>
      <c r="E824" s="25"/>
      <c r="F824" s="92"/>
      <c r="G824" s="92"/>
      <c r="H824" s="93"/>
      <c r="I824" s="25"/>
    </row>
    <row r="825">
      <c r="A825" s="87"/>
      <c r="B825" s="88"/>
      <c r="C825" s="88"/>
      <c r="D825" s="18"/>
      <c r="E825" s="18"/>
      <c r="F825" s="89"/>
      <c r="G825" s="89"/>
      <c r="H825" s="90"/>
      <c r="I825" s="18"/>
    </row>
    <row r="826">
      <c r="A826" s="91"/>
      <c r="B826" s="59"/>
      <c r="C826" s="59"/>
      <c r="D826" s="25"/>
      <c r="E826" s="25"/>
      <c r="F826" s="92"/>
      <c r="G826" s="92"/>
      <c r="H826" s="93"/>
      <c r="I826" s="25"/>
    </row>
    <row r="827">
      <c r="A827" s="87"/>
      <c r="B827" s="88"/>
      <c r="C827" s="88"/>
      <c r="D827" s="18"/>
      <c r="E827" s="18"/>
      <c r="F827" s="89"/>
      <c r="G827" s="89"/>
      <c r="H827" s="90"/>
      <c r="I827" s="18"/>
    </row>
    <row r="828">
      <c r="A828" s="91"/>
      <c r="B828" s="59"/>
      <c r="C828" s="59"/>
      <c r="D828" s="25"/>
      <c r="E828" s="25"/>
      <c r="F828" s="92"/>
      <c r="G828" s="92"/>
      <c r="H828" s="93"/>
      <c r="I828" s="25"/>
    </row>
    <row r="829">
      <c r="A829" s="87"/>
      <c r="B829" s="88"/>
      <c r="C829" s="88"/>
      <c r="D829" s="18"/>
      <c r="E829" s="18"/>
      <c r="F829" s="89"/>
      <c r="G829" s="89"/>
      <c r="H829" s="90"/>
      <c r="I829" s="18"/>
    </row>
    <row r="830">
      <c r="A830" s="91"/>
      <c r="B830" s="59"/>
      <c r="C830" s="59"/>
      <c r="D830" s="25"/>
      <c r="E830" s="25"/>
      <c r="F830" s="92"/>
      <c r="G830" s="92"/>
      <c r="H830" s="93"/>
      <c r="I830" s="25"/>
    </row>
    <row r="831">
      <c r="A831" s="87"/>
      <c r="B831" s="88"/>
      <c r="C831" s="88"/>
      <c r="D831" s="18"/>
      <c r="E831" s="18"/>
      <c r="F831" s="89"/>
      <c r="G831" s="89"/>
      <c r="H831" s="90"/>
      <c r="I831" s="18"/>
    </row>
    <row r="832">
      <c r="A832" s="91"/>
      <c r="B832" s="59"/>
      <c r="C832" s="59"/>
      <c r="D832" s="25"/>
      <c r="E832" s="25"/>
      <c r="F832" s="92"/>
      <c r="G832" s="92"/>
      <c r="H832" s="93"/>
      <c r="I832" s="25"/>
    </row>
    <row r="833">
      <c r="A833" s="87"/>
      <c r="B833" s="88"/>
      <c r="C833" s="88"/>
      <c r="D833" s="18"/>
      <c r="E833" s="18"/>
      <c r="F833" s="89"/>
      <c r="G833" s="89"/>
      <c r="H833" s="90"/>
      <c r="I833" s="18"/>
    </row>
    <row r="834">
      <c r="A834" s="91"/>
      <c r="B834" s="59"/>
      <c r="C834" s="59"/>
      <c r="D834" s="25"/>
      <c r="E834" s="25"/>
      <c r="F834" s="92"/>
      <c r="G834" s="92"/>
      <c r="H834" s="93"/>
      <c r="I834" s="25"/>
    </row>
    <row r="835">
      <c r="A835" s="87"/>
      <c r="B835" s="88"/>
      <c r="C835" s="88"/>
      <c r="D835" s="18"/>
      <c r="E835" s="18"/>
      <c r="F835" s="89"/>
      <c r="G835" s="89"/>
      <c r="H835" s="90"/>
      <c r="I835" s="18"/>
    </row>
    <row r="836">
      <c r="A836" s="91"/>
      <c r="B836" s="59"/>
      <c r="C836" s="59"/>
      <c r="D836" s="25"/>
      <c r="E836" s="25"/>
      <c r="F836" s="92"/>
      <c r="G836" s="92"/>
      <c r="H836" s="93"/>
      <c r="I836" s="25"/>
    </row>
    <row r="837">
      <c r="A837" s="87"/>
      <c r="B837" s="88"/>
      <c r="C837" s="88"/>
      <c r="D837" s="18"/>
      <c r="E837" s="18"/>
      <c r="F837" s="89"/>
      <c r="G837" s="89"/>
      <c r="H837" s="90"/>
      <c r="I837" s="18"/>
    </row>
    <row r="838">
      <c r="A838" s="91"/>
      <c r="B838" s="59"/>
      <c r="C838" s="59"/>
      <c r="D838" s="25"/>
      <c r="E838" s="25"/>
      <c r="F838" s="92"/>
      <c r="G838" s="92"/>
      <c r="H838" s="93"/>
      <c r="I838" s="25"/>
    </row>
    <row r="839">
      <c r="A839" s="87"/>
      <c r="B839" s="88"/>
      <c r="C839" s="88"/>
      <c r="D839" s="18"/>
      <c r="E839" s="18"/>
      <c r="F839" s="89"/>
      <c r="G839" s="89"/>
      <c r="H839" s="90"/>
      <c r="I839" s="18"/>
    </row>
    <row r="840">
      <c r="A840" s="91"/>
      <c r="B840" s="59"/>
      <c r="C840" s="59"/>
      <c r="D840" s="25"/>
      <c r="E840" s="25"/>
      <c r="F840" s="92"/>
      <c r="G840" s="92"/>
      <c r="H840" s="93"/>
      <c r="I840" s="25"/>
    </row>
    <row r="841">
      <c r="A841" s="87"/>
      <c r="B841" s="88"/>
      <c r="C841" s="88"/>
      <c r="D841" s="18"/>
      <c r="E841" s="18"/>
      <c r="F841" s="89"/>
      <c r="G841" s="89"/>
      <c r="H841" s="90"/>
      <c r="I841" s="18"/>
    </row>
    <row r="842">
      <c r="A842" s="91"/>
      <c r="B842" s="59"/>
      <c r="C842" s="59"/>
      <c r="D842" s="25"/>
      <c r="E842" s="25"/>
      <c r="F842" s="92"/>
      <c r="G842" s="92"/>
      <c r="H842" s="93"/>
      <c r="I842" s="25"/>
    </row>
    <row r="843">
      <c r="A843" s="87"/>
      <c r="B843" s="88"/>
      <c r="C843" s="88"/>
      <c r="D843" s="18"/>
      <c r="E843" s="18"/>
      <c r="F843" s="89"/>
      <c r="G843" s="89"/>
      <c r="H843" s="90"/>
      <c r="I843" s="18"/>
    </row>
    <row r="844">
      <c r="A844" s="91"/>
      <c r="B844" s="59"/>
      <c r="C844" s="59"/>
      <c r="D844" s="25"/>
      <c r="E844" s="25"/>
      <c r="F844" s="92"/>
      <c r="G844" s="92"/>
      <c r="H844" s="93"/>
      <c r="I844" s="25"/>
    </row>
    <row r="845">
      <c r="A845" s="87"/>
      <c r="B845" s="88"/>
      <c r="C845" s="88"/>
      <c r="D845" s="18"/>
      <c r="E845" s="18"/>
      <c r="F845" s="89"/>
      <c r="G845" s="89"/>
      <c r="H845" s="90"/>
      <c r="I845" s="18"/>
    </row>
    <row r="846">
      <c r="A846" s="91"/>
      <c r="B846" s="59"/>
      <c r="C846" s="59"/>
      <c r="D846" s="25"/>
      <c r="E846" s="25"/>
      <c r="F846" s="92"/>
      <c r="G846" s="92"/>
      <c r="H846" s="93"/>
      <c r="I846" s="25"/>
    </row>
    <row r="847">
      <c r="A847" s="87"/>
      <c r="B847" s="88"/>
      <c r="C847" s="88"/>
      <c r="D847" s="18"/>
      <c r="E847" s="18"/>
      <c r="F847" s="89"/>
      <c r="G847" s="89"/>
      <c r="H847" s="90"/>
      <c r="I847" s="18"/>
    </row>
    <row r="848">
      <c r="A848" s="91"/>
      <c r="B848" s="59"/>
      <c r="C848" s="59"/>
      <c r="D848" s="25"/>
      <c r="E848" s="25"/>
      <c r="F848" s="92"/>
      <c r="G848" s="92"/>
      <c r="H848" s="93"/>
      <c r="I848" s="25"/>
    </row>
    <row r="849">
      <c r="A849" s="87"/>
      <c r="B849" s="88"/>
      <c r="C849" s="88"/>
      <c r="D849" s="18"/>
      <c r="E849" s="18"/>
      <c r="F849" s="89"/>
      <c r="G849" s="89"/>
      <c r="H849" s="90"/>
      <c r="I849" s="18"/>
    </row>
    <row r="850">
      <c r="A850" s="91"/>
      <c r="B850" s="59"/>
      <c r="C850" s="59"/>
      <c r="D850" s="25"/>
      <c r="E850" s="25"/>
      <c r="F850" s="92"/>
      <c r="G850" s="92"/>
      <c r="H850" s="93"/>
      <c r="I850" s="25"/>
    </row>
    <row r="851">
      <c r="A851" s="87"/>
      <c r="B851" s="88"/>
      <c r="C851" s="88"/>
      <c r="D851" s="18"/>
      <c r="E851" s="18"/>
      <c r="F851" s="89"/>
      <c r="G851" s="89"/>
      <c r="H851" s="90"/>
      <c r="I851" s="18"/>
    </row>
    <row r="852">
      <c r="A852" s="91"/>
      <c r="B852" s="59"/>
      <c r="C852" s="59"/>
      <c r="D852" s="25"/>
      <c r="E852" s="25"/>
      <c r="F852" s="92"/>
      <c r="G852" s="92"/>
      <c r="H852" s="93"/>
      <c r="I852" s="25"/>
    </row>
    <row r="853">
      <c r="A853" s="87"/>
      <c r="B853" s="88"/>
      <c r="C853" s="88"/>
      <c r="D853" s="18"/>
      <c r="E853" s="18"/>
      <c r="F853" s="89"/>
      <c r="G853" s="89"/>
      <c r="H853" s="90"/>
      <c r="I853" s="18"/>
    </row>
    <row r="854">
      <c r="A854" s="91"/>
      <c r="B854" s="59"/>
      <c r="C854" s="59"/>
      <c r="D854" s="25"/>
      <c r="E854" s="25"/>
      <c r="F854" s="92"/>
      <c r="G854" s="92"/>
      <c r="H854" s="93"/>
      <c r="I854" s="25"/>
    </row>
    <row r="855">
      <c r="A855" s="87"/>
      <c r="B855" s="88"/>
      <c r="C855" s="88"/>
      <c r="D855" s="18"/>
      <c r="E855" s="18"/>
      <c r="F855" s="89"/>
      <c r="G855" s="89"/>
      <c r="H855" s="90"/>
      <c r="I855" s="18"/>
    </row>
    <row r="856">
      <c r="A856" s="91"/>
      <c r="B856" s="59"/>
      <c r="C856" s="59"/>
      <c r="D856" s="25"/>
      <c r="E856" s="25"/>
      <c r="F856" s="92"/>
      <c r="G856" s="92"/>
      <c r="H856" s="93"/>
      <c r="I856" s="25"/>
    </row>
    <row r="857">
      <c r="A857" s="87"/>
      <c r="B857" s="88"/>
      <c r="C857" s="88"/>
      <c r="D857" s="18"/>
      <c r="E857" s="18"/>
      <c r="F857" s="89"/>
      <c r="G857" s="89"/>
      <c r="H857" s="90"/>
      <c r="I857" s="18"/>
    </row>
    <row r="858">
      <c r="A858" s="91"/>
      <c r="B858" s="59"/>
      <c r="C858" s="59"/>
      <c r="D858" s="25"/>
      <c r="E858" s="25"/>
      <c r="F858" s="92"/>
      <c r="G858" s="92"/>
      <c r="H858" s="93"/>
      <c r="I858" s="25"/>
    </row>
    <row r="859">
      <c r="A859" s="87"/>
      <c r="B859" s="88"/>
      <c r="C859" s="88"/>
      <c r="D859" s="18"/>
      <c r="E859" s="18"/>
      <c r="F859" s="89"/>
      <c r="G859" s="89"/>
      <c r="H859" s="90"/>
      <c r="I859" s="18"/>
    </row>
    <row r="860">
      <c r="A860" s="91"/>
      <c r="B860" s="59"/>
      <c r="C860" s="59"/>
      <c r="D860" s="25"/>
      <c r="E860" s="25"/>
      <c r="F860" s="92"/>
      <c r="G860" s="92"/>
      <c r="H860" s="93"/>
      <c r="I860" s="25"/>
    </row>
    <row r="861">
      <c r="A861" s="87"/>
      <c r="B861" s="88"/>
      <c r="C861" s="88"/>
      <c r="D861" s="18"/>
      <c r="E861" s="18"/>
      <c r="F861" s="89"/>
      <c r="G861" s="89"/>
      <c r="H861" s="90"/>
      <c r="I861" s="18"/>
    </row>
    <row r="862">
      <c r="A862" s="91"/>
      <c r="B862" s="59"/>
      <c r="C862" s="59"/>
      <c r="D862" s="25"/>
      <c r="E862" s="25"/>
      <c r="F862" s="92"/>
      <c r="G862" s="92"/>
      <c r="H862" s="93"/>
      <c r="I862" s="25"/>
    </row>
    <row r="863">
      <c r="A863" s="87"/>
      <c r="B863" s="88"/>
      <c r="C863" s="88"/>
      <c r="D863" s="18"/>
      <c r="E863" s="18"/>
      <c r="F863" s="89"/>
      <c r="G863" s="89"/>
      <c r="H863" s="90"/>
      <c r="I863" s="18"/>
    </row>
    <row r="864">
      <c r="A864" s="91"/>
      <c r="B864" s="59"/>
      <c r="C864" s="59"/>
      <c r="D864" s="25"/>
      <c r="E864" s="25"/>
      <c r="F864" s="92"/>
      <c r="G864" s="92"/>
      <c r="H864" s="93"/>
      <c r="I864" s="25"/>
    </row>
    <row r="865">
      <c r="A865" s="87"/>
      <c r="B865" s="88"/>
      <c r="C865" s="88"/>
      <c r="D865" s="18"/>
      <c r="E865" s="18"/>
      <c r="F865" s="89"/>
      <c r="G865" s="89"/>
      <c r="H865" s="90"/>
      <c r="I865" s="18"/>
    </row>
    <row r="866">
      <c r="A866" s="91"/>
      <c r="B866" s="59"/>
      <c r="C866" s="59"/>
      <c r="D866" s="25"/>
      <c r="E866" s="25"/>
      <c r="F866" s="92"/>
      <c r="G866" s="92"/>
      <c r="H866" s="93"/>
      <c r="I866" s="25"/>
    </row>
    <row r="867">
      <c r="A867" s="87"/>
      <c r="B867" s="88"/>
      <c r="C867" s="88"/>
      <c r="D867" s="18"/>
      <c r="E867" s="18"/>
      <c r="F867" s="89"/>
      <c r="G867" s="89"/>
      <c r="H867" s="90"/>
      <c r="I867" s="18"/>
    </row>
    <row r="868">
      <c r="A868" s="91"/>
      <c r="B868" s="59"/>
      <c r="C868" s="59"/>
      <c r="D868" s="25"/>
      <c r="E868" s="25"/>
      <c r="F868" s="92"/>
      <c r="G868" s="92"/>
      <c r="H868" s="93"/>
      <c r="I868" s="25"/>
    </row>
    <row r="869">
      <c r="A869" s="87"/>
      <c r="B869" s="88"/>
      <c r="C869" s="88"/>
      <c r="D869" s="18"/>
      <c r="E869" s="18"/>
      <c r="F869" s="89"/>
      <c r="G869" s="89"/>
      <c r="H869" s="90"/>
      <c r="I869" s="18"/>
    </row>
    <row r="870">
      <c r="A870" s="91"/>
      <c r="B870" s="59"/>
      <c r="C870" s="59"/>
      <c r="D870" s="25"/>
      <c r="E870" s="25"/>
      <c r="F870" s="92"/>
      <c r="G870" s="92"/>
      <c r="H870" s="93"/>
      <c r="I870" s="25"/>
    </row>
    <row r="871">
      <c r="A871" s="87"/>
      <c r="B871" s="88"/>
      <c r="C871" s="88"/>
      <c r="D871" s="18"/>
      <c r="E871" s="18"/>
      <c r="F871" s="89"/>
      <c r="G871" s="89"/>
      <c r="H871" s="90"/>
      <c r="I871" s="18"/>
    </row>
    <row r="872">
      <c r="A872" s="91"/>
      <c r="B872" s="59"/>
      <c r="C872" s="59"/>
      <c r="D872" s="25"/>
      <c r="E872" s="25"/>
      <c r="F872" s="92"/>
      <c r="G872" s="92"/>
      <c r="H872" s="93"/>
      <c r="I872" s="25"/>
    </row>
    <row r="873">
      <c r="A873" s="87"/>
      <c r="B873" s="88"/>
      <c r="C873" s="88"/>
      <c r="D873" s="18"/>
      <c r="E873" s="18"/>
      <c r="F873" s="89"/>
      <c r="G873" s="89"/>
      <c r="H873" s="90"/>
      <c r="I873" s="18"/>
    </row>
    <row r="874">
      <c r="A874" s="91"/>
      <c r="B874" s="59"/>
      <c r="C874" s="59"/>
      <c r="D874" s="25"/>
      <c r="E874" s="25"/>
      <c r="F874" s="92"/>
      <c r="G874" s="92"/>
      <c r="H874" s="93"/>
      <c r="I874" s="25"/>
    </row>
    <row r="875">
      <c r="A875" s="87"/>
      <c r="B875" s="88"/>
      <c r="C875" s="88"/>
      <c r="D875" s="18"/>
      <c r="E875" s="18"/>
      <c r="F875" s="89"/>
      <c r="G875" s="89"/>
      <c r="H875" s="90"/>
      <c r="I875" s="18"/>
    </row>
    <row r="876">
      <c r="A876" s="91"/>
      <c r="B876" s="59"/>
      <c r="C876" s="59"/>
      <c r="D876" s="25"/>
      <c r="E876" s="25"/>
      <c r="F876" s="92"/>
      <c r="G876" s="92"/>
      <c r="H876" s="93"/>
      <c r="I876" s="25"/>
    </row>
    <row r="877">
      <c r="A877" s="87"/>
      <c r="B877" s="88"/>
      <c r="C877" s="88"/>
      <c r="D877" s="18"/>
      <c r="E877" s="18"/>
      <c r="F877" s="89"/>
      <c r="G877" s="89"/>
      <c r="H877" s="90"/>
      <c r="I877" s="18"/>
    </row>
    <row r="878">
      <c r="A878" s="91"/>
      <c r="B878" s="59"/>
      <c r="C878" s="59"/>
      <c r="D878" s="25"/>
      <c r="E878" s="25"/>
      <c r="F878" s="92"/>
      <c r="G878" s="92"/>
      <c r="H878" s="93"/>
      <c r="I878" s="25"/>
    </row>
    <row r="879">
      <c r="A879" s="87"/>
      <c r="B879" s="88"/>
      <c r="C879" s="88"/>
      <c r="D879" s="18"/>
      <c r="E879" s="18"/>
      <c r="F879" s="89"/>
      <c r="G879" s="89"/>
      <c r="H879" s="90"/>
      <c r="I879" s="18"/>
    </row>
    <row r="880">
      <c r="A880" s="91"/>
      <c r="B880" s="59"/>
      <c r="C880" s="59"/>
      <c r="D880" s="25"/>
      <c r="E880" s="25"/>
      <c r="F880" s="92"/>
      <c r="G880" s="92"/>
      <c r="H880" s="93"/>
      <c r="I880" s="25"/>
    </row>
    <row r="881">
      <c r="A881" s="87"/>
      <c r="B881" s="88"/>
      <c r="C881" s="88"/>
      <c r="D881" s="18"/>
      <c r="E881" s="18"/>
      <c r="F881" s="89"/>
      <c r="G881" s="89"/>
      <c r="H881" s="90"/>
      <c r="I881" s="18"/>
    </row>
    <row r="882">
      <c r="A882" s="91"/>
      <c r="B882" s="59"/>
      <c r="C882" s="59"/>
      <c r="D882" s="25"/>
      <c r="E882" s="25"/>
      <c r="F882" s="92"/>
      <c r="G882" s="92"/>
      <c r="H882" s="93"/>
      <c r="I882" s="25"/>
    </row>
    <row r="883">
      <c r="A883" s="87"/>
      <c r="B883" s="88"/>
      <c r="C883" s="88"/>
      <c r="D883" s="18"/>
      <c r="E883" s="18"/>
      <c r="F883" s="89"/>
      <c r="G883" s="89"/>
      <c r="H883" s="90"/>
      <c r="I883" s="18"/>
    </row>
    <row r="884">
      <c r="A884" s="91"/>
      <c r="B884" s="59"/>
      <c r="C884" s="59"/>
      <c r="D884" s="25"/>
      <c r="E884" s="25"/>
      <c r="F884" s="92"/>
      <c r="G884" s="92"/>
      <c r="H884" s="93"/>
      <c r="I884" s="25"/>
    </row>
    <row r="885">
      <c r="A885" s="87"/>
      <c r="B885" s="88"/>
      <c r="C885" s="88"/>
      <c r="D885" s="18"/>
      <c r="E885" s="18"/>
      <c r="F885" s="89"/>
      <c r="G885" s="89"/>
      <c r="H885" s="90"/>
      <c r="I885" s="18"/>
    </row>
    <row r="886">
      <c r="A886" s="91"/>
      <c r="B886" s="59"/>
      <c r="C886" s="59"/>
      <c r="D886" s="25"/>
      <c r="E886" s="25"/>
      <c r="F886" s="92"/>
      <c r="G886" s="92"/>
      <c r="H886" s="93"/>
      <c r="I886" s="25"/>
    </row>
    <row r="887">
      <c r="A887" s="87"/>
      <c r="B887" s="88"/>
      <c r="C887" s="88"/>
      <c r="D887" s="18"/>
      <c r="E887" s="18"/>
      <c r="F887" s="89"/>
      <c r="G887" s="89"/>
      <c r="H887" s="90"/>
      <c r="I887" s="18"/>
    </row>
    <row r="888">
      <c r="A888" s="91"/>
      <c r="B888" s="59"/>
      <c r="C888" s="59"/>
      <c r="D888" s="25"/>
      <c r="E888" s="25"/>
      <c r="F888" s="92"/>
      <c r="G888" s="92"/>
      <c r="H888" s="93"/>
      <c r="I888" s="25"/>
    </row>
    <row r="889">
      <c r="A889" s="87"/>
      <c r="B889" s="88"/>
      <c r="C889" s="88"/>
      <c r="D889" s="18"/>
      <c r="E889" s="18"/>
      <c r="F889" s="89"/>
      <c r="G889" s="89"/>
      <c r="H889" s="90"/>
      <c r="I889" s="18"/>
    </row>
    <row r="890">
      <c r="A890" s="91"/>
      <c r="B890" s="59"/>
      <c r="C890" s="59"/>
      <c r="D890" s="25"/>
      <c r="E890" s="25"/>
      <c r="F890" s="92"/>
      <c r="G890" s="92"/>
      <c r="H890" s="93"/>
      <c r="I890" s="25"/>
    </row>
    <row r="891">
      <c r="A891" s="87"/>
      <c r="B891" s="88"/>
      <c r="C891" s="88"/>
      <c r="D891" s="18"/>
      <c r="E891" s="18"/>
      <c r="F891" s="89"/>
      <c r="G891" s="89"/>
      <c r="H891" s="90"/>
      <c r="I891" s="18"/>
    </row>
    <row r="892">
      <c r="A892" s="91"/>
      <c r="B892" s="59"/>
      <c r="C892" s="59"/>
      <c r="D892" s="25"/>
      <c r="E892" s="25"/>
      <c r="F892" s="92"/>
      <c r="G892" s="92"/>
      <c r="H892" s="93"/>
      <c r="I892" s="25"/>
    </row>
    <row r="893">
      <c r="A893" s="87"/>
      <c r="B893" s="88"/>
      <c r="C893" s="88"/>
      <c r="D893" s="18"/>
      <c r="E893" s="18"/>
      <c r="F893" s="89"/>
      <c r="G893" s="89"/>
      <c r="H893" s="90"/>
      <c r="I893" s="18"/>
    </row>
    <row r="894">
      <c r="A894" s="91"/>
      <c r="B894" s="59"/>
      <c r="C894" s="59"/>
      <c r="D894" s="25"/>
      <c r="E894" s="25"/>
      <c r="F894" s="92"/>
      <c r="G894" s="92"/>
      <c r="H894" s="93"/>
      <c r="I894" s="25"/>
    </row>
    <row r="895">
      <c r="A895" s="87"/>
      <c r="B895" s="88"/>
      <c r="C895" s="88"/>
      <c r="D895" s="18"/>
      <c r="E895" s="18"/>
      <c r="F895" s="89"/>
      <c r="G895" s="89"/>
      <c r="H895" s="90"/>
      <c r="I895" s="18"/>
    </row>
    <row r="896">
      <c r="A896" s="91"/>
      <c r="B896" s="59"/>
      <c r="C896" s="59"/>
      <c r="D896" s="25"/>
      <c r="E896" s="25"/>
      <c r="F896" s="92"/>
      <c r="G896" s="92"/>
      <c r="H896" s="93"/>
      <c r="I896" s="25"/>
    </row>
    <row r="897">
      <c r="A897" s="87"/>
      <c r="B897" s="88"/>
      <c r="C897" s="88"/>
      <c r="D897" s="18"/>
      <c r="E897" s="18"/>
      <c r="F897" s="89"/>
      <c r="G897" s="89"/>
      <c r="H897" s="90"/>
      <c r="I897" s="18"/>
    </row>
    <row r="898">
      <c r="A898" s="91"/>
      <c r="B898" s="59"/>
      <c r="C898" s="59"/>
      <c r="D898" s="25"/>
      <c r="E898" s="25"/>
      <c r="F898" s="92"/>
      <c r="G898" s="92"/>
      <c r="H898" s="93"/>
      <c r="I898" s="25"/>
    </row>
    <row r="899">
      <c r="A899" s="87"/>
      <c r="B899" s="88"/>
      <c r="C899" s="88"/>
      <c r="D899" s="18"/>
      <c r="E899" s="18"/>
      <c r="F899" s="89"/>
      <c r="G899" s="89"/>
      <c r="H899" s="90"/>
      <c r="I899" s="18"/>
    </row>
    <row r="900">
      <c r="A900" s="91"/>
      <c r="B900" s="59"/>
      <c r="C900" s="59"/>
      <c r="D900" s="25"/>
      <c r="E900" s="25"/>
      <c r="F900" s="92"/>
      <c r="G900" s="92"/>
      <c r="H900" s="93"/>
      <c r="I900" s="25"/>
    </row>
    <row r="901">
      <c r="A901" s="87"/>
      <c r="B901" s="88"/>
      <c r="C901" s="88"/>
      <c r="D901" s="18"/>
      <c r="E901" s="18"/>
      <c r="F901" s="89"/>
      <c r="G901" s="89"/>
      <c r="H901" s="90"/>
      <c r="I901" s="18"/>
    </row>
    <row r="902">
      <c r="A902" s="91"/>
      <c r="B902" s="59"/>
      <c r="C902" s="59"/>
      <c r="D902" s="25"/>
      <c r="E902" s="25"/>
      <c r="F902" s="92"/>
      <c r="G902" s="92"/>
      <c r="H902" s="93"/>
      <c r="I902" s="25"/>
    </row>
    <row r="903">
      <c r="A903" s="87"/>
      <c r="B903" s="88"/>
      <c r="C903" s="88"/>
      <c r="D903" s="18"/>
      <c r="E903" s="18"/>
      <c r="F903" s="89"/>
      <c r="G903" s="89"/>
      <c r="H903" s="90"/>
      <c r="I903" s="18"/>
    </row>
    <row r="904">
      <c r="A904" s="91"/>
      <c r="B904" s="59"/>
      <c r="C904" s="59"/>
      <c r="D904" s="25"/>
      <c r="E904" s="25"/>
      <c r="F904" s="92"/>
      <c r="G904" s="92"/>
      <c r="H904" s="93"/>
      <c r="I904" s="25"/>
    </row>
    <row r="905">
      <c r="A905" s="87"/>
      <c r="B905" s="88"/>
      <c r="C905" s="88"/>
      <c r="D905" s="18"/>
      <c r="E905" s="18"/>
      <c r="F905" s="89"/>
      <c r="G905" s="89"/>
      <c r="H905" s="90"/>
      <c r="I905" s="18"/>
    </row>
    <row r="906">
      <c r="A906" s="91"/>
      <c r="B906" s="59"/>
      <c r="C906" s="59"/>
      <c r="D906" s="25"/>
      <c r="E906" s="25"/>
      <c r="F906" s="92"/>
      <c r="G906" s="92"/>
      <c r="H906" s="93"/>
      <c r="I906" s="25"/>
    </row>
    <row r="907">
      <c r="A907" s="87"/>
      <c r="B907" s="88"/>
      <c r="C907" s="88"/>
      <c r="D907" s="18"/>
      <c r="E907" s="18"/>
      <c r="F907" s="89"/>
      <c r="G907" s="89"/>
      <c r="H907" s="90"/>
      <c r="I907" s="18"/>
    </row>
    <row r="908">
      <c r="A908" s="91"/>
      <c r="B908" s="59"/>
      <c r="C908" s="59"/>
      <c r="D908" s="25"/>
      <c r="E908" s="25"/>
      <c r="F908" s="92"/>
      <c r="G908" s="92"/>
      <c r="H908" s="93"/>
      <c r="I908" s="25"/>
    </row>
    <row r="909">
      <c r="A909" s="87"/>
      <c r="B909" s="88"/>
      <c r="C909" s="88"/>
      <c r="D909" s="18"/>
      <c r="E909" s="18"/>
      <c r="F909" s="89"/>
      <c r="G909" s="89"/>
      <c r="H909" s="90"/>
      <c r="I909" s="18"/>
    </row>
    <row r="910">
      <c r="A910" s="91"/>
      <c r="B910" s="59"/>
      <c r="C910" s="59"/>
      <c r="D910" s="25"/>
      <c r="E910" s="25"/>
      <c r="F910" s="92"/>
      <c r="G910" s="92"/>
      <c r="H910" s="93"/>
      <c r="I910" s="25"/>
    </row>
    <row r="911">
      <c r="A911" s="87"/>
      <c r="B911" s="88"/>
      <c r="C911" s="88"/>
      <c r="D911" s="18"/>
      <c r="E911" s="18"/>
      <c r="F911" s="89"/>
      <c r="G911" s="89"/>
      <c r="H911" s="90"/>
      <c r="I911" s="18"/>
    </row>
    <row r="912">
      <c r="A912" s="91"/>
      <c r="B912" s="59"/>
      <c r="C912" s="59"/>
      <c r="D912" s="25"/>
      <c r="E912" s="25"/>
      <c r="F912" s="92"/>
      <c r="G912" s="92"/>
      <c r="H912" s="93"/>
      <c r="I912" s="25"/>
    </row>
    <row r="913">
      <c r="A913" s="87"/>
      <c r="B913" s="88"/>
      <c r="C913" s="88"/>
      <c r="D913" s="18"/>
      <c r="E913" s="18"/>
      <c r="F913" s="89"/>
      <c r="G913" s="89"/>
      <c r="H913" s="90"/>
      <c r="I913" s="18"/>
    </row>
    <row r="914">
      <c r="A914" s="91"/>
      <c r="B914" s="59"/>
      <c r="C914" s="59"/>
      <c r="D914" s="25"/>
      <c r="E914" s="25"/>
      <c r="F914" s="92"/>
      <c r="G914" s="92"/>
      <c r="H914" s="93"/>
      <c r="I914" s="25"/>
    </row>
    <row r="915">
      <c r="A915" s="87"/>
      <c r="B915" s="88"/>
      <c r="C915" s="88"/>
      <c r="D915" s="18"/>
      <c r="E915" s="18"/>
      <c r="F915" s="89"/>
      <c r="G915" s="89"/>
      <c r="H915" s="90"/>
      <c r="I915" s="18"/>
    </row>
    <row r="916">
      <c r="A916" s="91"/>
      <c r="B916" s="59"/>
      <c r="C916" s="59"/>
      <c r="D916" s="25"/>
      <c r="E916" s="25"/>
      <c r="F916" s="92"/>
      <c r="G916" s="92"/>
      <c r="H916" s="93"/>
      <c r="I916" s="25"/>
    </row>
    <row r="917">
      <c r="A917" s="87"/>
      <c r="B917" s="88"/>
      <c r="C917" s="88"/>
      <c r="D917" s="18"/>
      <c r="E917" s="18"/>
      <c r="F917" s="89"/>
      <c r="G917" s="89"/>
      <c r="H917" s="90"/>
      <c r="I917" s="18"/>
    </row>
    <row r="918">
      <c r="A918" s="91"/>
      <c r="B918" s="59"/>
      <c r="C918" s="59"/>
      <c r="D918" s="25"/>
      <c r="E918" s="25"/>
      <c r="F918" s="92"/>
      <c r="G918" s="92"/>
      <c r="H918" s="93"/>
      <c r="I918" s="25"/>
    </row>
    <row r="919">
      <c r="A919" s="87"/>
      <c r="B919" s="88"/>
      <c r="C919" s="88"/>
      <c r="D919" s="18"/>
      <c r="E919" s="18"/>
      <c r="F919" s="89"/>
      <c r="G919" s="89"/>
      <c r="H919" s="90"/>
      <c r="I919" s="18"/>
    </row>
    <row r="920">
      <c r="A920" s="91"/>
      <c r="B920" s="59"/>
      <c r="C920" s="59"/>
      <c r="D920" s="25"/>
      <c r="E920" s="25"/>
      <c r="F920" s="92"/>
      <c r="G920" s="92"/>
      <c r="H920" s="93"/>
      <c r="I920" s="25"/>
    </row>
    <row r="921">
      <c r="A921" s="87"/>
      <c r="B921" s="88"/>
      <c r="C921" s="88"/>
      <c r="D921" s="18"/>
      <c r="E921" s="18"/>
      <c r="F921" s="89"/>
      <c r="G921" s="89"/>
      <c r="H921" s="90"/>
      <c r="I921" s="18"/>
    </row>
    <row r="922">
      <c r="A922" s="91"/>
      <c r="B922" s="59"/>
      <c r="C922" s="59"/>
      <c r="D922" s="25"/>
      <c r="E922" s="25"/>
      <c r="F922" s="92"/>
      <c r="G922" s="92"/>
      <c r="H922" s="93"/>
      <c r="I922" s="25"/>
    </row>
    <row r="923">
      <c r="A923" s="87"/>
      <c r="B923" s="88"/>
      <c r="C923" s="88"/>
      <c r="D923" s="18"/>
      <c r="E923" s="18"/>
      <c r="F923" s="89"/>
      <c r="G923" s="89"/>
      <c r="H923" s="90"/>
      <c r="I923" s="18"/>
    </row>
    <row r="924">
      <c r="A924" s="91"/>
      <c r="B924" s="59"/>
      <c r="C924" s="59"/>
      <c r="D924" s="25"/>
      <c r="E924" s="25"/>
      <c r="F924" s="92"/>
      <c r="G924" s="92"/>
      <c r="H924" s="93"/>
      <c r="I924" s="25"/>
    </row>
    <row r="925">
      <c r="A925" s="87"/>
      <c r="B925" s="88"/>
      <c r="C925" s="88"/>
      <c r="D925" s="18"/>
      <c r="E925" s="18"/>
      <c r="F925" s="89"/>
      <c r="G925" s="89"/>
      <c r="H925" s="90"/>
      <c r="I925" s="18"/>
    </row>
    <row r="926">
      <c r="A926" s="91"/>
      <c r="B926" s="59"/>
      <c r="C926" s="59"/>
      <c r="D926" s="25"/>
      <c r="E926" s="25"/>
      <c r="F926" s="92"/>
      <c r="G926" s="92"/>
      <c r="H926" s="93"/>
      <c r="I926" s="25"/>
    </row>
    <row r="927">
      <c r="A927" s="87"/>
      <c r="B927" s="88"/>
      <c r="C927" s="88"/>
      <c r="D927" s="18"/>
      <c r="E927" s="18"/>
      <c r="F927" s="89"/>
      <c r="G927" s="89"/>
      <c r="H927" s="90"/>
      <c r="I927" s="18"/>
    </row>
    <row r="928">
      <c r="A928" s="91"/>
      <c r="B928" s="59"/>
      <c r="C928" s="59"/>
      <c r="D928" s="25"/>
      <c r="E928" s="25"/>
      <c r="F928" s="92"/>
      <c r="G928" s="92"/>
      <c r="H928" s="93"/>
      <c r="I928" s="25"/>
    </row>
    <row r="929">
      <c r="A929" s="87"/>
      <c r="B929" s="88"/>
      <c r="C929" s="88"/>
      <c r="D929" s="18"/>
      <c r="E929" s="18"/>
      <c r="F929" s="89"/>
      <c r="G929" s="89"/>
      <c r="H929" s="90"/>
      <c r="I929" s="18"/>
    </row>
    <row r="930">
      <c r="A930" s="91"/>
      <c r="B930" s="59"/>
      <c r="C930" s="59"/>
      <c r="D930" s="25"/>
      <c r="E930" s="25"/>
      <c r="F930" s="92"/>
      <c r="G930" s="92"/>
      <c r="H930" s="93"/>
      <c r="I930" s="25"/>
    </row>
    <row r="931">
      <c r="A931" s="87"/>
      <c r="B931" s="88"/>
      <c r="C931" s="88"/>
      <c r="D931" s="18"/>
      <c r="E931" s="18"/>
      <c r="F931" s="89"/>
      <c r="G931" s="89"/>
      <c r="H931" s="90"/>
      <c r="I931" s="18"/>
    </row>
    <row r="932">
      <c r="A932" s="91"/>
      <c r="B932" s="59"/>
      <c r="C932" s="59"/>
      <c r="D932" s="25"/>
      <c r="E932" s="25"/>
      <c r="F932" s="92"/>
      <c r="G932" s="92"/>
      <c r="H932" s="93"/>
      <c r="I932" s="25"/>
    </row>
    <row r="933">
      <c r="A933" s="87"/>
      <c r="B933" s="88"/>
      <c r="C933" s="88"/>
      <c r="D933" s="18"/>
      <c r="E933" s="18"/>
      <c r="F933" s="89"/>
      <c r="G933" s="89"/>
      <c r="H933" s="90"/>
      <c r="I933" s="18"/>
    </row>
    <row r="934">
      <c r="A934" s="91"/>
      <c r="B934" s="59"/>
      <c r="C934" s="59"/>
      <c r="D934" s="25"/>
      <c r="E934" s="25"/>
      <c r="F934" s="92"/>
      <c r="G934" s="92"/>
      <c r="H934" s="93"/>
      <c r="I934" s="25"/>
    </row>
    <row r="935">
      <c r="A935" s="87"/>
      <c r="B935" s="88"/>
      <c r="C935" s="88"/>
      <c r="D935" s="18"/>
      <c r="E935" s="18"/>
      <c r="F935" s="89"/>
      <c r="G935" s="89"/>
      <c r="H935" s="90"/>
      <c r="I935" s="18"/>
    </row>
    <row r="936">
      <c r="A936" s="91"/>
      <c r="B936" s="59"/>
      <c r="C936" s="59"/>
      <c r="D936" s="25"/>
      <c r="E936" s="25"/>
      <c r="F936" s="92"/>
      <c r="G936" s="92"/>
      <c r="H936" s="93"/>
      <c r="I936" s="25"/>
    </row>
    <row r="937">
      <c r="A937" s="87"/>
      <c r="B937" s="88"/>
      <c r="C937" s="88"/>
      <c r="D937" s="18"/>
      <c r="E937" s="18"/>
      <c r="F937" s="89"/>
      <c r="G937" s="89"/>
      <c r="H937" s="90"/>
      <c r="I937" s="18"/>
    </row>
    <row r="938">
      <c r="A938" s="91"/>
      <c r="B938" s="59"/>
      <c r="C938" s="59"/>
      <c r="D938" s="25"/>
      <c r="E938" s="25"/>
      <c r="F938" s="92"/>
      <c r="G938" s="92"/>
      <c r="H938" s="93"/>
      <c r="I938" s="25"/>
    </row>
    <row r="939">
      <c r="A939" s="87"/>
      <c r="B939" s="88"/>
      <c r="C939" s="88"/>
      <c r="D939" s="18"/>
      <c r="E939" s="18"/>
      <c r="F939" s="89"/>
      <c r="G939" s="89"/>
      <c r="H939" s="90"/>
      <c r="I939" s="18"/>
    </row>
    <row r="940">
      <c r="A940" s="91"/>
      <c r="B940" s="59"/>
      <c r="C940" s="59"/>
      <c r="D940" s="25"/>
      <c r="E940" s="25"/>
      <c r="F940" s="92"/>
      <c r="G940" s="92"/>
      <c r="H940" s="93"/>
      <c r="I940" s="25"/>
    </row>
    <row r="941">
      <c r="A941" s="87"/>
      <c r="B941" s="88"/>
      <c r="C941" s="88"/>
      <c r="D941" s="18"/>
      <c r="E941" s="18"/>
      <c r="F941" s="89"/>
      <c r="G941" s="89"/>
      <c r="H941" s="90"/>
      <c r="I941" s="18"/>
    </row>
    <row r="942">
      <c r="A942" s="91"/>
      <c r="B942" s="59"/>
      <c r="C942" s="59"/>
      <c r="D942" s="25"/>
      <c r="E942" s="25"/>
      <c r="F942" s="92"/>
      <c r="G942" s="92"/>
      <c r="H942" s="93"/>
      <c r="I942" s="25"/>
    </row>
    <row r="943">
      <c r="A943" s="87"/>
      <c r="B943" s="88"/>
      <c r="C943" s="88"/>
      <c r="D943" s="18"/>
      <c r="E943" s="18"/>
      <c r="F943" s="89"/>
      <c r="G943" s="89"/>
      <c r="H943" s="90"/>
      <c r="I943" s="18"/>
    </row>
    <row r="944">
      <c r="A944" s="91"/>
      <c r="B944" s="59"/>
      <c r="C944" s="59"/>
      <c r="D944" s="25"/>
      <c r="E944" s="25"/>
      <c r="F944" s="92"/>
      <c r="G944" s="92"/>
      <c r="H944" s="93"/>
      <c r="I944" s="25"/>
    </row>
    <row r="945">
      <c r="A945" s="87"/>
      <c r="B945" s="88"/>
      <c r="C945" s="88"/>
      <c r="D945" s="18"/>
      <c r="E945" s="18"/>
      <c r="F945" s="89"/>
      <c r="G945" s="89"/>
      <c r="H945" s="90"/>
      <c r="I945" s="18"/>
    </row>
    <row r="946">
      <c r="A946" s="91"/>
      <c r="B946" s="59"/>
      <c r="C946" s="59"/>
      <c r="D946" s="25"/>
      <c r="E946" s="25"/>
      <c r="F946" s="92"/>
      <c r="G946" s="92"/>
      <c r="H946" s="93"/>
      <c r="I946" s="25"/>
    </row>
    <row r="947">
      <c r="A947" s="87"/>
      <c r="B947" s="88"/>
      <c r="C947" s="88"/>
      <c r="D947" s="18"/>
      <c r="E947" s="18"/>
      <c r="F947" s="89"/>
      <c r="G947" s="89"/>
      <c r="H947" s="90"/>
      <c r="I947" s="18"/>
    </row>
    <row r="948">
      <c r="A948" s="91"/>
      <c r="B948" s="59"/>
      <c r="C948" s="59"/>
      <c r="D948" s="25"/>
      <c r="E948" s="25"/>
      <c r="F948" s="92"/>
      <c r="G948" s="92"/>
      <c r="H948" s="93"/>
      <c r="I948" s="25"/>
    </row>
    <row r="949">
      <c r="A949" s="87"/>
      <c r="B949" s="88"/>
      <c r="C949" s="88"/>
      <c r="D949" s="18"/>
      <c r="E949" s="18"/>
      <c r="F949" s="89"/>
      <c r="G949" s="89"/>
      <c r="H949" s="90"/>
      <c r="I949" s="18"/>
    </row>
    <row r="950">
      <c r="A950" s="91"/>
      <c r="B950" s="59"/>
      <c r="C950" s="59"/>
      <c r="D950" s="25"/>
      <c r="E950" s="25"/>
      <c r="F950" s="92"/>
      <c r="G950" s="92"/>
      <c r="H950" s="93"/>
      <c r="I950" s="25"/>
    </row>
    <row r="951">
      <c r="A951" s="87"/>
      <c r="B951" s="88"/>
      <c r="C951" s="88"/>
      <c r="D951" s="18"/>
      <c r="E951" s="18"/>
      <c r="F951" s="89"/>
      <c r="G951" s="89"/>
      <c r="H951" s="90"/>
      <c r="I951" s="18"/>
    </row>
    <row r="952">
      <c r="A952" s="91"/>
      <c r="B952" s="59"/>
      <c r="C952" s="59"/>
      <c r="D952" s="25"/>
      <c r="E952" s="25"/>
      <c r="F952" s="92"/>
      <c r="G952" s="92"/>
      <c r="H952" s="93"/>
      <c r="I952" s="25"/>
    </row>
    <row r="953">
      <c r="A953" s="87"/>
      <c r="B953" s="88"/>
      <c r="C953" s="88"/>
      <c r="D953" s="18"/>
      <c r="E953" s="18"/>
      <c r="F953" s="89"/>
      <c r="G953" s="89"/>
      <c r="H953" s="90"/>
      <c r="I953" s="18"/>
    </row>
    <row r="954">
      <c r="A954" s="91"/>
      <c r="B954" s="59"/>
      <c r="C954" s="59"/>
      <c r="D954" s="25"/>
      <c r="E954" s="25"/>
      <c r="F954" s="92"/>
      <c r="G954" s="92"/>
      <c r="H954" s="93"/>
      <c r="I954" s="25"/>
    </row>
    <row r="955">
      <c r="A955" s="87"/>
      <c r="B955" s="88"/>
      <c r="C955" s="88"/>
      <c r="D955" s="18"/>
      <c r="E955" s="18"/>
      <c r="F955" s="89"/>
      <c r="G955" s="89"/>
      <c r="H955" s="90"/>
      <c r="I955" s="18"/>
    </row>
    <row r="956">
      <c r="A956" s="91"/>
      <c r="B956" s="59"/>
      <c r="C956" s="59"/>
      <c r="D956" s="25"/>
      <c r="E956" s="25"/>
      <c r="F956" s="92"/>
      <c r="G956" s="92"/>
      <c r="H956" s="93"/>
      <c r="I956" s="25"/>
    </row>
    <row r="957">
      <c r="A957" s="87"/>
      <c r="B957" s="88"/>
      <c r="C957" s="88"/>
      <c r="D957" s="18"/>
      <c r="E957" s="18"/>
      <c r="F957" s="89"/>
      <c r="G957" s="89"/>
      <c r="H957" s="90"/>
      <c r="I957" s="18"/>
    </row>
    <row r="958">
      <c r="A958" s="91"/>
      <c r="B958" s="59"/>
      <c r="C958" s="59"/>
      <c r="D958" s="25"/>
      <c r="E958" s="25"/>
      <c r="F958" s="92"/>
      <c r="G958" s="92"/>
      <c r="H958" s="93"/>
      <c r="I958" s="25"/>
    </row>
    <row r="959">
      <c r="A959" s="87"/>
      <c r="B959" s="88"/>
      <c r="C959" s="88"/>
      <c r="D959" s="18"/>
      <c r="E959" s="18"/>
      <c r="F959" s="89"/>
      <c r="G959" s="89"/>
      <c r="H959" s="90"/>
      <c r="I959" s="18"/>
    </row>
    <row r="960">
      <c r="A960" s="91"/>
      <c r="B960" s="59"/>
      <c r="C960" s="59"/>
      <c r="D960" s="25"/>
      <c r="E960" s="25"/>
      <c r="F960" s="92"/>
      <c r="G960" s="92"/>
      <c r="H960" s="93"/>
      <c r="I960" s="25"/>
    </row>
    <row r="961">
      <c r="A961" s="87"/>
      <c r="B961" s="88"/>
      <c r="C961" s="88"/>
      <c r="D961" s="18"/>
      <c r="E961" s="18"/>
      <c r="F961" s="89"/>
      <c r="G961" s="89"/>
      <c r="H961" s="90"/>
      <c r="I961" s="18"/>
    </row>
    <row r="962">
      <c r="A962" s="91"/>
      <c r="B962" s="59"/>
      <c r="C962" s="59"/>
      <c r="D962" s="25"/>
      <c r="E962" s="25"/>
      <c r="F962" s="92"/>
      <c r="G962" s="92"/>
      <c r="H962" s="93"/>
      <c r="I962" s="25"/>
    </row>
    <row r="963">
      <c r="A963" s="87"/>
      <c r="B963" s="88"/>
      <c r="C963" s="88"/>
      <c r="D963" s="18"/>
      <c r="E963" s="18"/>
      <c r="F963" s="89"/>
      <c r="G963" s="89"/>
      <c r="H963" s="90"/>
      <c r="I963" s="18"/>
    </row>
    <row r="964">
      <c r="A964" s="91"/>
      <c r="B964" s="59"/>
      <c r="C964" s="59"/>
      <c r="D964" s="25"/>
      <c r="E964" s="25"/>
      <c r="F964" s="92"/>
      <c r="G964" s="92"/>
      <c r="H964" s="93"/>
      <c r="I964" s="25"/>
    </row>
    <row r="965">
      <c r="A965" s="87"/>
      <c r="B965" s="88"/>
      <c r="C965" s="88"/>
      <c r="D965" s="18"/>
      <c r="E965" s="18"/>
      <c r="F965" s="89"/>
      <c r="G965" s="89"/>
      <c r="H965" s="90"/>
      <c r="I965" s="18"/>
    </row>
    <row r="966">
      <c r="A966" s="91"/>
      <c r="B966" s="59"/>
      <c r="C966" s="59"/>
      <c r="D966" s="25"/>
      <c r="E966" s="25"/>
      <c r="F966" s="92"/>
      <c r="G966" s="92"/>
      <c r="H966" s="93"/>
      <c r="I966" s="25"/>
    </row>
    <row r="967">
      <c r="A967" s="87"/>
      <c r="B967" s="88"/>
      <c r="C967" s="88"/>
      <c r="D967" s="18"/>
      <c r="E967" s="18"/>
      <c r="F967" s="89"/>
      <c r="G967" s="89"/>
      <c r="H967" s="90"/>
      <c r="I967" s="18"/>
    </row>
    <row r="968">
      <c r="A968" s="91"/>
      <c r="B968" s="59"/>
      <c r="C968" s="59"/>
      <c r="D968" s="25"/>
      <c r="E968" s="25"/>
      <c r="F968" s="92"/>
      <c r="G968" s="92"/>
      <c r="H968" s="93"/>
      <c r="I968" s="25"/>
    </row>
    <row r="969">
      <c r="A969" s="87"/>
      <c r="B969" s="88"/>
      <c r="C969" s="88"/>
      <c r="D969" s="18"/>
      <c r="E969" s="18"/>
      <c r="F969" s="89"/>
      <c r="G969" s="89"/>
      <c r="H969" s="90"/>
      <c r="I969" s="18"/>
    </row>
    <row r="970">
      <c r="A970" s="91"/>
      <c r="B970" s="59"/>
      <c r="C970" s="59"/>
      <c r="D970" s="25"/>
      <c r="E970" s="25"/>
      <c r="F970" s="92"/>
      <c r="G970" s="92"/>
      <c r="H970" s="93"/>
      <c r="I970" s="25"/>
    </row>
    <row r="971">
      <c r="A971" s="87"/>
      <c r="B971" s="88"/>
      <c r="C971" s="88"/>
      <c r="D971" s="18"/>
      <c r="E971" s="18"/>
      <c r="F971" s="89"/>
      <c r="G971" s="89"/>
      <c r="H971" s="90"/>
      <c r="I971" s="18"/>
    </row>
    <row r="972">
      <c r="A972" s="91"/>
      <c r="B972" s="59"/>
      <c r="C972" s="59"/>
      <c r="D972" s="25"/>
      <c r="E972" s="25"/>
      <c r="F972" s="92"/>
      <c r="G972" s="92"/>
      <c r="H972" s="93"/>
      <c r="I972" s="25"/>
    </row>
    <row r="973">
      <c r="A973" s="87"/>
      <c r="B973" s="88"/>
      <c r="C973" s="88"/>
      <c r="D973" s="18"/>
      <c r="E973" s="18"/>
      <c r="F973" s="89"/>
      <c r="G973" s="89"/>
      <c r="H973" s="90"/>
      <c r="I973" s="18"/>
    </row>
    <row r="974">
      <c r="A974" s="91"/>
      <c r="B974" s="59"/>
      <c r="C974" s="59"/>
      <c r="D974" s="25"/>
      <c r="E974" s="25"/>
      <c r="F974" s="92"/>
      <c r="G974" s="92"/>
      <c r="H974" s="93"/>
      <c r="I974" s="25"/>
    </row>
    <row r="975">
      <c r="A975" s="87"/>
      <c r="B975" s="88"/>
      <c r="C975" s="88"/>
      <c r="D975" s="18"/>
      <c r="E975" s="18"/>
      <c r="F975" s="89"/>
      <c r="G975" s="89"/>
      <c r="H975" s="90"/>
      <c r="I975" s="18"/>
    </row>
    <row r="976">
      <c r="A976" s="91"/>
      <c r="B976" s="59"/>
      <c r="C976" s="59"/>
      <c r="D976" s="25"/>
      <c r="E976" s="25"/>
      <c r="F976" s="92"/>
      <c r="G976" s="92"/>
      <c r="H976" s="93"/>
      <c r="I976" s="25"/>
    </row>
    <row r="977">
      <c r="A977" s="87"/>
      <c r="B977" s="88"/>
      <c r="C977" s="88"/>
      <c r="D977" s="18"/>
      <c r="E977" s="18"/>
      <c r="F977" s="89"/>
      <c r="G977" s="89"/>
      <c r="H977" s="90"/>
      <c r="I977" s="18"/>
    </row>
    <row r="978">
      <c r="A978" s="91"/>
      <c r="B978" s="59"/>
      <c r="C978" s="59"/>
      <c r="D978" s="25"/>
      <c r="E978" s="25"/>
      <c r="F978" s="92"/>
      <c r="G978" s="92"/>
      <c r="H978" s="93"/>
      <c r="I978" s="25"/>
    </row>
    <row r="979">
      <c r="A979" s="87"/>
      <c r="B979" s="88"/>
      <c r="C979" s="88"/>
      <c r="D979" s="18"/>
      <c r="E979" s="18"/>
      <c r="F979" s="89"/>
      <c r="G979" s="89"/>
      <c r="H979" s="90"/>
      <c r="I979" s="18"/>
    </row>
    <row r="980">
      <c r="A980" s="91"/>
      <c r="B980" s="59"/>
      <c r="C980" s="59"/>
      <c r="D980" s="25"/>
      <c r="E980" s="25"/>
      <c r="F980" s="92"/>
      <c r="G980" s="92"/>
      <c r="H980" s="93"/>
      <c r="I980" s="25"/>
    </row>
    <row r="981">
      <c r="A981" s="87"/>
      <c r="B981" s="88"/>
      <c r="C981" s="88"/>
      <c r="D981" s="18"/>
      <c r="E981" s="18"/>
      <c r="F981" s="89"/>
      <c r="G981" s="89"/>
      <c r="H981" s="90"/>
      <c r="I981" s="18"/>
    </row>
    <row r="982">
      <c r="A982" s="91"/>
      <c r="B982" s="59"/>
      <c r="C982" s="59"/>
      <c r="D982" s="25"/>
      <c r="E982" s="25"/>
      <c r="F982" s="92"/>
      <c r="G982" s="92"/>
      <c r="H982" s="93"/>
      <c r="I982" s="25"/>
    </row>
    <row r="983">
      <c r="A983" s="87"/>
      <c r="B983" s="88"/>
      <c r="C983" s="88"/>
      <c r="D983" s="18"/>
      <c r="E983" s="18"/>
      <c r="F983" s="89"/>
      <c r="G983" s="89"/>
      <c r="H983" s="90"/>
      <c r="I983" s="18"/>
    </row>
    <row r="984">
      <c r="A984" s="91"/>
      <c r="B984" s="59"/>
      <c r="C984" s="59"/>
      <c r="D984" s="25"/>
      <c r="E984" s="25"/>
      <c r="F984" s="92"/>
      <c r="G984" s="92"/>
      <c r="H984" s="93"/>
      <c r="I984" s="25"/>
    </row>
    <row r="985">
      <c r="A985" s="87"/>
      <c r="B985" s="88"/>
      <c r="C985" s="88"/>
      <c r="D985" s="18"/>
      <c r="E985" s="18"/>
      <c r="F985" s="89"/>
      <c r="G985" s="89"/>
      <c r="H985" s="90"/>
      <c r="I985" s="18"/>
    </row>
    <row r="986">
      <c r="A986" s="91"/>
      <c r="B986" s="59"/>
      <c r="C986" s="59"/>
      <c r="D986" s="25"/>
      <c r="E986" s="25"/>
      <c r="F986" s="92"/>
      <c r="G986" s="92"/>
      <c r="H986" s="93"/>
      <c r="I986" s="25"/>
    </row>
    <row r="987">
      <c r="A987" s="87"/>
      <c r="B987" s="88"/>
      <c r="C987" s="88"/>
      <c r="D987" s="18"/>
      <c r="E987" s="18"/>
      <c r="F987" s="89"/>
      <c r="G987" s="89"/>
      <c r="H987" s="90"/>
      <c r="I987" s="18"/>
    </row>
    <row r="988">
      <c r="A988" s="91"/>
      <c r="B988" s="59"/>
      <c r="C988" s="59"/>
      <c r="D988" s="25"/>
      <c r="E988" s="25"/>
      <c r="F988" s="92"/>
      <c r="G988" s="92"/>
      <c r="H988" s="93"/>
      <c r="I988" s="25"/>
    </row>
    <row r="989">
      <c r="A989" s="87"/>
      <c r="B989" s="88"/>
      <c r="C989" s="88"/>
      <c r="D989" s="18"/>
      <c r="E989" s="18"/>
      <c r="F989" s="89"/>
      <c r="G989" s="89"/>
      <c r="H989" s="90"/>
      <c r="I989" s="18"/>
    </row>
    <row r="990">
      <c r="A990" s="91"/>
      <c r="B990" s="59"/>
      <c r="C990" s="59"/>
      <c r="D990" s="25"/>
      <c r="E990" s="25"/>
      <c r="F990" s="92"/>
      <c r="G990" s="92"/>
      <c r="H990" s="93"/>
      <c r="I990" s="25"/>
    </row>
    <row r="991">
      <c r="A991" s="87"/>
      <c r="B991" s="88"/>
      <c r="C991" s="88"/>
      <c r="D991" s="18"/>
      <c r="E991" s="18"/>
      <c r="F991" s="89"/>
      <c r="G991" s="89"/>
      <c r="H991" s="90"/>
      <c r="I991" s="18"/>
    </row>
    <row r="992">
      <c r="A992" s="91"/>
      <c r="B992" s="59"/>
      <c r="C992" s="59"/>
      <c r="D992" s="25"/>
      <c r="E992" s="25"/>
      <c r="F992" s="92"/>
      <c r="G992" s="92"/>
      <c r="H992" s="93"/>
      <c r="I992" s="25"/>
    </row>
    <row r="993">
      <c r="A993" s="87"/>
      <c r="B993" s="88"/>
      <c r="C993" s="88"/>
      <c r="D993" s="18"/>
      <c r="E993" s="18"/>
      <c r="F993" s="89"/>
      <c r="G993" s="89"/>
      <c r="H993" s="90"/>
      <c r="I993" s="18"/>
    </row>
    <row r="994">
      <c r="A994" s="91"/>
      <c r="B994" s="59"/>
      <c r="C994" s="59"/>
      <c r="D994" s="25"/>
      <c r="E994" s="25"/>
      <c r="F994" s="92"/>
      <c r="G994" s="92"/>
      <c r="H994" s="93"/>
      <c r="I994" s="25"/>
    </row>
    <row r="995">
      <c r="A995" s="87"/>
      <c r="B995" s="88"/>
      <c r="C995" s="88"/>
      <c r="D995" s="18"/>
      <c r="E995" s="18"/>
      <c r="F995" s="89"/>
      <c r="G995" s="89"/>
      <c r="H995" s="90"/>
      <c r="I995" s="18"/>
    </row>
    <row r="996">
      <c r="A996" s="91"/>
      <c r="B996" s="59"/>
      <c r="C996" s="59"/>
      <c r="D996" s="25"/>
      <c r="E996" s="25"/>
      <c r="F996" s="92"/>
      <c r="G996" s="92"/>
      <c r="H996" s="93"/>
      <c r="I996" s="25"/>
    </row>
    <row r="997">
      <c r="A997" s="87"/>
      <c r="B997" s="88"/>
      <c r="C997" s="88"/>
      <c r="D997" s="18"/>
      <c r="E997" s="18"/>
      <c r="F997" s="89"/>
      <c r="G997" s="89"/>
      <c r="H997" s="90"/>
      <c r="I997" s="18"/>
    </row>
    <row r="998">
      <c r="A998" s="91"/>
      <c r="B998" s="59"/>
      <c r="C998" s="59"/>
      <c r="D998" s="25"/>
      <c r="E998" s="25"/>
      <c r="F998" s="92"/>
      <c r="G998" s="92"/>
      <c r="H998" s="93"/>
      <c r="I998" s="25"/>
    </row>
  </sheetData>
  <autoFilter ref="$A$1:$E$88">
    <filterColumn colId="3">
      <filters>
        <filter val="Lolos Administrasi"/>
      </filters>
    </filterColumn>
  </autoFilter>
  <dataValidations>
    <dataValidation type="list" allowBlank="1" showErrorMessage="1" sqref="I2:I6 I8:I11 I13 I16 I18:I24 I26:I35 I37:I45 I47:I49 I51:I55 I57:I62 I64 I67:I68 I70 I72:I81 I84 I86:I88">
      <formula1>"Pak Idam,Bu Elvin,Bu Yayin,Bu Santi,Pak Fajar,Pak Imam,Bu Nurma,Pak Yuyun"</formula1>
    </dataValidation>
    <dataValidation type="list" allowBlank="1" showErrorMessage="1" sqref="E2:E6 E8:E11 E13 E16 E18:E24 E26:E35 E37:E45 E47:E49 E51:E55 E57:E62 E64 E67:E68 E70 E72:E81 E84 E86:E88">
      <formula1>"Minggu, 2 Agustus 2026,Senin, 3 Agustus 2026"</formula1>
    </dataValidation>
  </dataValidations>
  <hyperlinks>
    <hyperlink r:id="rId1" ref="H2"/>
    <hyperlink r:id="rId2" ref="H3"/>
    <hyperlink r:id="rId3" ref="H4"/>
    <hyperlink r:id="rId4" ref="H5"/>
    <hyperlink r:id="rId5" ref="H6"/>
    <hyperlink r:id="rId6" ref="H8"/>
    <hyperlink r:id="rId7" ref="H9"/>
    <hyperlink r:id="rId8" ref="H10"/>
    <hyperlink r:id="rId9" ref="H11"/>
    <hyperlink r:id="rId10" ref="H13"/>
    <hyperlink r:id="rId11" ref="H16"/>
    <hyperlink r:id="rId12" ref="H18"/>
    <hyperlink r:id="rId13" ref="H19"/>
    <hyperlink r:id="rId14" ref="H20"/>
    <hyperlink r:id="rId15" ref="H21"/>
    <hyperlink r:id="rId16" ref="H22"/>
    <hyperlink r:id="rId17" ref="H23"/>
    <hyperlink r:id="rId18" ref="H24"/>
    <hyperlink r:id="rId19" ref="H26"/>
    <hyperlink r:id="rId20" ref="H27"/>
    <hyperlink r:id="rId21" ref="H28"/>
    <hyperlink r:id="rId22" ref="H29"/>
    <hyperlink r:id="rId23" ref="H30"/>
    <hyperlink r:id="rId24" ref="H31"/>
    <hyperlink r:id="rId25" ref="H32"/>
    <hyperlink r:id="rId26" ref="H33"/>
    <hyperlink r:id="rId27" ref="H34"/>
    <hyperlink r:id="rId28" ref="H35"/>
    <hyperlink r:id="rId29" ref="H37"/>
    <hyperlink r:id="rId30" ref="H38"/>
    <hyperlink r:id="rId31" ref="H39"/>
    <hyperlink r:id="rId32" ref="H40"/>
    <hyperlink r:id="rId33" ref="H41"/>
    <hyperlink r:id="rId34" ref="H42"/>
    <hyperlink r:id="rId35" ref="H43"/>
    <hyperlink r:id="rId36" ref="H44"/>
    <hyperlink r:id="rId37" ref="H45"/>
    <hyperlink r:id="rId38" ref="H47"/>
    <hyperlink r:id="rId39" ref="H48"/>
    <hyperlink r:id="rId40" ref="H49"/>
    <hyperlink r:id="rId41" ref="H51"/>
    <hyperlink r:id="rId42" ref="H52"/>
    <hyperlink r:id="rId43" ref="H53"/>
    <hyperlink r:id="rId44" ref="H54"/>
    <hyperlink r:id="rId45" ref="H55"/>
    <hyperlink r:id="rId46" ref="H57"/>
    <hyperlink r:id="rId47" ref="H58"/>
    <hyperlink r:id="rId48" ref="H59"/>
    <hyperlink r:id="rId49" ref="H60"/>
    <hyperlink r:id="rId50" ref="H61"/>
    <hyperlink r:id="rId51" ref="H62"/>
    <hyperlink r:id="rId52" ref="H64"/>
    <hyperlink r:id="rId53" ref="H67"/>
    <hyperlink r:id="rId54" ref="H68"/>
    <hyperlink r:id="rId55" ref="H70"/>
    <hyperlink r:id="rId56" ref="H72"/>
    <hyperlink r:id="rId57" ref="H73"/>
    <hyperlink r:id="rId58" ref="H74"/>
    <hyperlink r:id="rId59" ref="H75"/>
    <hyperlink r:id="rId60" ref="H76"/>
    <hyperlink r:id="rId61" ref="H77"/>
    <hyperlink r:id="rId62" ref="H78"/>
    <hyperlink r:id="rId63" ref="H79"/>
    <hyperlink r:id="rId64" ref="H80"/>
    <hyperlink r:id="rId65" ref="H81"/>
    <hyperlink r:id="rId66" ref="H84"/>
    <hyperlink r:id="rId67" ref="H86"/>
    <hyperlink r:id="rId68" ref="H87"/>
    <hyperlink r:id="rId69" ref="H88"/>
  </hyperlinks>
  <drawing r:id="rId70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hidden="1" min="2" max="2" width="44.88"/>
    <col customWidth="1" min="3" max="3" width="13.88"/>
    <col customWidth="1" min="4" max="4" width="33.5"/>
    <col customWidth="1" min="5" max="5" width="34.88"/>
    <col customWidth="1" min="6" max="6" width="79.13"/>
    <col customWidth="1" min="7" max="7" width="19.0"/>
    <col customWidth="1" min="8" max="8" width="26.63"/>
    <col customWidth="1" min="9" max="9" width="14.88"/>
    <col customWidth="1" min="10" max="10" width="20.5"/>
  </cols>
  <sheetData>
    <row r="1">
      <c r="A1" s="70" t="s">
        <v>2702</v>
      </c>
      <c r="B1" s="70" t="s">
        <v>2703</v>
      </c>
      <c r="C1" s="72" t="s">
        <v>2707</v>
      </c>
      <c r="D1" s="70" t="s">
        <v>2704</v>
      </c>
      <c r="E1" s="70" t="s">
        <v>2703</v>
      </c>
      <c r="F1" s="70" t="s">
        <v>2808</v>
      </c>
      <c r="G1" s="70" t="s">
        <v>20</v>
      </c>
      <c r="H1" s="72" t="s">
        <v>2705</v>
      </c>
      <c r="I1" s="72" t="s">
        <v>2706</v>
      </c>
      <c r="J1" s="72" t="s">
        <v>137</v>
      </c>
    </row>
    <row r="2">
      <c r="A2" s="73">
        <v>1.0</v>
      </c>
      <c r="B2" s="57" t="s">
        <v>21</v>
      </c>
      <c r="C2" s="24" t="s">
        <v>2712</v>
      </c>
      <c r="D2" s="57" t="s">
        <v>24</v>
      </c>
      <c r="E2" s="57" t="s">
        <v>21</v>
      </c>
      <c r="F2" s="24" t="s">
        <v>28</v>
      </c>
      <c r="G2" s="24" t="s">
        <v>44</v>
      </c>
      <c r="H2" s="75">
        <v>46236.0</v>
      </c>
      <c r="I2" s="76" t="s">
        <v>2709</v>
      </c>
      <c r="J2" s="77" t="s">
        <v>2711</v>
      </c>
      <c r="K2" s="10"/>
      <c r="M2" s="78"/>
    </row>
    <row r="3">
      <c r="A3" s="79">
        <v>2.0</v>
      </c>
      <c r="B3" s="60" t="s">
        <v>21</v>
      </c>
      <c r="C3" s="17" t="s">
        <v>2712</v>
      </c>
      <c r="D3" s="60" t="s">
        <v>46</v>
      </c>
      <c r="E3" s="60" t="s">
        <v>21</v>
      </c>
      <c r="F3" s="17" t="s">
        <v>28</v>
      </c>
      <c r="G3" s="17" t="s">
        <v>44</v>
      </c>
      <c r="H3" s="81">
        <v>46236.0</v>
      </c>
      <c r="I3" s="82" t="s">
        <v>2716</v>
      </c>
      <c r="J3" s="83" t="s">
        <v>2711</v>
      </c>
      <c r="K3" s="10"/>
    </row>
    <row r="4">
      <c r="A4" s="73">
        <v>3.0</v>
      </c>
      <c r="B4" s="57" t="s">
        <v>21</v>
      </c>
      <c r="C4" s="24" t="s">
        <v>2712</v>
      </c>
      <c r="D4" s="57" t="s">
        <v>67</v>
      </c>
      <c r="E4" s="57" t="s">
        <v>21</v>
      </c>
      <c r="F4" s="24" t="s">
        <v>28</v>
      </c>
      <c r="G4" s="24" t="s">
        <v>44</v>
      </c>
      <c r="H4" s="75">
        <v>46236.0</v>
      </c>
      <c r="I4" s="76" t="s">
        <v>2722</v>
      </c>
      <c r="J4" s="77" t="s">
        <v>2711</v>
      </c>
      <c r="K4" s="10"/>
    </row>
    <row r="5">
      <c r="A5" s="79">
        <v>4.0</v>
      </c>
      <c r="B5" s="60" t="s">
        <v>21</v>
      </c>
      <c r="C5" s="17" t="s">
        <v>2712</v>
      </c>
      <c r="D5" s="60" t="s">
        <v>78</v>
      </c>
      <c r="E5" s="60" t="s">
        <v>21</v>
      </c>
      <c r="F5" s="17" t="s">
        <v>28</v>
      </c>
      <c r="G5" s="17" t="s">
        <v>44</v>
      </c>
      <c r="H5" s="81">
        <v>46236.0</v>
      </c>
      <c r="I5" s="82" t="s">
        <v>2726</v>
      </c>
      <c r="J5" s="83" t="s">
        <v>2711</v>
      </c>
      <c r="K5" s="10"/>
      <c r="M5" s="78"/>
    </row>
    <row r="6">
      <c r="A6" s="73">
        <v>5.0</v>
      </c>
      <c r="B6" s="57" t="s">
        <v>21</v>
      </c>
      <c r="C6" s="24" t="s">
        <v>2712</v>
      </c>
      <c r="D6" s="57" t="s">
        <v>83</v>
      </c>
      <c r="E6" s="57" t="s">
        <v>21</v>
      </c>
      <c r="F6" s="24" t="s">
        <v>28</v>
      </c>
      <c r="G6" s="24" t="s">
        <v>44</v>
      </c>
      <c r="H6" s="75">
        <v>46236.0</v>
      </c>
      <c r="I6" s="76" t="s">
        <v>2728</v>
      </c>
      <c r="J6" s="77" t="s">
        <v>2711</v>
      </c>
      <c r="K6" s="10"/>
    </row>
    <row r="7" hidden="1">
      <c r="A7" s="79">
        <v>6.0</v>
      </c>
      <c r="B7" s="60" t="s">
        <v>21</v>
      </c>
      <c r="C7" s="60"/>
      <c r="D7" s="60" t="s">
        <v>93</v>
      </c>
      <c r="E7" s="60" t="s">
        <v>21</v>
      </c>
      <c r="F7" s="17" t="s">
        <v>96</v>
      </c>
      <c r="G7" s="17" t="s">
        <v>54</v>
      </c>
      <c r="H7" s="60"/>
      <c r="I7" s="60"/>
      <c r="J7" s="60"/>
    </row>
    <row r="8">
      <c r="A8" s="73">
        <v>7.0</v>
      </c>
      <c r="B8" s="57" t="s">
        <v>21</v>
      </c>
      <c r="C8" s="24" t="s">
        <v>2712</v>
      </c>
      <c r="D8" s="57" t="s">
        <v>105</v>
      </c>
      <c r="E8" s="57" t="s">
        <v>21</v>
      </c>
      <c r="F8" s="24" t="s">
        <v>110</v>
      </c>
      <c r="G8" s="24" t="s">
        <v>44</v>
      </c>
      <c r="H8" s="75">
        <v>46236.0</v>
      </c>
      <c r="I8" s="76" t="s">
        <v>2731</v>
      </c>
      <c r="J8" s="77" t="s">
        <v>2711</v>
      </c>
      <c r="K8" s="10"/>
    </row>
    <row r="9">
      <c r="A9" s="79">
        <v>8.0</v>
      </c>
      <c r="B9" s="60" t="s">
        <v>21</v>
      </c>
      <c r="C9" s="17" t="s">
        <v>2712</v>
      </c>
      <c r="D9" s="60" t="s">
        <v>120</v>
      </c>
      <c r="E9" s="60" t="s">
        <v>21</v>
      </c>
      <c r="F9" s="17" t="s">
        <v>110</v>
      </c>
      <c r="G9" s="17" t="s">
        <v>44</v>
      </c>
      <c r="H9" s="81">
        <v>46236.0</v>
      </c>
      <c r="I9" s="82" t="s">
        <v>2734</v>
      </c>
      <c r="J9" s="83" t="s">
        <v>2711</v>
      </c>
      <c r="K9" s="10"/>
    </row>
    <row r="10">
      <c r="A10" s="73">
        <v>9.0</v>
      </c>
      <c r="B10" s="57" t="s">
        <v>21</v>
      </c>
      <c r="C10" s="24" t="s">
        <v>2712</v>
      </c>
      <c r="D10" s="57" t="s">
        <v>126</v>
      </c>
      <c r="E10" s="57" t="s">
        <v>21</v>
      </c>
      <c r="F10" s="24" t="s">
        <v>2814</v>
      </c>
      <c r="G10" s="24" t="s">
        <v>44</v>
      </c>
      <c r="H10" s="75">
        <v>46236.0</v>
      </c>
      <c r="I10" s="76" t="s">
        <v>2736</v>
      </c>
      <c r="J10" s="77" t="s">
        <v>2711</v>
      </c>
      <c r="K10" s="10"/>
      <c r="M10" s="78"/>
    </row>
    <row r="11">
      <c r="A11" s="79">
        <v>10.0</v>
      </c>
      <c r="B11" s="60" t="s">
        <v>21</v>
      </c>
      <c r="C11" s="17" t="s">
        <v>2712</v>
      </c>
      <c r="D11" s="60" t="s">
        <v>139</v>
      </c>
      <c r="E11" s="60" t="s">
        <v>21</v>
      </c>
      <c r="F11" s="17" t="s">
        <v>2814</v>
      </c>
      <c r="G11" s="17" t="s">
        <v>44</v>
      </c>
      <c r="H11" s="81">
        <v>46236.0</v>
      </c>
      <c r="I11" s="82" t="s">
        <v>2738</v>
      </c>
      <c r="J11" s="83" t="s">
        <v>2711</v>
      </c>
    </row>
    <row r="12" hidden="1">
      <c r="A12" s="73">
        <v>11.0</v>
      </c>
      <c r="B12" s="57" t="s">
        <v>21</v>
      </c>
      <c r="C12" s="57"/>
      <c r="D12" s="57" t="s">
        <v>150</v>
      </c>
      <c r="E12" s="57" t="s">
        <v>21</v>
      </c>
      <c r="F12" s="24" t="s">
        <v>2814</v>
      </c>
      <c r="G12" s="24" t="s">
        <v>54</v>
      </c>
      <c r="H12" s="57"/>
      <c r="I12" s="57"/>
      <c r="J12" s="57"/>
    </row>
    <row r="13">
      <c r="A13" s="79">
        <v>12.0</v>
      </c>
      <c r="B13" s="60" t="s">
        <v>21</v>
      </c>
      <c r="C13" s="17" t="s">
        <v>2741</v>
      </c>
      <c r="D13" s="60" t="s">
        <v>175</v>
      </c>
      <c r="E13" s="60" t="s">
        <v>21</v>
      </c>
      <c r="F13" s="17" t="s">
        <v>2814</v>
      </c>
      <c r="G13" s="17" t="s">
        <v>44</v>
      </c>
      <c r="H13" s="81">
        <v>46236.0</v>
      </c>
      <c r="I13" s="82" t="s">
        <v>2709</v>
      </c>
      <c r="J13" s="83" t="s">
        <v>2740</v>
      </c>
    </row>
    <row r="14" hidden="1">
      <c r="A14" s="73">
        <v>13.0</v>
      </c>
      <c r="B14" s="57" t="s">
        <v>21</v>
      </c>
      <c r="C14" s="57"/>
      <c r="D14" s="57" t="s">
        <v>198</v>
      </c>
      <c r="E14" s="57" t="s">
        <v>21</v>
      </c>
      <c r="F14" s="24" t="s">
        <v>2814</v>
      </c>
      <c r="G14" s="24" t="s">
        <v>54</v>
      </c>
      <c r="H14" s="57"/>
      <c r="I14" s="57"/>
      <c r="J14" s="57"/>
    </row>
    <row r="15" hidden="1">
      <c r="A15" s="79">
        <v>14.0</v>
      </c>
      <c r="B15" s="60" t="s">
        <v>21</v>
      </c>
      <c r="C15" s="60"/>
      <c r="D15" s="60" t="s">
        <v>225</v>
      </c>
      <c r="E15" s="60" t="s">
        <v>21</v>
      </c>
      <c r="F15" s="17" t="s">
        <v>2816</v>
      </c>
      <c r="G15" s="17" t="s">
        <v>54</v>
      </c>
      <c r="H15" s="60"/>
      <c r="I15" s="60"/>
      <c r="J15" s="60"/>
    </row>
    <row r="16">
      <c r="A16" s="73">
        <v>15.0</v>
      </c>
      <c r="B16" s="57" t="s">
        <v>21</v>
      </c>
      <c r="C16" s="24" t="s">
        <v>2741</v>
      </c>
      <c r="D16" s="57" t="s">
        <v>257</v>
      </c>
      <c r="E16" s="57" t="s">
        <v>21</v>
      </c>
      <c r="F16" s="24" t="s">
        <v>2816</v>
      </c>
      <c r="G16" s="24" t="s">
        <v>44</v>
      </c>
      <c r="H16" s="75">
        <v>46236.0</v>
      </c>
      <c r="I16" s="76" t="s">
        <v>2716</v>
      </c>
      <c r="J16" s="77" t="s">
        <v>2740</v>
      </c>
    </row>
    <row r="17" hidden="1">
      <c r="A17" s="79">
        <v>16.0</v>
      </c>
      <c r="B17" s="60" t="s">
        <v>21</v>
      </c>
      <c r="C17" s="60"/>
      <c r="D17" s="60" t="s">
        <v>281</v>
      </c>
      <c r="E17" s="60" t="s">
        <v>21</v>
      </c>
      <c r="F17" s="17" t="s">
        <v>2817</v>
      </c>
      <c r="G17" s="17" t="s">
        <v>54</v>
      </c>
      <c r="H17" s="60"/>
      <c r="I17" s="60"/>
      <c r="J17" s="60"/>
    </row>
    <row r="18">
      <c r="A18" s="73">
        <v>17.0</v>
      </c>
      <c r="B18" s="57" t="s">
        <v>21</v>
      </c>
      <c r="C18" s="24" t="s">
        <v>2741</v>
      </c>
      <c r="D18" s="57" t="s">
        <v>309</v>
      </c>
      <c r="E18" s="57" t="s">
        <v>21</v>
      </c>
      <c r="F18" s="24" t="s">
        <v>2817</v>
      </c>
      <c r="G18" s="24" t="s">
        <v>44</v>
      </c>
      <c r="H18" s="75">
        <v>46236.0</v>
      </c>
      <c r="I18" s="76" t="s">
        <v>2722</v>
      </c>
      <c r="J18" s="77" t="s">
        <v>2740</v>
      </c>
    </row>
    <row r="19">
      <c r="A19" s="79">
        <v>18.0</v>
      </c>
      <c r="B19" s="60" t="s">
        <v>21</v>
      </c>
      <c r="C19" s="17" t="s">
        <v>2741</v>
      </c>
      <c r="D19" s="60" t="s">
        <v>334</v>
      </c>
      <c r="E19" s="60" t="s">
        <v>21</v>
      </c>
      <c r="F19" s="17" t="s">
        <v>2817</v>
      </c>
      <c r="G19" s="17" t="s">
        <v>44</v>
      </c>
      <c r="H19" s="81">
        <v>46236.0</v>
      </c>
      <c r="I19" s="82" t="s">
        <v>2726</v>
      </c>
      <c r="J19" s="83" t="s">
        <v>2740</v>
      </c>
    </row>
    <row r="20">
      <c r="A20" s="73">
        <v>19.0</v>
      </c>
      <c r="B20" s="57" t="s">
        <v>21</v>
      </c>
      <c r="C20" s="24" t="s">
        <v>2741</v>
      </c>
      <c r="D20" s="57" t="s">
        <v>359</v>
      </c>
      <c r="E20" s="57" t="s">
        <v>21</v>
      </c>
      <c r="F20" s="24" t="s">
        <v>2817</v>
      </c>
      <c r="G20" s="24" t="s">
        <v>44</v>
      </c>
      <c r="H20" s="75">
        <v>46236.0</v>
      </c>
      <c r="I20" s="76" t="s">
        <v>2728</v>
      </c>
      <c r="J20" s="77" t="s">
        <v>2740</v>
      </c>
    </row>
    <row r="21">
      <c r="A21" s="79">
        <v>20.0</v>
      </c>
      <c r="B21" s="60" t="s">
        <v>21</v>
      </c>
      <c r="C21" s="17" t="s">
        <v>2741</v>
      </c>
      <c r="D21" s="60" t="s">
        <v>379</v>
      </c>
      <c r="E21" s="60" t="s">
        <v>21</v>
      </c>
      <c r="F21" s="17" t="s">
        <v>2817</v>
      </c>
      <c r="G21" s="17" t="s">
        <v>44</v>
      </c>
      <c r="H21" s="81">
        <v>46236.0</v>
      </c>
      <c r="I21" s="82" t="s">
        <v>2731</v>
      </c>
      <c r="J21" s="83" t="s">
        <v>2740</v>
      </c>
    </row>
    <row r="22">
      <c r="A22" s="73">
        <v>21.0</v>
      </c>
      <c r="B22" s="57" t="s">
        <v>21</v>
      </c>
      <c r="C22" s="24" t="s">
        <v>2741</v>
      </c>
      <c r="D22" s="57" t="s">
        <v>391</v>
      </c>
      <c r="E22" s="57" t="s">
        <v>21</v>
      </c>
      <c r="F22" s="24" t="s">
        <v>2817</v>
      </c>
      <c r="G22" s="24" t="s">
        <v>44</v>
      </c>
      <c r="H22" s="75">
        <v>46236.0</v>
      </c>
      <c r="I22" s="76" t="s">
        <v>2734</v>
      </c>
      <c r="J22" s="77" t="s">
        <v>2740</v>
      </c>
    </row>
    <row r="23">
      <c r="A23" s="79">
        <v>22.0</v>
      </c>
      <c r="B23" s="60" t="s">
        <v>21</v>
      </c>
      <c r="C23" s="17" t="s">
        <v>2741</v>
      </c>
      <c r="D23" s="60" t="s">
        <v>410</v>
      </c>
      <c r="E23" s="60" t="s">
        <v>21</v>
      </c>
      <c r="F23" s="17" t="s">
        <v>2820</v>
      </c>
      <c r="G23" s="17" t="s">
        <v>44</v>
      </c>
      <c r="H23" s="81">
        <v>46236.0</v>
      </c>
      <c r="I23" s="82" t="s">
        <v>2736</v>
      </c>
      <c r="J23" s="83" t="s">
        <v>2740</v>
      </c>
    </row>
    <row r="24">
      <c r="A24" s="73">
        <v>23.0</v>
      </c>
      <c r="B24" s="57" t="s">
        <v>21</v>
      </c>
      <c r="C24" s="24" t="s">
        <v>2741</v>
      </c>
      <c r="D24" s="57" t="s">
        <v>431</v>
      </c>
      <c r="E24" s="57" t="s">
        <v>21</v>
      </c>
      <c r="F24" s="24" t="s">
        <v>2820</v>
      </c>
      <c r="G24" s="24" t="s">
        <v>44</v>
      </c>
      <c r="H24" s="75">
        <v>46236.0</v>
      </c>
      <c r="I24" s="76" t="s">
        <v>2738</v>
      </c>
      <c r="J24" s="77" t="s">
        <v>2740</v>
      </c>
    </row>
    <row r="25" hidden="1">
      <c r="A25" s="79">
        <v>24.0</v>
      </c>
      <c r="B25" s="60" t="s">
        <v>21</v>
      </c>
      <c r="C25" s="60"/>
      <c r="D25" s="60" t="s">
        <v>449</v>
      </c>
      <c r="E25" s="60" t="s">
        <v>21</v>
      </c>
      <c r="F25" s="17" t="s">
        <v>2820</v>
      </c>
      <c r="G25" s="17" t="s">
        <v>54</v>
      </c>
      <c r="H25" s="60"/>
      <c r="I25" s="60"/>
      <c r="J25" s="60"/>
    </row>
    <row r="26">
      <c r="A26" s="73">
        <v>25.0</v>
      </c>
      <c r="B26" s="57" t="s">
        <v>21</v>
      </c>
      <c r="C26" s="24" t="s">
        <v>2750</v>
      </c>
      <c r="D26" s="57" t="s">
        <v>483</v>
      </c>
      <c r="E26" s="57" t="s">
        <v>21</v>
      </c>
      <c r="F26" s="24" t="s">
        <v>2820</v>
      </c>
      <c r="G26" s="24" t="s">
        <v>44</v>
      </c>
      <c r="H26" s="75">
        <v>46237.0</v>
      </c>
      <c r="I26" s="76" t="s">
        <v>2747</v>
      </c>
      <c r="J26" s="77" t="s">
        <v>2748</v>
      </c>
    </row>
    <row r="27">
      <c r="A27" s="79">
        <v>26.0</v>
      </c>
      <c r="B27" s="60" t="s">
        <v>75</v>
      </c>
      <c r="C27" s="17" t="s">
        <v>2750</v>
      </c>
      <c r="D27" s="60" t="s">
        <v>517</v>
      </c>
      <c r="E27" s="60" t="s">
        <v>75</v>
      </c>
      <c r="F27" s="17" t="s">
        <v>28</v>
      </c>
      <c r="G27" s="17" t="s">
        <v>44</v>
      </c>
      <c r="H27" s="81">
        <v>46237.0</v>
      </c>
      <c r="I27" s="82" t="s">
        <v>2751</v>
      </c>
      <c r="J27" s="83" t="s">
        <v>2748</v>
      </c>
    </row>
    <row r="28">
      <c r="A28" s="73">
        <v>27.0</v>
      </c>
      <c r="B28" s="57" t="s">
        <v>75</v>
      </c>
      <c r="C28" s="24" t="s">
        <v>2750</v>
      </c>
      <c r="D28" s="57" t="s">
        <v>549</v>
      </c>
      <c r="E28" s="57" t="s">
        <v>75</v>
      </c>
      <c r="F28" s="24" t="s">
        <v>28</v>
      </c>
      <c r="G28" s="24" t="s">
        <v>44</v>
      </c>
      <c r="H28" s="75">
        <v>46237.0</v>
      </c>
      <c r="I28" s="76" t="s">
        <v>2752</v>
      </c>
      <c r="J28" s="77" t="s">
        <v>2748</v>
      </c>
    </row>
    <row r="29">
      <c r="A29" s="79">
        <v>28.0</v>
      </c>
      <c r="B29" s="60" t="s">
        <v>75</v>
      </c>
      <c r="C29" s="17" t="s">
        <v>2750</v>
      </c>
      <c r="D29" s="60" t="s">
        <v>577</v>
      </c>
      <c r="E29" s="60" t="s">
        <v>75</v>
      </c>
      <c r="F29" s="17" t="s">
        <v>28</v>
      </c>
      <c r="G29" s="17" t="s">
        <v>44</v>
      </c>
      <c r="H29" s="81">
        <v>46237.0</v>
      </c>
      <c r="I29" s="82" t="s">
        <v>2753</v>
      </c>
      <c r="J29" s="83" t="s">
        <v>2748</v>
      </c>
    </row>
    <row r="30">
      <c r="A30" s="73">
        <v>29.0</v>
      </c>
      <c r="B30" s="57" t="s">
        <v>75</v>
      </c>
      <c r="C30" s="24" t="s">
        <v>2750</v>
      </c>
      <c r="D30" s="57" t="s">
        <v>205</v>
      </c>
      <c r="E30" s="57" t="s">
        <v>75</v>
      </c>
      <c r="F30" s="24" t="s">
        <v>28</v>
      </c>
      <c r="G30" s="24" t="s">
        <v>44</v>
      </c>
      <c r="H30" s="75">
        <v>46237.0</v>
      </c>
      <c r="I30" s="76" t="s">
        <v>2754</v>
      </c>
      <c r="J30" s="77" t="s">
        <v>2748</v>
      </c>
    </row>
    <row r="31">
      <c r="A31" s="79">
        <v>30.0</v>
      </c>
      <c r="B31" s="60" t="s">
        <v>75</v>
      </c>
      <c r="C31" s="17" t="s">
        <v>2750</v>
      </c>
      <c r="D31" s="60" t="s">
        <v>601</v>
      </c>
      <c r="E31" s="60" t="s">
        <v>75</v>
      </c>
      <c r="F31" s="17" t="s">
        <v>28</v>
      </c>
      <c r="G31" s="17" t="s">
        <v>44</v>
      </c>
      <c r="H31" s="81">
        <v>46237.0</v>
      </c>
      <c r="I31" s="82" t="s">
        <v>2755</v>
      </c>
      <c r="J31" s="83" t="s">
        <v>2748</v>
      </c>
    </row>
    <row r="32">
      <c r="A32" s="73">
        <v>31.0</v>
      </c>
      <c r="B32" s="57" t="s">
        <v>75</v>
      </c>
      <c r="C32" s="24" t="s">
        <v>2750</v>
      </c>
      <c r="D32" s="57" t="s">
        <v>649</v>
      </c>
      <c r="E32" s="57" t="s">
        <v>75</v>
      </c>
      <c r="F32" s="24" t="s">
        <v>110</v>
      </c>
      <c r="G32" s="24" t="s">
        <v>44</v>
      </c>
      <c r="H32" s="75">
        <v>46237.0</v>
      </c>
      <c r="I32" s="76" t="s">
        <v>2757</v>
      </c>
      <c r="J32" s="77" t="s">
        <v>2748</v>
      </c>
    </row>
    <row r="33">
      <c r="A33" s="79">
        <v>32.0</v>
      </c>
      <c r="B33" s="60" t="s">
        <v>75</v>
      </c>
      <c r="C33" s="17" t="s">
        <v>2750</v>
      </c>
      <c r="D33" s="60" t="s">
        <v>669</v>
      </c>
      <c r="E33" s="60" t="s">
        <v>75</v>
      </c>
      <c r="F33" s="17" t="s">
        <v>110</v>
      </c>
      <c r="G33" s="17" t="s">
        <v>44</v>
      </c>
      <c r="H33" s="81">
        <v>46237.0</v>
      </c>
      <c r="I33" s="82" t="s">
        <v>2758</v>
      </c>
      <c r="J33" s="83" t="s">
        <v>2748</v>
      </c>
    </row>
    <row r="34">
      <c r="A34" s="73">
        <v>33.0</v>
      </c>
      <c r="B34" s="57" t="s">
        <v>75</v>
      </c>
      <c r="C34" s="24" t="s">
        <v>2750</v>
      </c>
      <c r="D34" s="57" t="s">
        <v>691</v>
      </c>
      <c r="E34" s="57" t="s">
        <v>75</v>
      </c>
      <c r="F34" s="24" t="s">
        <v>2814</v>
      </c>
      <c r="G34" s="24" t="s">
        <v>44</v>
      </c>
      <c r="H34" s="75">
        <v>46237.0</v>
      </c>
      <c r="I34" s="76" t="s">
        <v>2759</v>
      </c>
      <c r="J34" s="77" t="s">
        <v>2748</v>
      </c>
    </row>
    <row r="35">
      <c r="A35" s="79">
        <v>34.0</v>
      </c>
      <c r="B35" s="60" t="s">
        <v>75</v>
      </c>
      <c r="C35" s="17" t="s">
        <v>2737</v>
      </c>
      <c r="D35" s="60" t="s">
        <v>716</v>
      </c>
      <c r="E35" s="60" t="s">
        <v>75</v>
      </c>
      <c r="F35" s="17" t="s">
        <v>2814</v>
      </c>
      <c r="G35" s="17" t="s">
        <v>44</v>
      </c>
      <c r="H35" s="81">
        <v>46236.0</v>
      </c>
      <c r="I35" s="82" t="s">
        <v>2754</v>
      </c>
      <c r="J35" s="83" t="s">
        <v>2761</v>
      </c>
    </row>
    <row r="36" hidden="1">
      <c r="A36" s="73">
        <v>35.0</v>
      </c>
      <c r="B36" s="57" t="s">
        <v>75</v>
      </c>
      <c r="C36" s="57"/>
      <c r="D36" s="57" t="s">
        <v>740</v>
      </c>
      <c r="E36" s="57" t="s">
        <v>75</v>
      </c>
      <c r="F36" s="24" t="s">
        <v>2814</v>
      </c>
      <c r="G36" s="24" t="s">
        <v>54</v>
      </c>
      <c r="H36" s="57"/>
      <c r="I36" s="57"/>
      <c r="J36" s="57"/>
    </row>
    <row r="37">
      <c r="A37" s="79">
        <v>36.0</v>
      </c>
      <c r="B37" s="60" t="s">
        <v>75</v>
      </c>
      <c r="C37" s="17" t="s">
        <v>2737</v>
      </c>
      <c r="D37" s="60" t="s">
        <v>209</v>
      </c>
      <c r="E37" s="60" t="s">
        <v>75</v>
      </c>
      <c r="F37" s="17" t="s">
        <v>2814</v>
      </c>
      <c r="G37" s="17" t="s">
        <v>44</v>
      </c>
      <c r="H37" s="81">
        <v>46236.0</v>
      </c>
      <c r="I37" s="82" t="s">
        <v>2755</v>
      </c>
      <c r="J37" s="83" t="s">
        <v>2761</v>
      </c>
    </row>
    <row r="38">
      <c r="A38" s="73">
        <v>37.0</v>
      </c>
      <c r="B38" s="57" t="s">
        <v>75</v>
      </c>
      <c r="C38" s="24" t="s">
        <v>2737</v>
      </c>
      <c r="D38" s="57" t="s">
        <v>808</v>
      </c>
      <c r="E38" s="57" t="s">
        <v>75</v>
      </c>
      <c r="F38" s="24" t="s">
        <v>2814</v>
      </c>
      <c r="G38" s="24" t="s">
        <v>44</v>
      </c>
      <c r="H38" s="75">
        <v>46236.0</v>
      </c>
      <c r="I38" s="76" t="s">
        <v>2757</v>
      </c>
      <c r="J38" s="77" t="s">
        <v>2761</v>
      </c>
    </row>
    <row r="39">
      <c r="A39" s="79">
        <v>38.0</v>
      </c>
      <c r="B39" s="60" t="s">
        <v>75</v>
      </c>
      <c r="C39" s="17" t="s">
        <v>2737</v>
      </c>
      <c r="D39" s="60" t="s">
        <v>848</v>
      </c>
      <c r="E39" s="60" t="s">
        <v>75</v>
      </c>
      <c r="F39" s="17" t="s">
        <v>2814</v>
      </c>
      <c r="G39" s="17" t="s">
        <v>44</v>
      </c>
      <c r="H39" s="81">
        <v>46236.0</v>
      </c>
      <c r="I39" s="82" t="s">
        <v>2758</v>
      </c>
      <c r="J39" s="83" t="s">
        <v>2761</v>
      </c>
    </row>
    <row r="40">
      <c r="A40" s="73">
        <v>39.0</v>
      </c>
      <c r="B40" s="57" t="s">
        <v>75</v>
      </c>
      <c r="C40" s="24" t="s">
        <v>2737</v>
      </c>
      <c r="D40" s="57" t="s">
        <v>875</v>
      </c>
      <c r="E40" s="57" t="s">
        <v>75</v>
      </c>
      <c r="F40" s="24" t="s">
        <v>2814</v>
      </c>
      <c r="G40" s="24" t="s">
        <v>44</v>
      </c>
      <c r="H40" s="75">
        <v>46236.0</v>
      </c>
      <c r="I40" s="76" t="s">
        <v>2759</v>
      </c>
      <c r="J40" s="77" t="s">
        <v>2761</v>
      </c>
    </row>
    <row r="41">
      <c r="A41" s="79">
        <v>40.0</v>
      </c>
      <c r="B41" s="60" t="s">
        <v>75</v>
      </c>
      <c r="C41" s="17" t="s">
        <v>2737</v>
      </c>
      <c r="D41" s="60" t="s">
        <v>899</v>
      </c>
      <c r="E41" s="60" t="s">
        <v>75</v>
      </c>
      <c r="F41" s="17" t="s">
        <v>2814</v>
      </c>
      <c r="G41" s="17" t="s">
        <v>44</v>
      </c>
      <c r="H41" s="81">
        <v>46236.0</v>
      </c>
      <c r="I41" s="82" t="s">
        <v>2764</v>
      </c>
      <c r="J41" s="83" t="s">
        <v>2761</v>
      </c>
    </row>
    <row r="42">
      <c r="A42" s="73">
        <v>41.0</v>
      </c>
      <c r="B42" s="57" t="s">
        <v>75</v>
      </c>
      <c r="C42" s="24" t="s">
        <v>2737</v>
      </c>
      <c r="D42" s="57" t="s">
        <v>920</v>
      </c>
      <c r="E42" s="57" t="s">
        <v>75</v>
      </c>
      <c r="F42" s="24" t="s">
        <v>2814</v>
      </c>
      <c r="G42" s="24" t="s">
        <v>44</v>
      </c>
      <c r="H42" s="75">
        <v>46236.0</v>
      </c>
      <c r="I42" s="76" t="s">
        <v>2765</v>
      </c>
      <c r="J42" s="77" t="s">
        <v>2761</v>
      </c>
    </row>
    <row r="43">
      <c r="A43" s="79">
        <v>42.0</v>
      </c>
      <c r="B43" s="60" t="s">
        <v>75</v>
      </c>
      <c r="C43" s="17" t="s">
        <v>2737</v>
      </c>
      <c r="D43" s="60" t="s">
        <v>101</v>
      </c>
      <c r="E43" s="60" t="s">
        <v>75</v>
      </c>
      <c r="F43" s="17" t="s">
        <v>2814</v>
      </c>
      <c r="G43" s="17" t="s">
        <v>44</v>
      </c>
      <c r="H43" s="81">
        <v>46236.0</v>
      </c>
      <c r="I43" s="82" t="s">
        <v>2767</v>
      </c>
      <c r="J43" s="83" t="s">
        <v>2761</v>
      </c>
    </row>
    <row r="44">
      <c r="A44" s="73">
        <v>43.0</v>
      </c>
      <c r="B44" s="57" t="s">
        <v>75</v>
      </c>
      <c r="C44" s="24" t="s">
        <v>2737</v>
      </c>
      <c r="D44" s="57" t="s">
        <v>953</v>
      </c>
      <c r="E44" s="57" t="s">
        <v>75</v>
      </c>
      <c r="F44" s="24" t="s">
        <v>2814</v>
      </c>
      <c r="G44" s="24" t="s">
        <v>44</v>
      </c>
      <c r="H44" s="75">
        <v>46236.0</v>
      </c>
      <c r="I44" s="76" t="s">
        <v>2768</v>
      </c>
      <c r="J44" s="77" t="s">
        <v>2761</v>
      </c>
    </row>
    <row r="45">
      <c r="A45" s="79">
        <v>44.0</v>
      </c>
      <c r="B45" s="60" t="s">
        <v>75</v>
      </c>
      <c r="C45" s="17" t="s">
        <v>2735</v>
      </c>
      <c r="D45" s="60" t="s">
        <v>255</v>
      </c>
      <c r="E45" s="60" t="s">
        <v>75</v>
      </c>
      <c r="F45" s="17" t="s">
        <v>2814</v>
      </c>
      <c r="G45" s="17" t="s">
        <v>44</v>
      </c>
      <c r="H45" s="81">
        <v>46236.0</v>
      </c>
      <c r="I45" s="82" t="s">
        <v>2770</v>
      </c>
      <c r="J45" s="83" t="s">
        <v>2771</v>
      </c>
    </row>
    <row r="46" hidden="1">
      <c r="A46" s="73">
        <v>45.0</v>
      </c>
      <c r="B46" s="57" t="s">
        <v>75</v>
      </c>
      <c r="C46" s="57"/>
      <c r="D46" s="57" t="s">
        <v>987</v>
      </c>
      <c r="E46" s="57" t="s">
        <v>75</v>
      </c>
      <c r="F46" s="24" t="s">
        <v>2814</v>
      </c>
      <c r="G46" s="24" t="s">
        <v>54</v>
      </c>
      <c r="H46" s="57"/>
      <c r="I46" s="57"/>
      <c r="J46" s="57"/>
    </row>
    <row r="47">
      <c r="A47" s="79">
        <v>46.0</v>
      </c>
      <c r="B47" s="60" t="s">
        <v>75</v>
      </c>
      <c r="C47" s="17" t="s">
        <v>2735</v>
      </c>
      <c r="D47" s="60" t="s">
        <v>583</v>
      </c>
      <c r="E47" s="60" t="s">
        <v>75</v>
      </c>
      <c r="F47" s="17" t="s">
        <v>2814</v>
      </c>
      <c r="G47" s="17" t="s">
        <v>44</v>
      </c>
      <c r="H47" s="81">
        <v>46236.0</v>
      </c>
      <c r="I47" s="82" t="s">
        <v>2773</v>
      </c>
      <c r="J47" s="83" t="s">
        <v>2771</v>
      </c>
    </row>
    <row r="48">
      <c r="A48" s="73">
        <v>47.0</v>
      </c>
      <c r="B48" s="57" t="s">
        <v>75</v>
      </c>
      <c r="C48" s="24" t="s">
        <v>2735</v>
      </c>
      <c r="D48" s="57" t="s">
        <v>679</v>
      </c>
      <c r="E48" s="57" t="s">
        <v>75</v>
      </c>
      <c r="F48" s="24" t="s">
        <v>2814</v>
      </c>
      <c r="G48" s="24" t="s">
        <v>44</v>
      </c>
      <c r="H48" s="75">
        <v>46236.0</v>
      </c>
      <c r="I48" s="76" t="s">
        <v>2774</v>
      </c>
      <c r="J48" s="77" t="s">
        <v>2771</v>
      </c>
    </row>
    <row r="49">
      <c r="A49" s="79">
        <v>48.0</v>
      </c>
      <c r="B49" s="60" t="s">
        <v>75</v>
      </c>
      <c r="C49" s="17" t="s">
        <v>2735</v>
      </c>
      <c r="D49" s="60" t="s">
        <v>1049</v>
      </c>
      <c r="E49" s="60" t="s">
        <v>75</v>
      </c>
      <c r="F49" s="17" t="s">
        <v>2814</v>
      </c>
      <c r="G49" s="17" t="s">
        <v>44</v>
      </c>
      <c r="H49" s="81">
        <v>46236.0</v>
      </c>
      <c r="I49" s="82" t="s">
        <v>2775</v>
      </c>
      <c r="J49" s="83" t="s">
        <v>2771</v>
      </c>
    </row>
    <row r="50" hidden="1">
      <c r="A50" s="73">
        <v>49.0</v>
      </c>
      <c r="B50" s="57" t="s">
        <v>75</v>
      </c>
      <c r="C50" s="57"/>
      <c r="D50" s="57" t="s">
        <v>1071</v>
      </c>
      <c r="E50" s="57" t="s">
        <v>75</v>
      </c>
      <c r="F50" s="24" t="s">
        <v>2816</v>
      </c>
      <c r="G50" s="24" t="s">
        <v>54</v>
      </c>
      <c r="H50" s="57"/>
      <c r="I50" s="57"/>
      <c r="J50" s="57"/>
    </row>
    <row r="51">
      <c r="A51" s="79">
        <v>50.0</v>
      </c>
      <c r="B51" s="60" t="s">
        <v>75</v>
      </c>
      <c r="C51" s="17" t="s">
        <v>2735</v>
      </c>
      <c r="D51" s="60" t="s">
        <v>1095</v>
      </c>
      <c r="E51" s="60" t="s">
        <v>75</v>
      </c>
      <c r="F51" s="17" t="s">
        <v>2816</v>
      </c>
      <c r="G51" s="17" t="s">
        <v>44</v>
      </c>
      <c r="H51" s="81">
        <v>46236.0</v>
      </c>
      <c r="I51" s="82" t="s">
        <v>2776</v>
      </c>
      <c r="J51" s="83" t="s">
        <v>2771</v>
      </c>
    </row>
    <row r="52">
      <c r="A52" s="73">
        <v>51.0</v>
      </c>
      <c r="B52" s="57" t="s">
        <v>75</v>
      </c>
      <c r="C52" s="24" t="s">
        <v>2735</v>
      </c>
      <c r="D52" s="57" t="s">
        <v>1139</v>
      </c>
      <c r="E52" s="57" t="s">
        <v>75</v>
      </c>
      <c r="F52" s="24" t="s">
        <v>2816</v>
      </c>
      <c r="G52" s="24" t="s">
        <v>44</v>
      </c>
      <c r="H52" s="75">
        <v>46236.0</v>
      </c>
      <c r="I52" s="76" t="s">
        <v>2777</v>
      </c>
      <c r="J52" s="77" t="s">
        <v>2771</v>
      </c>
    </row>
    <row r="53">
      <c r="A53" s="79">
        <v>52.0</v>
      </c>
      <c r="B53" s="60" t="s">
        <v>75</v>
      </c>
      <c r="C53" s="17" t="s">
        <v>2735</v>
      </c>
      <c r="D53" s="60" t="s">
        <v>1167</v>
      </c>
      <c r="E53" s="60" t="s">
        <v>75</v>
      </c>
      <c r="F53" s="17" t="s">
        <v>2816</v>
      </c>
      <c r="G53" s="17" t="s">
        <v>44</v>
      </c>
      <c r="H53" s="81">
        <v>46236.0</v>
      </c>
      <c r="I53" s="82" t="s">
        <v>2779</v>
      </c>
      <c r="J53" s="83" t="s">
        <v>2771</v>
      </c>
    </row>
    <row r="54">
      <c r="A54" s="73">
        <v>53.0</v>
      </c>
      <c r="B54" s="57" t="s">
        <v>75</v>
      </c>
      <c r="C54" s="24" t="s">
        <v>2735</v>
      </c>
      <c r="D54" s="57" t="s">
        <v>1189</v>
      </c>
      <c r="E54" s="57" t="s">
        <v>75</v>
      </c>
      <c r="F54" s="24" t="s">
        <v>2816</v>
      </c>
      <c r="G54" s="24" t="s">
        <v>44</v>
      </c>
      <c r="H54" s="75">
        <v>46236.0</v>
      </c>
      <c r="I54" s="76" t="s">
        <v>2781</v>
      </c>
      <c r="J54" s="77" t="s">
        <v>2771</v>
      </c>
    </row>
    <row r="55">
      <c r="A55" s="79">
        <v>54.0</v>
      </c>
      <c r="B55" s="60" t="s">
        <v>75</v>
      </c>
      <c r="C55" s="17" t="s">
        <v>2735</v>
      </c>
      <c r="D55" s="60" t="s">
        <v>1209</v>
      </c>
      <c r="E55" s="60" t="s">
        <v>75</v>
      </c>
      <c r="F55" s="17" t="s">
        <v>2816</v>
      </c>
      <c r="G55" s="17" t="s">
        <v>44</v>
      </c>
      <c r="H55" s="81">
        <v>46236.0</v>
      </c>
      <c r="I55" s="82" t="s">
        <v>2709</v>
      </c>
      <c r="J55" s="83" t="s">
        <v>2771</v>
      </c>
    </row>
    <row r="56" hidden="1">
      <c r="A56" s="73">
        <v>55.0</v>
      </c>
      <c r="B56" s="57" t="s">
        <v>75</v>
      </c>
      <c r="C56" s="57"/>
      <c r="D56" s="57" t="s">
        <v>1232</v>
      </c>
      <c r="E56" s="57" t="s">
        <v>75</v>
      </c>
      <c r="F56" s="24" t="s">
        <v>2816</v>
      </c>
      <c r="G56" s="24" t="s">
        <v>54</v>
      </c>
      <c r="H56" s="57"/>
      <c r="I56" s="57"/>
      <c r="J56" s="57"/>
    </row>
    <row r="57">
      <c r="A57" s="79">
        <v>56.0</v>
      </c>
      <c r="B57" s="60" t="s">
        <v>75</v>
      </c>
      <c r="C57" s="17" t="s">
        <v>2713</v>
      </c>
      <c r="D57" s="60" t="s">
        <v>1323</v>
      </c>
      <c r="E57" s="60" t="s">
        <v>75</v>
      </c>
      <c r="F57" s="17" t="s">
        <v>2816</v>
      </c>
      <c r="G57" s="17" t="s">
        <v>44</v>
      </c>
      <c r="H57" s="81">
        <v>46237.0</v>
      </c>
      <c r="I57" s="82" t="s">
        <v>2759</v>
      </c>
      <c r="J57" s="83" t="s">
        <v>2783</v>
      </c>
    </row>
    <row r="58">
      <c r="A58" s="73">
        <v>57.0</v>
      </c>
      <c r="B58" s="57" t="s">
        <v>75</v>
      </c>
      <c r="C58" s="24" t="s">
        <v>2713</v>
      </c>
      <c r="D58" s="57" t="s">
        <v>1353</v>
      </c>
      <c r="E58" s="57" t="s">
        <v>75</v>
      </c>
      <c r="F58" s="24" t="s">
        <v>2816</v>
      </c>
      <c r="G58" s="24" t="s">
        <v>44</v>
      </c>
      <c r="H58" s="75">
        <v>46237.0</v>
      </c>
      <c r="I58" s="76" t="s">
        <v>2764</v>
      </c>
      <c r="J58" s="77" t="s">
        <v>2783</v>
      </c>
    </row>
    <row r="59">
      <c r="A59" s="79">
        <v>58.0</v>
      </c>
      <c r="B59" s="60" t="s">
        <v>75</v>
      </c>
      <c r="C59" s="17" t="s">
        <v>2713</v>
      </c>
      <c r="D59" s="60" t="s">
        <v>1372</v>
      </c>
      <c r="E59" s="60" t="s">
        <v>75</v>
      </c>
      <c r="F59" s="17" t="s">
        <v>2816</v>
      </c>
      <c r="G59" s="17" t="s">
        <v>44</v>
      </c>
      <c r="H59" s="81">
        <v>46237.0</v>
      </c>
      <c r="I59" s="82" t="s">
        <v>2765</v>
      </c>
      <c r="J59" s="83" t="s">
        <v>2783</v>
      </c>
    </row>
    <row r="60">
      <c r="A60" s="73">
        <v>59.0</v>
      </c>
      <c r="B60" s="57" t="s">
        <v>75</v>
      </c>
      <c r="C60" s="24" t="s">
        <v>2713</v>
      </c>
      <c r="D60" s="57" t="s">
        <v>1398</v>
      </c>
      <c r="E60" s="57" t="s">
        <v>75</v>
      </c>
      <c r="F60" s="24" t="s">
        <v>2816</v>
      </c>
      <c r="G60" s="24" t="s">
        <v>44</v>
      </c>
      <c r="H60" s="75">
        <v>46237.0</v>
      </c>
      <c r="I60" s="76" t="s">
        <v>2767</v>
      </c>
      <c r="J60" s="77" t="s">
        <v>2783</v>
      </c>
    </row>
    <row r="61">
      <c r="A61" s="79">
        <v>60.0</v>
      </c>
      <c r="B61" s="60" t="s">
        <v>75</v>
      </c>
      <c r="C61" s="17" t="s">
        <v>2713</v>
      </c>
      <c r="D61" s="60" t="s">
        <v>1420</v>
      </c>
      <c r="E61" s="60" t="s">
        <v>75</v>
      </c>
      <c r="F61" s="17" t="s">
        <v>2816</v>
      </c>
      <c r="G61" s="17" t="s">
        <v>44</v>
      </c>
      <c r="H61" s="81">
        <v>46237.0</v>
      </c>
      <c r="I61" s="82" t="s">
        <v>2768</v>
      </c>
      <c r="J61" s="83" t="s">
        <v>2783</v>
      </c>
    </row>
    <row r="62">
      <c r="A62" s="73">
        <v>61.0</v>
      </c>
      <c r="B62" s="57" t="s">
        <v>75</v>
      </c>
      <c r="C62" s="24" t="s">
        <v>2713</v>
      </c>
      <c r="D62" s="57" t="s">
        <v>1446</v>
      </c>
      <c r="E62" s="57" t="s">
        <v>75</v>
      </c>
      <c r="F62" s="24" t="s">
        <v>2817</v>
      </c>
      <c r="G62" s="24" t="s">
        <v>44</v>
      </c>
      <c r="H62" s="75">
        <v>46237.0</v>
      </c>
      <c r="I62" s="76" t="s">
        <v>2785</v>
      </c>
      <c r="J62" s="77" t="s">
        <v>2783</v>
      </c>
    </row>
    <row r="63" hidden="1">
      <c r="A63" s="79">
        <v>62.0</v>
      </c>
      <c r="B63" s="60" t="s">
        <v>75</v>
      </c>
      <c r="C63" s="60"/>
      <c r="D63" s="60" t="s">
        <v>1470</v>
      </c>
      <c r="E63" s="60" t="s">
        <v>75</v>
      </c>
      <c r="F63" s="17" t="s">
        <v>2817</v>
      </c>
      <c r="G63" s="17" t="s">
        <v>54</v>
      </c>
      <c r="H63" s="60"/>
      <c r="I63" s="60"/>
      <c r="J63" s="60"/>
    </row>
    <row r="64">
      <c r="A64" s="73">
        <v>63.0</v>
      </c>
      <c r="B64" s="57" t="s">
        <v>75</v>
      </c>
      <c r="C64" s="24" t="s">
        <v>2713</v>
      </c>
      <c r="D64" s="57" t="s">
        <v>1494</v>
      </c>
      <c r="E64" s="57" t="s">
        <v>75</v>
      </c>
      <c r="F64" s="24" t="s">
        <v>2817</v>
      </c>
      <c r="G64" s="24" t="s">
        <v>44</v>
      </c>
      <c r="H64" s="75">
        <v>46237.0</v>
      </c>
      <c r="I64" s="76" t="s">
        <v>2787</v>
      </c>
      <c r="J64" s="77" t="s">
        <v>2783</v>
      </c>
    </row>
    <row r="65" hidden="1">
      <c r="A65" s="79">
        <v>64.0</v>
      </c>
      <c r="B65" s="60" t="s">
        <v>75</v>
      </c>
      <c r="C65" s="60"/>
      <c r="D65" s="60" t="s">
        <v>1520</v>
      </c>
      <c r="E65" s="60" t="s">
        <v>75</v>
      </c>
      <c r="F65" s="17" t="s">
        <v>2817</v>
      </c>
      <c r="G65" s="17" t="s">
        <v>54</v>
      </c>
      <c r="H65" s="60"/>
      <c r="I65" s="60"/>
      <c r="J65" s="60"/>
    </row>
    <row r="66" hidden="1">
      <c r="A66" s="73">
        <v>65.0</v>
      </c>
      <c r="B66" s="57" t="s">
        <v>75</v>
      </c>
      <c r="C66" s="57"/>
      <c r="D66" s="57" t="s">
        <v>1533</v>
      </c>
      <c r="E66" s="57" t="s">
        <v>75</v>
      </c>
      <c r="F66" s="24" t="s">
        <v>2817</v>
      </c>
      <c r="G66" s="24" t="s">
        <v>54</v>
      </c>
      <c r="H66" s="57"/>
      <c r="I66" s="57"/>
      <c r="J66" s="57"/>
    </row>
    <row r="67">
      <c r="A67" s="79">
        <v>66.0</v>
      </c>
      <c r="B67" s="60" t="s">
        <v>75</v>
      </c>
      <c r="C67" s="17" t="s">
        <v>2713</v>
      </c>
      <c r="D67" s="60" t="s">
        <v>1581</v>
      </c>
      <c r="E67" s="60" t="s">
        <v>75</v>
      </c>
      <c r="F67" s="17" t="s">
        <v>2858</v>
      </c>
      <c r="G67" s="17" t="s">
        <v>44</v>
      </c>
      <c r="H67" s="81">
        <v>46237.0</v>
      </c>
      <c r="I67" s="82" t="s">
        <v>2789</v>
      </c>
      <c r="J67" s="83" t="s">
        <v>2783</v>
      </c>
    </row>
    <row r="68">
      <c r="A68" s="73">
        <v>67.0</v>
      </c>
      <c r="B68" s="57" t="s">
        <v>75</v>
      </c>
      <c r="C68" s="24" t="s">
        <v>2719</v>
      </c>
      <c r="D68" s="57" t="s">
        <v>1617</v>
      </c>
      <c r="E68" s="57" t="s">
        <v>75</v>
      </c>
      <c r="F68" s="24" t="s">
        <v>2858</v>
      </c>
      <c r="G68" s="24" t="s">
        <v>44</v>
      </c>
      <c r="H68" s="75">
        <v>46237.0</v>
      </c>
      <c r="I68" s="76" t="s">
        <v>2779</v>
      </c>
      <c r="J68" s="77" t="s">
        <v>2790</v>
      </c>
    </row>
    <row r="69" hidden="1">
      <c r="A69" s="79">
        <v>68.0</v>
      </c>
      <c r="B69" s="60" t="s">
        <v>75</v>
      </c>
      <c r="C69" s="60"/>
      <c r="D69" s="60" t="s">
        <v>1650</v>
      </c>
      <c r="E69" s="60" t="s">
        <v>75</v>
      </c>
      <c r="F69" s="17" t="s">
        <v>2858</v>
      </c>
      <c r="G69" s="17" t="s">
        <v>54</v>
      </c>
      <c r="H69" s="60"/>
      <c r="I69" s="60"/>
      <c r="J69" s="60"/>
    </row>
    <row r="70">
      <c r="A70" s="73">
        <v>69.0</v>
      </c>
      <c r="B70" s="57" t="s">
        <v>75</v>
      </c>
      <c r="C70" s="24" t="s">
        <v>2719</v>
      </c>
      <c r="D70" s="57" t="s">
        <v>1682</v>
      </c>
      <c r="E70" s="57" t="s">
        <v>75</v>
      </c>
      <c r="F70" s="24" t="s">
        <v>2858</v>
      </c>
      <c r="G70" s="24" t="s">
        <v>44</v>
      </c>
      <c r="H70" s="75">
        <v>46237.0</v>
      </c>
      <c r="I70" s="76" t="s">
        <v>2781</v>
      </c>
      <c r="J70" s="77" t="s">
        <v>2790</v>
      </c>
    </row>
    <row r="71" hidden="1">
      <c r="A71" s="79">
        <v>70.0</v>
      </c>
      <c r="B71" s="60" t="s">
        <v>75</v>
      </c>
      <c r="C71" s="60"/>
      <c r="D71" s="60" t="s">
        <v>1701</v>
      </c>
      <c r="E71" s="60" t="s">
        <v>75</v>
      </c>
      <c r="F71" s="17" t="s">
        <v>2858</v>
      </c>
      <c r="G71" s="17" t="s">
        <v>54</v>
      </c>
      <c r="H71" s="60"/>
      <c r="I71" s="60"/>
      <c r="J71" s="60"/>
    </row>
    <row r="72">
      <c r="A72" s="73">
        <v>71.0</v>
      </c>
      <c r="B72" s="57" t="s">
        <v>75</v>
      </c>
      <c r="C72" s="24" t="s">
        <v>2719</v>
      </c>
      <c r="D72" s="57" t="s">
        <v>1729</v>
      </c>
      <c r="E72" s="57" t="s">
        <v>75</v>
      </c>
      <c r="F72" s="24" t="s">
        <v>2820</v>
      </c>
      <c r="G72" s="24" t="s">
        <v>44</v>
      </c>
      <c r="H72" s="75">
        <v>46237.0</v>
      </c>
      <c r="I72" s="76" t="s">
        <v>2709</v>
      </c>
      <c r="J72" s="77" t="s">
        <v>2790</v>
      </c>
    </row>
    <row r="73">
      <c r="A73" s="79">
        <v>72.0</v>
      </c>
      <c r="B73" s="60" t="s">
        <v>75</v>
      </c>
      <c r="C73" s="17" t="s">
        <v>2719</v>
      </c>
      <c r="D73" s="60" t="s">
        <v>1752</v>
      </c>
      <c r="E73" s="60" t="s">
        <v>75</v>
      </c>
      <c r="F73" s="17" t="s">
        <v>2820</v>
      </c>
      <c r="G73" s="17" t="s">
        <v>44</v>
      </c>
      <c r="H73" s="81">
        <v>46237.0</v>
      </c>
      <c r="I73" s="82" t="s">
        <v>2716</v>
      </c>
      <c r="J73" s="83" t="s">
        <v>2790</v>
      </c>
    </row>
    <row r="74">
      <c r="A74" s="73">
        <v>73.0</v>
      </c>
      <c r="B74" s="57" t="s">
        <v>75</v>
      </c>
      <c r="C74" s="24" t="s">
        <v>2719</v>
      </c>
      <c r="D74" s="57" t="s">
        <v>1775</v>
      </c>
      <c r="E74" s="57" t="s">
        <v>75</v>
      </c>
      <c r="F74" s="24" t="s">
        <v>2820</v>
      </c>
      <c r="G74" s="24" t="s">
        <v>44</v>
      </c>
      <c r="H74" s="75">
        <v>46237.0</v>
      </c>
      <c r="I74" s="76" t="s">
        <v>2722</v>
      </c>
      <c r="J74" s="77" t="s">
        <v>2790</v>
      </c>
    </row>
    <row r="75">
      <c r="A75" s="79">
        <v>74.0</v>
      </c>
      <c r="B75" s="60" t="s">
        <v>75</v>
      </c>
      <c r="C75" s="17" t="s">
        <v>2719</v>
      </c>
      <c r="D75" s="60" t="s">
        <v>1802</v>
      </c>
      <c r="E75" s="60" t="s">
        <v>75</v>
      </c>
      <c r="F75" s="17" t="s">
        <v>2820</v>
      </c>
      <c r="G75" s="17" t="s">
        <v>44</v>
      </c>
      <c r="H75" s="81">
        <v>46237.0</v>
      </c>
      <c r="I75" s="82" t="s">
        <v>2726</v>
      </c>
      <c r="J75" s="83" t="s">
        <v>2790</v>
      </c>
    </row>
    <row r="76">
      <c r="A76" s="73">
        <v>75.0</v>
      </c>
      <c r="B76" s="57" t="s">
        <v>75</v>
      </c>
      <c r="C76" s="24" t="s">
        <v>2719</v>
      </c>
      <c r="D76" s="57" t="s">
        <v>1826</v>
      </c>
      <c r="E76" s="57" t="s">
        <v>75</v>
      </c>
      <c r="F76" s="24" t="s">
        <v>2820</v>
      </c>
      <c r="G76" s="24" t="s">
        <v>44</v>
      </c>
      <c r="H76" s="75">
        <v>46237.0</v>
      </c>
      <c r="I76" s="76" t="s">
        <v>2728</v>
      </c>
      <c r="J76" s="77" t="s">
        <v>2790</v>
      </c>
    </row>
    <row r="77">
      <c r="A77" s="79">
        <v>76.0</v>
      </c>
      <c r="B77" s="60" t="s">
        <v>75</v>
      </c>
      <c r="C77" s="17" t="s">
        <v>2719</v>
      </c>
      <c r="D77" s="60" t="s">
        <v>50</v>
      </c>
      <c r="E77" s="60" t="s">
        <v>75</v>
      </c>
      <c r="F77" s="17" t="s">
        <v>2820</v>
      </c>
      <c r="G77" s="17" t="s">
        <v>44</v>
      </c>
      <c r="H77" s="81">
        <v>46237.0</v>
      </c>
      <c r="I77" s="82" t="s">
        <v>2731</v>
      </c>
      <c r="J77" s="83" t="s">
        <v>2790</v>
      </c>
    </row>
    <row r="78">
      <c r="A78" s="73">
        <v>77.0</v>
      </c>
      <c r="B78" s="57" t="s">
        <v>75</v>
      </c>
      <c r="C78" s="24" t="s">
        <v>2732</v>
      </c>
      <c r="D78" s="57" t="s">
        <v>1877</v>
      </c>
      <c r="E78" s="57" t="s">
        <v>75</v>
      </c>
      <c r="F78" s="24" t="s">
        <v>2820</v>
      </c>
      <c r="G78" s="24" t="s">
        <v>44</v>
      </c>
      <c r="H78" s="75">
        <v>46237.0</v>
      </c>
      <c r="I78" s="76" t="s">
        <v>2722</v>
      </c>
      <c r="J78" s="77" t="s">
        <v>2796</v>
      </c>
    </row>
    <row r="79">
      <c r="A79" s="79">
        <v>78.0</v>
      </c>
      <c r="B79" s="60" t="s">
        <v>75</v>
      </c>
      <c r="C79" s="17" t="s">
        <v>2732</v>
      </c>
      <c r="D79" s="60" t="s">
        <v>386</v>
      </c>
      <c r="E79" s="60" t="s">
        <v>75</v>
      </c>
      <c r="F79" s="17" t="s">
        <v>2865</v>
      </c>
      <c r="G79" s="17" t="s">
        <v>44</v>
      </c>
      <c r="H79" s="81">
        <v>46237.0</v>
      </c>
      <c r="I79" s="82" t="s">
        <v>2726</v>
      </c>
      <c r="J79" s="83" t="s">
        <v>2796</v>
      </c>
    </row>
    <row r="80">
      <c r="A80" s="73">
        <v>79.0</v>
      </c>
      <c r="B80" s="57" t="s">
        <v>75</v>
      </c>
      <c r="C80" s="24" t="s">
        <v>2732</v>
      </c>
      <c r="D80" s="57" t="s">
        <v>1923</v>
      </c>
      <c r="E80" s="57" t="s">
        <v>75</v>
      </c>
      <c r="F80" s="24" t="s">
        <v>2865</v>
      </c>
      <c r="G80" s="24" t="s">
        <v>44</v>
      </c>
      <c r="H80" s="75">
        <v>46237.0</v>
      </c>
      <c r="I80" s="76" t="s">
        <v>2728</v>
      </c>
      <c r="J80" s="77" t="s">
        <v>2796</v>
      </c>
    </row>
    <row r="81">
      <c r="A81" s="79">
        <v>80.0</v>
      </c>
      <c r="B81" s="60" t="s">
        <v>75</v>
      </c>
      <c r="C81" s="17" t="s">
        <v>2732</v>
      </c>
      <c r="D81" s="60" t="s">
        <v>1945</v>
      </c>
      <c r="E81" s="60" t="s">
        <v>75</v>
      </c>
      <c r="F81" s="17" t="s">
        <v>2865</v>
      </c>
      <c r="G81" s="17" t="s">
        <v>44</v>
      </c>
      <c r="H81" s="81">
        <v>46237.0</v>
      </c>
      <c r="I81" s="82" t="s">
        <v>2731</v>
      </c>
      <c r="J81" s="83" t="s">
        <v>2796</v>
      </c>
    </row>
    <row r="82" hidden="1">
      <c r="A82" s="73">
        <v>81.0</v>
      </c>
      <c r="B82" s="57" t="s">
        <v>75</v>
      </c>
      <c r="C82" s="57"/>
      <c r="D82" s="57" t="s">
        <v>1967</v>
      </c>
      <c r="E82" s="57" t="s">
        <v>75</v>
      </c>
      <c r="F82" s="24" t="s">
        <v>2867</v>
      </c>
      <c r="G82" s="24" t="s">
        <v>54</v>
      </c>
      <c r="H82" s="57"/>
      <c r="I82" s="57"/>
      <c r="J82" s="57"/>
    </row>
    <row r="83" hidden="1">
      <c r="A83" s="79">
        <v>82.0</v>
      </c>
      <c r="B83" s="60" t="s">
        <v>75</v>
      </c>
      <c r="C83" s="60"/>
      <c r="D83" s="60" t="s">
        <v>819</v>
      </c>
      <c r="E83" s="60" t="s">
        <v>75</v>
      </c>
      <c r="F83" s="17" t="s">
        <v>2867</v>
      </c>
      <c r="G83" s="17" t="s">
        <v>54</v>
      </c>
      <c r="H83" s="60"/>
      <c r="I83" s="60"/>
      <c r="J83" s="60"/>
    </row>
    <row r="84">
      <c r="A84" s="73">
        <v>83.0</v>
      </c>
      <c r="B84" s="57" t="s">
        <v>75</v>
      </c>
      <c r="C84" s="24" t="s">
        <v>2732</v>
      </c>
      <c r="D84" s="57" t="s">
        <v>2003</v>
      </c>
      <c r="E84" s="57" t="s">
        <v>75</v>
      </c>
      <c r="F84" s="24" t="s">
        <v>2867</v>
      </c>
      <c r="G84" s="24" t="s">
        <v>44</v>
      </c>
      <c r="H84" s="75">
        <v>46237.0</v>
      </c>
      <c r="I84" s="76" t="s">
        <v>2734</v>
      </c>
      <c r="J84" s="77" t="s">
        <v>2796</v>
      </c>
    </row>
    <row r="85" hidden="1">
      <c r="A85" s="79">
        <v>84.0</v>
      </c>
      <c r="B85" s="60" t="s">
        <v>75</v>
      </c>
      <c r="C85" s="60"/>
      <c r="D85" s="60" t="s">
        <v>2017</v>
      </c>
      <c r="E85" s="60" t="s">
        <v>75</v>
      </c>
      <c r="F85" s="17" t="s">
        <v>2867</v>
      </c>
      <c r="G85" s="17" t="s">
        <v>54</v>
      </c>
      <c r="H85" s="60"/>
      <c r="I85" s="60"/>
      <c r="J85" s="60"/>
    </row>
    <row r="86">
      <c r="A86" s="73">
        <v>85.0</v>
      </c>
      <c r="B86" s="57" t="s">
        <v>75</v>
      </c>
      <c r="C86" s="24" t="s">
        <v>2732</v>
      </c>
      <c r="D86" s="57" t="s">
        <v>2033</v>
      </c>
      <c r="E86" s="57" t="s">
        <v>75</v>
      </c>
      <c r="F86" s="24" t="s">
        <v>2867</v>
      </c>
      <c r="G86" s="24" t="s">
        <v>44</v>
      </c>
      <c r="H86" s="75">
        <v>46237.0</v>
      </c>
      <c r="I86" s="76" t="s">
        <v>2736</v>
      </c>
      <c r="J86" s="77" t="s">
        <v>2796</v>
      </c>
    </row>
    <row r="87">
      <c r="A87" s="79">
        <v>86.0</v>
      </c>
      <c r="B87" s="60" t="s">
        <v>75</v>
      </c>
      <c r="C87" s="17" t="s">
        <v>2732</v>
      </c>
      <c r="D87" s="60" t="s">
        <v>2051</v>
      </c>
      <c r="E87" s="60" t="s">
        <v>75</v>
      </c>
      <c r="F87" s="17" t="s">
        <v>2867</v>
      </c>
      <c r="G87" s="17" t="s">
        <v>44</v>
      </c>
      <c r="H87" s="81">
        <v>46237.0</v>
      </c>
      <c r="I87" s="82" t="s">
        <v>2738</v>
      </c>
      <c r="J87" s="83" t="s">
        <v>2796</v>
      </c>
    </row>
    <row r="88">
      <c r="A88" s="73">
        <v>87.0</v>
      </c>
      <c r="B88" s="57" t="s">
        <v>75</v>
      </c>
      <c r="C88" s="24" t="s">
        <v>2732</v>
      </c>
      <c r="D88" s="57" t="s">
        <v>2066</v>
      </c>
      <c r="E88" s="57" t="s">
        <v>75</v>
      </c>
      <c r="F88" s="24" t="s">
        <v>2867</v>
      </c>
      <c r="G88" s="24" t="s">
        <v>44</v>
      </c>
      <c r="H88" s="75">
        <v>46237.0</v>
      </c>
      <c r="I88" s="76" t="s">
        <v>2801</v>
      </c>
      <c r="J88" s="77" t="s">
        <v>2796</v>
      </c>
    </row>
    <row r="89">
      <c r="A89" s="87"/>
      <c r="B89" s="88"/>
      <c r="C89" s="88" t="s">
        <v>642</v>
      </c>
      <c r="D89" s="88" t="s">
        <v>623</v>
      </c>
      <c r="E89" s="88" t="s">
        <v>75</v>
      </c>
      <c r="F89" s="16" t="s">
        <v>92</v>
      </c>
      <c r="G89" s="17" t="s">
        <v>44</v>
      </c>
      <c r="H89" s="89"/>
      <c r="I89" s="89"/>
      <c r="J89" s="90"/>
    </row>
    <row r="90">
      <c r="A90" s="91"/>
      <c r="B90" s="59"/>
      <c r="C90" s="106" t="s">
        <v>2113</v>
      </c>
      <c r="D90" s="23" t="s">
        <v>2097</v>
      </c>
      <c r="E90" s="23" t="s">
        <v>21</v>
      </c>
      <c r="F90" s="23" t="s">
        <v>857</v>
      </c>
      <c r="G90" s="24" t="s">
        <v>44</v>
      </c>
      <c r="H90" s="92"/>
      <c r="I90" s="92"/>
      <c r="J90" s="93"/>
    </row>
    <row r="91">
      <c r="A91" s="87"/>
      <c r="B91" s="88"/>
      <c r="C91" s="107" t="s">
        <v>2118</v>
      </c>
      <c r="D91" s="16" t="s">
        <v>2037</v>
      </c>
      <c r="E91" s="16" t="s">
        <v>21</v>
      </c>
      <c r="F91" s="16" t="s">
        <v>1578</v>
      </c>
      <c r="G91" s="17" t="s">
        <v>44</v>
      </c>
      <c r="H91" s="89"/>
      <c r="I91" s="89"/>
      <c r="J91" s="90"/>
    </row>
    <row r="92">
      <c r="A92" s="91"/>
      <c r="B92" s="59"/>
      <c r="C92" s="106" t="s">
        <v>2150</v>
      </c>
      <c r="D92" s="23" t="s">
        <v>2148</v>
      </c>
      <c r="E92" s="23" t="s">
        <v>21</v>
      </c>
      <c r="F92" s="23" t="s">
        <v>857</v>
      </c>
      <c r="G92" s="24" t="s">
        <v>44</v>
      </c>
      <c r="H92" s="108" t="s">
        <v>2871</v>
      </c>
      <c r="I92" s="92"/>
      <c r="J92" s="93"/>
    </row>
    <row r="93">
      <c r="A93" s="87"/>
      <c r="B93" s="88"/>
      <c r="C93" s="107" t="s">
        <v>2156</v>
      </c>
      <c r="D93" s="16" t="s">
        <v>2151</v>
      </c>
      <c r="E93" s="16" t="s">
        <v>21</v>
      </c>
      <c r="F93" s="16" t="s">
        <v>857</v>
      </c>
      <c r="G93" s="17" t="s">
        <v>44</v>
      </c>
      <c r="H93" s="89"/>
      <c r="I93" s="89"/>
      <c r="J93" s="90"/>
    </row>
    <row r="94">
      <c r="A94" s="91"/>
      <c r="B94" s="59"/>
      <c r="C94" s="106" t="s">
        <v>2163</v>
      </c>
      <c r="D94" s="23" t="s">
        <v>2158</v>
      </c>
      <c r="E94" s="59" t="s">
        <v>75</v>
      </c>
      <c r="F94" s="23" t="s">
        <v>92</v>
      </c>
      <c r="G94" s="24" t="s">
        <v>44</v>
      </c>
      <c r="H94" s="92"/>
      <c r="I94" s="92"/>
      <c r="J94" s="93"/>
    </row>
    <row r="95">
      <c r="A95" s="87"/>
      <c r="B95" s="88"/>
      <c r="C95" s="107" t="s">
        <v>2206</v>
      </c>
      <c r="D95" s="16" t="s">
        <v>2202</v>
      </c>
      <c r="E95" s="16" t="s">
        <v>21</v>
      </c>
      <c r="F95" s="16" t="s">
        <v>92</v>
      </c>
      <c r="G95" s="17" t="s">
        <v>44</v>
      </c>
      <c r="H95" s="89"/>
      <c r="I95" s="89"/>
      <c r="J95" s="90"/>
    </row>
    <row r="96">
      <c r="A96" s="91"/>
      <c r="B96" s="59"/>
      <c r="C96" s="106" t="s">
        <v>2211</v>
      </c>
      <c r="D96" s="23" t="s">
        <v>2207</v>
      </c>
      <c r="E96" s="23" t="s">
        <v>21</v>
      </c>
      <c r="F96" s="23" t="s">
        <v>857</v>
      </c>
      <c r="G96" s="24" t="s">
        <v>44</v>
      </c>
      <c r="H96" s="92"/>
      <c r="I96" s="92"/>
      <c r="J96" s="93"/>
    </row>
    <row r="97">
      <c r="A97" s="87"/>
      <c r="B97" s="88"/>
      <c r="C97" s="18"/>
      <c r="D97" s="88"/>
      <c r="E97" s="88"/>
      <c r="F97" s="88"/>
      <c r="G97" s="18"/>
      <c r="H97" s="89"/>
      <c r="I97" s="89"/>
      <c r="J97" s="90"/>
    </row>
    <row r="98">
      <c r="A98" s="91"/>
      <c r="B98" s="59"/>
      <c r="C98" s="25"/>
      <c r="D98" s="59"/>
      <c r="E98" s="59"/>
      <c r="F98" s="59"/>
      <c r="G98" s="25"/>
      <c r="H98" s="92"/>
      <c r="I98" s="92"/>
      <c r="J98" s="93"/>
    </row>
    <row r="99">
      <c r="A99" s="87"/>
      <c r="B99" s="88"/>
      <c r="C99" s="18"/>
      <c r="D99" s="88"/>
      <c r="E99" s="88"/>
      <c r="F99" s="88"/>
      <c r="G99" s="18"/>
      <c r="H99" s="89"/>
      <c r="I99" s="89"/>
      <c r="J99" s="90"/>
    </row>
    <row r="100">
      <c r="A100" s="91"/>
      <c r="B100" s="59"/>
      <c r="C100" s="25"/>
      <c r="D100" s="59"/>
      <c r="E100" s="59"/>
      <c r="F100" s="59"/>
      <c r="G100" s="25"/>
      <c r="H100" s="92"/>
      <c r="I100" s="92"/>
      <c r="J100" s="93"/>
    </row>
    <row r="101">
      <c r="A101" s="87"/>
      <c r="B101" s="88"/>
      <c r="C101" s="18"/>
      <c r="D101" s="88"/>
      <c r="E101" s="88"/>
      <c r="F101" s="88"/>
      <c r="G101" s="18"/>
      <c r="H101" s="89"/>
      <c r="I101" s="89"/>
      <c r="J101" s="90"/>
    </row>
    <row r="102">
      <c r="A102" s="91"/>
      <c r="B102" s="59"/>
      <c r="C102" s="25"/>
      <c r="D102" s="59"/>
      <c r="E102" s="59"/>
      <c r="F102" s="59"/>
      <c r="G102" s="25"/>
      <c r="H102" s="92"/>
      <c r="I102" s="92"/>
      <c r="J102" s="93"/>
    </row>
    <row r="103">
      <c r="A103" s="87"/>
      <c r="B103" s="88"/>
      <c r="C103" s="18"/>
      <c r="D103" s="88"/>
      <c r="E103" s="88"/>
      <c r="F103" s="88"/>
      <c r="G103" s="18"/>
      <c r="H103" s="89"/>
      <c r="I103" s="89"/>
      <c r="J103" s="90"/>
    </row>
    <row r="104">
      <c r="A104" s="91"/>
      <c r="B104" s="59"/>
      <c r="C104" s="25"/>
      <c r="D104" s="59"/>
      <c r="E104" s="59"/>
      <c r="F104" s="59"/>
      <c r="G104" s="25"/>
      <c r="H104" s="92"/>
      <c r="I104" s="92"/>
      <c r="J104" s="93"/>
    </row>
    <row r="105">
      <c r="A105" s="87"/>
      <c r="B105" s="88"/>
      <c r="C105" s="18"/>
      <c r="D105" s="88"/>
      <c r="E105" s="88"/>
      <c r="F105" s="88"/>
      <c r="G105" s="18"/>
      <c r="H105" s="89"/>
      <c r="I105" s="89"/>
      <c r="J105" s="90"/>
    </row>
    <row r="106">
      <c r="A106" s="91"/>
      <c r="B106" s="59"/>
      <c r="C106" s="25"/>
      <c r="D106" s="59"/>
      <c r="E106" s="59"/>
      <c r="F106" s="59"/>
      <c r="G106" s="25"/>
      <c r="H106" s="92"/>
      <c r="I106" s="92"/>
      <c r="J106" s="93"/>
    </row>
    <row r="107">
      <c r="A107" s="87"/>
      <c r="B107" s="88"/>
      <c r="C107" s="18"/>
      <c r="D107" s="88"/>
      <c r="E107" s="88"/>
      <c r="F107" s="88"/>
      <c r="G107" s="18"/>
      <c r="H107" s="89"/>
      <c r="I107" s="89"/>
      <c r="J107" s="90"/>
    </row>
    <row r="108">
      <c r="A108" s="91"/>
      <c r="B108" s="59"/>
      <c r="C108" s="25"/>
      <c r="D108" s="59"/>
      <c r="E108" s="59"/>
      <c r="F108" s="59"/>
      <c r="G108" s="25"/>
      <c r="H108" s="92"/>
      <c r="I108" s="92"/>
      <c r="J108" s="93"/>
    </row>
    <row r="109">
      <c r="A109" s="87"/>
      <c r="B109" s="88"/>
      <c r="C109" s="18"/>
      <c r="D109" s="88"/>
      <c r="E109" s="88"/>
      <c r="F109" s="88"/>
      <c r="G109" s="18"/>
      <c r="H109" s="89"/>
      <c r="I109" s="89"/>
      <c r="J109" s="90"/>
    </row>
    <row r="110">
      <c r="A110" s="91"/>
      <c r="B110" s="59"/>
      <c r="C110" s="25"/>
      <c r="D110" s="59"/>
      <c r="E110" s="59"/>
      <c r="F110" s="59"/>
      <c r="G110" s="25"/>
      <c r="H110" s="92"/>
      <c r="I110" s="92"/>
      <c r="J110" s="93"/>
    </row>
    <row r="111">
      <c r="A111" s="87"/>
      <c r="B111" s="88"/>
      <c r="C111" s="18"/>
      <c r="D111" s="88"/>
      <c r="E111" s="88"/>
      <c r="F111" s="88"/>
      <c r="G111" s="18"/>
      <c r="H111" s="89"/>
      <c r="I111" s="89"/>
      <c r="J111" s="90"/>
    </row>
    <row r="112">
      <c r="A112" s="91"/>
      <c r="B112" s="59"/>
      <c r="C112" s="25"/>
      <c r="D112" s="59"/>
      <c r="E112" s="59"/>
      <c r="F112" s="59"/>
      <c r="G112" s="25"/>
      <c r="H112" s="92"/>
      <c r="I112" s="92"/>
      <c r="J112" s="93"/>
    </row>
    <row r="113">
      <c r="A113" s="87"/>
      <c r="B113" s="88"/>
      <c r="C113" s="18"/>
      <c r="D113" s="88"/>
      <c r="E113" s="88"/>
      <c r="F113" s="88"/>
      <c r="G113" s="18"/>
      <c r="H113" s="89"/>
      <c r="I113" s="89"/>
      <c r="J113" s="90"/>
    </row>
    <row r="114">
      <c r="A114" s="91"/>
      <c r="B114" s="59"/>
      <c r="C114" s="25"/>
      <c r="D114" s="59"/>
      <c r="E114" s="59"/>
      <c r="F114" s="59"/>
      <c r="G114" s="25"/>
      <c r="H114" s="92"/>
      <c r="I114" s="92"/>
      <c r="J114" s="93"/>
    </row>
    <row r="115">
      <c r="A115" s="87"/>
      <c r="B115" s="88"/>
      <c r="C115" s="18"/>
      <c r="D115" s="88"/>
      <c r="E115" s="88"/>
      <c r="F115" s="88"/>
      <c r="G115" s="18"/>
      <c r="H115" s="89"/>
      <c r="I115" s="89"/>
      <c r="J115" s="90"/>
    </row>
    <row r="116">
      <c r="A116" s="91"/>
      <c r="B116" s="59"/>
      <c r="C116" s="25"/>
      <c r="D116" s="59"/>
      <c r="E116" s="59"/>
      <c r="F116" s="59"/>
      <c r="G116" s="25"/>
      <c r="H116" s="92"/>
      <c r="I116" s="92"/>
      <c r="J116" s="93"/>
    </row>
    <row r="117">
      <c r="A117" s="87"/>
      <c r="B117" s="88"/>
      <c r="C117" s="18"/>
      <c r="D117" s="88"/>
      <c r="E117" s="88"/>
      <c r="F117" s="88"/>
      <c r="G117" s="18"/>
      <c r="H117" s="89"/>
      <c r="I117" s="89"/>
      <c r="J117" s="90"/>
    </row>
    <row r="118">
      <c r="A118" s="91"/>
      <c r="B118" s="59"/>
      <c r="C118" s="25"/>
      <c r="D118" s="59"/>
      <c r="E118" s="59"/>
      <c r="F118" s="59"/>
      <c r="G118" s="25"/>
      <c r="H118" s="92"/>
      <c r="I118" s="92"/>
      <c r="J118" s="93"/>
    </row>
    <row r="119">
      <c r="A119" s="87"/>
      <c r="B119" s="88"/>
      <c r="C119" s="18"/>
      <c r="D119" s="88"/>
      <c r="E119" s="88"/>
      <c r="F119" s="88"/>
      <c r="G119" s="18"/>
      <c r="H119" s="89"/>
      <c r="I119" s="89"/>
      <c r="J119" s="90"/>
    </row>
    <row r="120">
      <c r="A120" s="91"/>
      <c r="B120" s="59"/>
      <c r="C120" s="25"/>
      <c r="D120" s="59"/>
      <c r="E120" s="59"/>
      <c r="F120" s="59"/>
      <c r="G120" s="25"/>
      <c r="H120" s="92"/>
      <c r="I120" s="92"/>
      <c r="J120" s="93"/>
    </row>
    <row r="121">
      <c r="A121" s="87"/>
      <c r="B121" s="88"/>
      <c r="C121" s="18"/>
      <c r="D121" s="88"/>
      <c r="E121" s="88"/>
      <c r="F121" s="88"/>
      <c r="G121" s="18"/>
      <c r="H121" s="89"/>
      <c r="I121" s="89"/>
      <c r="J121" s="90"/>
    </row>
    <row r="122">
      <c r="A122" s="91"/>
      <c r="B122" s="59"/>
      <c r="C122" s="25"/>
      <c r="D122" s="59"/>
      <c r="E122" s="59"/>
      <c r="F122" s="59"/>
      <c r="G122" s="25"/>
      <c r="H122" s="92"/>
      <c r="I122" s="92"/>
      <c r="J122" s="93"/>
    </row>
    <row r="123">
      <c r="A123" s="87"/>
      <c r="B123" s="88"/>
      <c r="C123" s="18"/>
      <c r="D123" s="88"/>
      <c r="E123" s="88"/>
      <c r="F123" s="88"/>
      <c r="G123" s="18"/>
      <c r="H123" s="89"/>
      <c r="I123" s="89"/>
      <c r="J123" s="90"/>
    </row>
    <row r="124">
      <c r="A124" s="91"/>
      <c r="B124" s="59"/>
      <c r="C124" s="25"/>
      <c r="D124" s="59"/>
      <c r="E124" s="59"/>
      <c r="F124" s="59"/>
      <c r="G124" s="25"/>
      <c r="H124" s="92"/>
      <c r="I124" s="92"/>
      <c r="J124" s="93"/>
    </row>
    <row r="125">
      <c r="A125" s="87"/>
      <c r="B125" s="88"/>
      <c r="C125" s="18"/>
      <c r="D125" s="88"/>
      <c r="E125" s="88"/>
      <c r="F125" s="88"/>
      <c r="G125" s="18"/>
      <c r="H125" s="89"/>
      <c r="I125" s="89"/>
      <c r="J125" s="90"/>
    </row>
    <row r="126">
      <c r="A126" s="91"/>
      <c r="B126" s="59"/>
      <c r="C126" s="25"/>
      <c r="D126" s="59"/>
      <c r="E126" s="59"/>
      <c r="F126" s="59"/>
      <c r="G126" s="25"/>
      <c r="H126" s="92"/>
      <c r="I126" s="92"/>
      <c r="J126" s="93"/>
    </row>
    <row r="127">
      <c r="A127" s="87"/>
      <c r="B127" s="88"/>
      <c r="C127" s="18"/>
      <c r="D127" s="88"/>
      <c r="E127" s="88"/>
      <c r="F127" s="88"/>
      <c r="G127" s="18"/>
      <c r="H127" s="89"/>
      <c r="I127" s="89"/>
      <c r="J127" s="90"/>
    </row>
    <row r="128">
      <c r="A128" s="91"/>
      <c r="B128" s="59"/>
      <c r="C128" s="25"/>
      <c r="D128" s="59"/>
      <c r="E128" s="59"/>
      <c r="F128" s="59"/>
      <c r="G128" s="25"/>
      <c r="H128" s="92"/>
      <c r="I128" s="92"/>
      <c r="J128" s="93"/>
    </row>
    <row r="129">
      <c r="A129" s="87"/>
      <c r="B129" s="88"/>
      <c r="C129" s="18"/>
      <c r="D129" s="88"/>
      <c r="E129" s="88"/>
      <c r="F129" s="88"/>
      <c r="G129" s="18"/>
      <c r="H129" s="89"/>
      <c r="I129" s="89"/>
      <c r="J129" s="90"/>
    </row>
    <row r="130">
      <c r="A130" s="91"/>
      <c r="B130" s="59"/>
      <c r="C130" s="25"/>
      <c r="D130" s="59"/>
      <c r="E130" s="59"/>
      <c r="F130" s="59"/>
      <c r="G130" s="25"/>
      <c r="H130" s="92"/>
      <c r="I130" s="92"/>
      <c r="J130" s="93"/>
    </row>
    <row r="131">
      <c r="A131" s="87"/>
      <c r="B131" s="88"/>
      <c r="C131" s="18"/>
      <c r="D131" s="88"/>
      <c r="E131" s="88"/>
      <c r="F131" s="88"/>
      <c r="G131" s="18"/>
      <c r="H131" s="89"/>
      <c r="I131" s="89"/>
      <c r="J131" s="90"/>
    </row>
    <row r="132">
      <c r="A132" s="91"/>
      <c r="B132" s="59"/>
      <c r="C132" s="25"/>
      <c r="D132" s="59"/>
      <c r="E132" s="59"/>
      <c r="F132" s="59"/>
      <c r="G132" s="25"/>
      <c r="H132" s="92"/>
      <c r="I132" s="92"/>
      <c r="J132" s="93"/>
    </row>
    <row r="133">
      <c r="A133" s="87"/>
      <c r="B133" s="88"/>
      <c r="C133" s="18"/>
      <c r="D133" s="88"/>
      <c r="E133" s="88"/>
      <c r="F133" s="88"/>
      <c r="G133" s="18"/>
      <c r="H133" s="89"/>
      <c r="I133" s="89"/>
      <c r="J133" s="90"/>
    </row>
    <row r="134">
      <c r="A134" s="91"/>
      <c r="B134" s="59"/>
      <c r="C134" s="25"/>
      <c r="D134" s="59"/>
      <c r="E134" s="59"/>
      <c r="F134" s="59"/>
      <c r="G134" s="25"/>
      <c r="H134" s="92"/>
      <c r="I134" s="92"/>
      <c r="J134" s="93"/>
    </row>
    <row r="135">
      <c r="A135" s="87"/>
      <c r="B135" s="88"/>
      <c r="C135" s="18"/>
      <c r="D135" s="88"/>
      <c r="E135" s="88"/>
      <c r="F135" s="88"/>
      <c r="G135" s="18"/>
      <c r="H135" s="89"/>
      <c r="I135" s="89"/>
      <c r="J135" s="90"/>
    </row>
    <row r="136">
      <c r="A136" s="91"/>
      <c r="B136" s="59"/>
      <c r="C136" s="25"/>
      <c r="D136" s="59"/>
      <c r="E136" s="59"/>
      <c r="F136" s="59"/>
      <c r="G136" s="25"/>
      <c r="H136" s="92"/>
      <c r="I136" s="92"/>
      <c r="J136" s="93"/>
    </row>
    <row r="137">
      <c r="A137" s="87"/>
      <c r="B137" s="88"/>
      <c r="C137" s="18"/>
      <c r="D137" s="88"/>
      <c r="E137" s="88"/>
      <c r="F137" s="88"/>
      <c r="G137" s="18"/>
      <c r="H137" s="89"/>
      <c r="I137" s="89"/>
      <c r="J137" s="90"/>
    </row>
    <row r="138">
      <c r="A138" s="91"/>
      <c r="B138" s="59"/>
      <c r="C138" s="25"/>
      <c r="D138" s="59"/>
      <c r="E138" s="59"/>
      <c r="F138" s="59"/>
      <c r="G138" s="25"/>
      <c r="H138" s="92"/>
      <c r="I138" s="92"/>
      <c r="J138" s="93"/>
    </row>
    <row r="139">
      <c r="A139" s="87"/>
      <c r="B139" s="88"/>
      <c r="C139" s="18"/>
      <c r="D139" s="88"/>
      <c r="E139" s="88"/>
      <c r="F139" s="88"/>
      <c r="G139" s="18"/>
      <c r="H139" s="89"/>
      <c r="I139" s="89"/>
      <c r="J139" s="90"/>
    </row>
    <row r="140">
      <c r="A140" s="91"/>
      <c r="B140" s="59"/>
      <c r="C140" s="25"/>
      <c r="D140" s="59"/>
      <c r="E140" s="59"/>
      <c r="F140" s="59"/>
      <c r="G140" s="25"/>
      <c r="H140" s="92"/>
      <c r="I140" s="92"/>
      <c r="J140" s="93"/>
    </row>
    <row r="141">
      <c r="A141" s="87"/>
      <c r="B141" s="88"/>
      <c r="C141" s="18"/>
      <c r="D141" s="88"/>
      <c r="E141" s="88"/>
      <c r="F141" s="88"/>
      <c r="G141" s="18"/>
      <c r="H141" s="89"/>
      <c r="I141" s="89"/>
      <c r="J141" s="90"/>
    </row>
    <row r="142">
      <c r="A142" s="91"/>
      <c r="B142" s="59"/>
      <c r="C142" s="25"/>
      <c r="D142" s="59"/>
      <c r="E142" s="59"/>
      <c r="F142" s="59"/>
      <c r="G142" s="25"/>
      <c r="H142" s="92"/>
      <c r="I142" s="92"/>
      <c r="J142" s="93"/>
    </row>
    <row r="143">
      <c r="A143" s="87"/>
      <c r="B143" s="88"/>
      <c r="C143" s="18"/>
      <c r="D143" s="88"/>
      <c r="E143" s="88"/>
      <c r="F143" s="88"/>
      <c r="G143" s="18"/>
      <c r="H143" s="89"/>
      <c r="I143" s="89"/>
      <c r="J143" s="90"/>
    </row>
    <row r="144">
      <c r="A144" s="91"/>
      <c r="B144" s="59"/>
      <c r="C144" s="25"/>
      <c r="D144" s="59"/>
      <c r="E144" s="59"/>
      <c r="F144" s="59"/>
      <c r="G144" s="25"/>
      <c r="H144" s="92"/>
      <c r="I144" s="92"/>
      <c r="J144" s="93"/>
    </row>
    <row r="145">
      <c r="A145" s="87"/>
      <c r="B145" s="88"/>
      <c r="C145" s="18"/>
      <c r="D145" s="88"/>
      <c r="E145" s="88"/>
      <c r="F145" s="88"/>
      <c r="G145" s="18"/>
      <c r="H145" s="89"/>
      <c r="I145" s="89"/>
      <c r="J145" s="90"/>
    </row>
    <row r="146">
      <c r="A146" s="91"/>
      <c r="B146" s="59"/>
      <c r="C146" s="25"/>
      <c r="D146" s="59"/>
      <c r="E146" s="59"/>
      <c r="F146" s="59"/>
      <c r="G146" s="25"/>
      <c r="H146" s="92"/>
      <c r="I146" s="92"/>
      <c r="J146" s="93"/>
    </row>
    <row r="147">
      <c r="A147" s="87"/>
      <c r="B147" s="88"/>
      <c r="C147" s="18"/>
      <c r="D147" s="88"/>
      <c r="E147" s="88"/>
      <c r="F147" s="88"/>
      <c r="G147" s="18"/>
      <c r="H147" s="89"/>
      <c r="I147" s="89"/>
      <c r="J147" s="90"/>
    </row>
    <row r="148">
      <c r="A148" s="91"/>
      <c r="B148" s="59"/>
      <c r="C148" s="25"/>
      <c r="D148" s="59"/>
      <c r="E148" s="59"/>
      <c r="F148" s="59"/>
      <c r="G148" s="25"/>
      <c r="H148" s="92"/>
      <c r="I148" s="92"/>
      <c r="J148" s="93"/>
    </row>
    <row r="149">
      <c r="A149" s="87"/>
      <c r="B149" s="88"/>
      <c r="C149" s="18"/>
      <c r="D149" s="88"/>
      <c r="E149" s="88"/>
      <c r="F149" s="88"/>
      <c r="G149" s="18"/>
      <c r="H149" s="89"/>
      <c r="I149" s="89"/>
      <c r="J149" s="90"/>
    </row>
    <row r="150">
      <c r="A150" s="91"/>
      <c r="B150" s="59"/>
      <c r="C150" s="25"/>
      <c r="D150" s="59"/>
      <c r="E150" s="59"/>
      <c r="F150" s="59"/>
      <c r="G150" s="25"/>
      <c r="H150" s="92"/>
      <c r="I150" s="92"/>
      <c r="J150" s="93"/>
    </row>
    <row r="151">
      <c r="A151" s="87"/>
      <c r="B151" s="88"/>
      <c r="C151" s="18"/>
      <c r="D151" s="88"/>
      <c r="E151" s="88"/>
      <c r="F151" s="88"/>
      <c r="G151" s="18"/>
      <c r="H151" s="89"/>
      <c r="I151" s="89"/>
      <c r="J151" s="90"/>
    </row>
    <row r="152">
      <c r="A152" s="91"/>
      <c r="B152" s="59"/>
      <c r="C152" s="25"/>
      <c r="D152" s="59"/>
      <c r="E152" s="59"/>
      <c r="F152" s="59"/>
      <c r="G152" s="25"/>
      <c r="H152" s="92"/>
      <c r="I152" s="92"/>
      <c r="J152" s="93"/>
    </row>
    <row r="153">
      <c r="A153" s="87"/>
      <c r="B153" s="88"/>
      <c r="C153" s="18"/>
      <c r="D153" s="88"/>
      <c r="E153" s="88"/>
      <c r="F153" s="88"/>
      <c r="G153" s="18"/>
      <c r="H153" s="89"/>
      <c r="I153" s="89"/>
      <c r="J153" s="90"/>
    </row>
    <row r="154">
      <c r="A154" s="91"/>
      <c r="B154" s="59"/>
      <c r="C154" s="25"/>
      <c r="D154" s="59"/>
      <c r="E154" s="59"/>
      <c r="F154" s="59"/>
      <c r="G154" s="25"/>
      <c r="H154" s="92"/>
      <c r="I154" s="92"/>
      <c r="J154" s="93"/>
    </row>
    <row r="155">
      <c r="A155" s="87"/>
      <c r="B155" s="88"/>
      <c r="C155" s="18"/>
      <c r="D155" s="88"/>
      <c r="E155" s="88"/>
      <c r="F155" s="88"/>
      <c r="G155" s="18"/>
      <c r="H155" s="89"/>
      <c r="I155" s="89"/>
      <c r="J155" s="90"/>
    </row>
    <row r="156">
      <c r="A156" s="91"/>
      <c r="B156" s="59"/>
      <c r="C156" s="25"/>
      <c r="D156" s="59"/>
      <c r="E156" s="59"/>
      <c r="F156" s="59"/>
      <c r="G156" s="25"/>
      <c r="H156" s="92"/>
      <c r="I156" s="92"/>
      <c r="J156" s="93"/>
    </row>
    <row r="157">
      <c r="A157" s="87"/>
      <c r="B157" s="88"/>
      <c r="C157" s="18"/>
      <c r="D157" s="88"/>
      <c r="E157" s="88"/>
      <c r="F157" s="88"/>
      <c r="G157" s="18"/>
      <c r="H157" s="89"/>
      <c r="I157" s="89"/>
      <c r="J157" s="90"/>
    </row>
    <row r="158">
      <c r="A158" s="91"/>
      <c r="B158" s="59"/>
      <c r="C158" s="25"/>
      <c r="D158" s="59"/>
      <c r="E158" s="59"/>
      <c r="F158" s="59"/>
      <c r="G158" s="25"/>
      <c r="H158" s="92"/>
      <c r="I158" s="92"/>
      <c r="J158" s="93"/>
    </row>
    <row r="159">
      <c r="A159" s="87"/>
      <c r="B159" s="88"/>
      <c r="C159" s="18"/>
      <c r="D159" s="88"/>
      <c r="E159" s="88"/>
      <c r="F159" s="88"/>
      <c r="G159" s="18"/>
      <c r="H159" s="89"/>
      <c r="I159" s="89"/>
      <c r="J159" s="90"/>
    </row>
    <row r="160">
      <c r="A160" s="91"/>
      <c r="B160" s="59"/>
      <c r="C160" s="25"/>
      <c r="D160" s="59"/>
      <c r="E160" s="59"/>
      <c r="F160" s="59"/>
      <c r="G160" s="25"/>
      <c r="H160" s="92"/>
      <c r="I160" s="92"/>
      <c r="J160" s="93"/>
    </row>
    <row r="161">
      <c r="A161" s="87"/>
      <c r="B161" s="88"/>
      <c r="C161" s="18"/>
      <c r="D161" s="88"/>
      <c r="E161" s="88"/>
      <c r="F161" s="88"/>
      <c r="G161" s="18"/>
      <c r="H161" s="89"/>
      <c r="I161" s="89"/>
      <c r="J161" s="90"/>
    </row>
    <row r="162">
      <c r="A162" s="91"/>
      <c r="B162" s="59"/>
      <c r="C162" s="25"/>
      <c r="D162" s="59"/>
      <c r="E162" s="59"/>
      <c r="F162" s="59"/>
      <c r="G162" s="25"/>
      <c r="H162" s="92"/>
      <c r="I162" s="92"/>
      <c r="J162" s="93"/>
    </row>
    <row r="163">
      <c r="A163" s="87"/>
      <c r="B163" s="88"/>
      <c r="C163" s="18"/>
      <c r="D163" s="88"/>
      <c r="E163" s="88"/>
      <c r="F163" s="88"/>
      <c r="G163" s="18"/>
      <c r="H163" s="89"/>
      <c r="I163" s="89"/>
      <c r="J163" s="90"/>
    </row>
    <row r="164">
      <c r="A164" s="91"/>
      <c r="B164" s="59"/>
      <c r="C164" s="25"/>
      <c r="D164" s="59"/>
      <c r="E164" s="59"/>
      <c r="F164" s="59"/>
      <c r="G164" s="25"/>
      <c r="H164" s="92"/>
      <c r="I164" s="92"/>
      <c r="J164" s="93"/>
    </row>
    <row r="165">
      <c r="A165" s="87"/>
      <c r="B165" s="88"/>
      <c r="C165" s="18"/>
      <c r="D165" s="88"/>
      <c r="E165" s="88"/>
      <c r="F165" s="88"/>
      <c r="G165" s="18"/>
      <c r="H165" s="89"/>
      <c r="I165" s="89"/>
      <c r="J165" s="90"/>
    </row>
    <row r="166">
      <c r="A166" s="91"/>
      <c r="B166" s="59"/>
      <c r="C166" s="25"/>
      <c r="D166" s="59"/>
      <c r="E166" s="59"/>
      <c r="F166" s="59"/>
      <c r="G166" s="25"/>
      <c r="H166" s="92"/>
      <c r="I166" s="92"/>
      <c r="J166" s="93"/>
    </row>
    <row r="167">
      <c r="A167" s="87"/>
      <c r="B167" s="88"/>
      <c r="C167" s="18"/>
      <c r="D167" s="88"/>
      <c r="E167" s="88"/>
      <c r="F167" s="88"/>
      <c r="G167" s="18"/>
      <c r="H167" s="89"/>
      <c r="I167" s="89"/>
      <c r="J167" s="90"/>
    </row>
    <row r="168">
      <c r="A168" s="91"/>
      <c r="B168" s="59"/>
      <c r="C168" s="25"/>
      <c r="D168" s="59"/>
      <c r="E168" s="59"/>
      <c r="F168" s="59"/>
      <c r="G168" s="25"/>
      <c r="H168" s="92"/>
      <c r="I168" s="92"/>
      <c r="J168" s="93"/>
    </row>
    <row r="169">
      <c r="A169" s="87"/>
      <c r="B169" s="88"/>
      <c r="C169" s="18"/>
      <c r="D169" s="88"/>
      <c r="E169" s="88"/>
      <c r="F169" s="88"/>
      <c r="G169" s="18"/>
      <c r="H169" s="89"/>
      <c r="I169" s="89"/>
      <c r="J169" s="90"/>
    </row>
    <row r="170">
      <c r="A170" s="91"/>
      <c r="B170" s="59"/>
      <c r="C170" s="25"/>
      <c r="D170" s="59"/>
      <c r="E170" s="59"/>
      <c r="F170" s="59"/>
      <c r="G170" s="25"/>
      <c r="H170" s="92"/>
      <c r="I170" s="92"/>
      <c r="J170" s="93"/>
    </row>
    <row r="171">
      <c r="A171" s="87"/>
      <c r="B171" s="88"/>
      <c r="C171" s="18"/>
      <c r="D171" s="88"/>
      <c r="E171" s="88"/>
      <c r="F171" s="88"/>
      <c r="G171" s="18"/>
      <c r="H171" s="89"/>
      <c r="I171" s="89"/>
      <c r="J171" s="90"/>
    </row>
    <row r="172">
      <c r="A172" s="91"/>
      <c r="B172" s="59"/>
      <c r="C172" s="25"/>
      <c r="D172" s="59"/>
      <c r="E172" s="59"/>
      <c r="F172" s="59"/>
      <c r="G172" s="25"/>
      <c r="H172" s="92"/>
      <c r="I172" s="92"/>
      <c r="J172" s="93"/>
    </row>
    <row r="173">
      <c r="A173" s="87"/>
      <c r="B173" s="88"/>
      <c r="C173" s="18"/>
      <c r="D173" s="88"/>
      <c r="E173" s="88"/>
      <c r="F173" s="88"/>
      <c r="G173" s="18"/>
      <c r="H173" s="89"/>
      <c r="I173" s="89"/>
      <c r="J173" s="90"/>
    </row>
    <row r="174">
      <c r="A174" s="91"/>
      <c r="B174" s="59"/>
      <c r="C174" s="25"/>
      <c r="D174" s="59"/>
      <c r="E174" s="59"/>
      <c r="F174" s="59"/>
      <c r="G174" s="25"/>
      <c r="H174" s="92"/>
      <c r="I174" s="92"/>
      <c r="J174" s="93"/>
    </row>
    <row r="175">
      <c r="A175" s="87"/>
      <c r="B175" s="88"/>
      <c r="C175" s="18"/>
      <c r="D175" s="88"/>
      <c r="E175" s="88"/>
      <c r="F175" s="88"/>
      <c r="G175" s="18"/>
      <c r="H175" s="89"/>
      <c r="I175" s="89"/>
      <c r="J175" s="90"/>
    </row>
    <row r="176">
      <c r="A176" s="91"/>
      <c r="B176" s="59"/>
      <c r="C176" s="25"/>
      <c r="D176" s="59"/>
      <c r="E176" s="59"/>
      <c r="F176" s="59"/>
      <c r="G176" s="25"/>
      <c r="H176" s="92"/>
      <c r="I176" s="92"/>
      <c r="J176" s="93"/>
    </row>
    <row r="177">
      <c r="A177" s="87"/>
      <c r="B177" s="88"/>
      <c r="C177" s="18"/>
      <c r="D177" s="88"/>
      <c r="E177" s="88"/>
      <c r="F177" s="88"/>
      <c r="G177" s="18"/>
      <c r="H177" s="89"/>
      <c r="I177" s="89"/>
      <c r="J177" s="90"/>
    </row>
    <row r="178">
      <c r="A178" s="91"/>
      <c r="B178" s="59"/>
      <c r="C178" s="25"/>
      <c r="D178" s="59"/>
      <c r="E178" s="59"/>
      <c r="F178" s="59"/>
      <c r="G178" s="25"/>
      <c r="H178" s="92"/>
      <c r="I178" s="92"/>
      <c r="J178" s="93"/>
    </row>
    <row r="179">
      <c r="A179" s="87"/>
      <c r="B179" s="88"/>
      <c r="C179" s="18"/>
      <c r="D179" s="88"/>
      <c r="E179" s="88"/>
      <c r="F179" s="88"/>
      <c r="G179" s="18"/>
      <c r="H179" s="89"/>
      <c r="I179" s="89"/>
      <c r="J179" s="90"/>
    </row>
    <row r="180">
      <c r="A180" s="91"/>
      <c r="B180" s="59"/>
      <c r="C180" s="25"/>
      <c r="D180" s="59"/>
      <c r="E180" s="59"/>
      <c r="F180" s="59"/>
      <c r="G180" s="25"/>
      <c r="H180" s="92"/>
      <c r="I180" s="92"/>
      <c r="J180" s="93"/>
    </row>
    <row r="181">
      <c r="A181" s="87"/>
      <c r="B181" s="88"/>
      <c r="C181" s="18"/>
      <c r="D181" s="88"/>
      <c r="E181" s="88"/>
      <c r="F181" s="88"/>
      <c r="G181" s="18"/>
      <c r="H181" s="89"/>
      <c r="I181" s="89"/>
      <c r="J181" s="90"/>
    </row>
    <row r="182">
      <c r="A182" s="91"/>
      <c r="B182" s="59"/>
      <c r="C182" s="25"/>
      <c r="D182" s="59"/>
      <c r="E182" s="59"/>
      <c r="F182" s="59"/>
      <c r="G182" s="25"/>
      <c r="H182" s="92"/>
      <c r="I182" s="92"/>
      <c r="J182" s="93"/>
    </row>
    <row r="183">
      <c r="A183" s="87"/>
      <c r="B183" s="88"/>
      <c r="C183" s="18"/>
      <c r="D183" s="88"/>
      <c r="E183" s="88"/>
      <c r="F183" s="88"/>
      <c r="G183" s="18"/>
      <c r="H183" s="89"/>
      <c r="I183" s="89"/>
      <c r="J183" s="90"/>
    </row>
    <row r="184">
      <c r="A184" s="91"/>
      <c r="B184" s="59"/>
      <c r="C184" s="25"/>
      <c r="D184" s="59"/>
      <c r="E184" s="59"/>
      <c r="F184" s="59"/>
      <c r="G184" s="25"/>
      <c r="H184" s="92"/>
      <c r="I184" s="92"/>
      <c r="J184" s="93"/>
    </row>
    <row r="185">
      <c r="A185" s="87"/>
      <c r="B185" s="88"/>
      <c r="C185" s="18"/>
      <c r="D185" s="88"/>
      <c r="E185" s="88"/>
      <c r="F185" s="88"/>
      <c r="G185" s="18"/>
      <c r="H185" s="89"/>
      <c r="I185" s="89"/>
      <c r="J185" s="90"/>
    </row>
    <row r="186">
      <c r="A186" s="91"/>
      <c r="B186" s="59"/>
      <c r="C186" s="25"/>
      <c r="D186" s="59"/>
      <c r="E186" s="59"/>
      <c r="F186" s="59"/>
      <c r="G186" s="25"/>
      <c r="H186" s="92"/>
      <c r="I186" s="92"/>
      <c r="J186" s="93"/>
    </row>
    <row r="187">
      <c r="A187" s="87"/>
      <c r="B187" s="88"/>
      <c r="C187" s="18"/>
      <c r="D187" s="88"/>
      <c r="E187" s="88"/>
      <c r="F187" s="88"/>
      <c r="G187" s="18"/>
      <c r="H187" s="89"/>
      <c r="I187" s="89"/>
      <c r="J187" s="90"/>
    </row>
    <row r="188">
      <c r="A188" s="91"/>
      <c r="B188" s="59"/>
      <c r="C188" s="25"/>
      <c r="D188" s="59"/>
      <c r="E188" s="59"/>
      <c r="F188" s="59"/>
      <c r="G188" s="25"/>
      <c r="H188" s="92"/>
      <c r="I188" s="92"/>
      <c r="J188" s="93"/>
    </row>
    <row r="189">
      <c r="A189" s="87"/>
      <c r="B189" s="88"/>
      <c r="C189" s="18"/>
      <c r="D189" s="88"/>
      <c r="E189" s="88"/>
      <c r="F189" s="88"/>
      <c r="G189" s="18"/>
      <c r="H189" s="89"/>
      <c r="I189" s="89"/>
      <c r="J189" s="90"/>
    </row>
    <row r="190">
      <c r="A190" s="91"/>
      <c r="B190" s="59"/>
      <c r="C190" s="25"/>
      <c r="D190" s="59"/>
      <c r="E190" s="59"/>
      <c r="F190" s="59"/>
      <c r="G190" s="25"/>
      <c r="H190" s="92"/>
      <c r="I190" s="92"/>
      <c r="J190" s="93"/>
    </row>
    <row r="191">
      <c r="A191" s="87"/>
      <c r="B191" s="88"/>
      <c r="C191" s="18"/>
      <c r="D191" s="88"/>
      <c r="E191" s="88"/>
      <c r="F191" s="88"/>
      <c r="G191" s="18"/>
      <c r="H191" s="89"/>
      <c r="I191" s="89"/>
      <c r="J191" s="90"/>
    </row>
    <row r="192">
      <c r="A192" s="91"/>
      <c r="B192" s="59"/>
      <c r="C192" s="25"/>
      <c r="D192" s="59"/>
      <c r="E192" s="59"/>
      <c r="F192" s="59"/>
      <c r="G192" s="25"/>
      <c r="H192" s="92"/>
      <c r="I192" s="92"/>
      <c r="J192" s="93"/>
    </row>
    <row r="193">
      <c r="A193" s="87"/>
      <c r="B193" s="88"/>
      <c r="C193" s="18"/>
      <c r="D193" s="88"/>
      <c r="E193" s="88"/>
      <c r="F193" s="88"/>
      <c r="G193" s="18"/>
      <c r="H193" s="89"/>
      <c r="I193" s="89"/>
      <c r="J193" s="90"/>
    </row>
    <row r="194">
      <c r="A194" s="91"/>
      <c r="B194" s="59"/>
      <c r="C194" s="25"/>
      <c r="D194" s="59"/>
      <c r="E194" s="59"/>
      <c r="F194" s="59"/>
      <c r="G194" s="25"/>
      <c r="H194" s="92"/>
      <c r="I194" s="92"/>
      <c r="J194" s="93"/>
    </row>
    <row r="195">
      <c r="A195" s="87"/>
      <c r="B195" s="88"/>
      <c r="C195" s="18"/>
      <c r="D195" s="88"/>
      <c r="E195" s="88"/>
      <c r="F195" s="88"/>
      <c r="G195" s="18"/>
      <c r="H195" s="89"/>
      <c r="I195" s="89"/>
      <c r="J195" s="90"/>
    </row>
    <row r="196">
      <c r="A196" s="91"/>
      <c r="B196" s="59"/>
      <c r="C196" s="25"/>
      <c r="D196" s="59"/>
      <c r="E196" s="59"/>
      <c r="F196" s="59"/>
      <c r="G196" s="25"/>
      <c r="H196" s="92"/>
      <c r="I196" s="92"/>
      <c r="J196" s="93"/>
    </row>
    <row r="197">
      <c r="A197" s="87"/>
      <c r="B197" s="88"/>
      <c r="C197" s="18"/>
      <c r="D197" s="88"/>
      <c r="E197" s="88"/>
      <c r="F197" s="88"/>
      <c r="G197" s="18"/>
      <c r="H197" s="89"/>
      <c r="I197" s="89"/>
      <c r="J197" s="90"/>
    </row>
    <row r="198">
      <c r="A198" s="91"/>
      <c r="B198" s="59"/>
      <c r="C198" s="25"/>
      <c r="D198" s="59"/>
      <c r="E198" s="59"/>
      <c r="F198" s="59"/>
      <c r="G198" s="25"/>
      <c r="H198" s="92"/>
      <c r="I198" s="92"/>
      <c r="J198" s="93"/>
    </row>
    <row r="199">
      <c r="A199" s="87"/>
      <c r="B199" s="88"/>
      <c r="C199" s="18"/>
      <c r="D199" s="88"/>
      <c r="E199" s="88"/>
      <c r="F199" s="88"/>
      <c r="G199" s="18"/>
      <c r="H199" s="89"/>
      <c r="I199" s="89"/>
      <c r="J199" s="90"/>
    </row>
    <row r="200">
      <c r="A200" s="91"/>
      <c r="B200" s="59"/>
      <c r="C200" s="25"/>
      <c r="D200" s="59"/>
      <c r="E200" s="59"/>
      <c r="F200" s="59"/>
      <c r="G200" s="25"/>
      <c r="H200" s="92"/>
      <c r="I200" s="92"/>
      <c r="J200" s="93"/>
    </row>
    <row r="201">
      <c r="A201" s="87"/>
      <c r="B201" s="88"/>
      <c r="C201" s="18"/>
      <c r="D201" s="88"/>
      <c r="E201" s="88"/>
      <c r="F201" s="88"/>
      <c r="G201" s="18"/>
      <c r="H201" s="89"/>
      <c r="I201" s="89"/>
      <c r="J201" s="90"/>
    </row>
    <row r="202">
      <c r="A202" s="91"/>
      <c r="B202" s="59"/>
      <c r="C202" s="25"/>
      <c r="D202" s="59"/>
      <c r="E202" s="59"/>
      <c r="F202" s="59"/>
      <c r="G202" s="25"/>
      <c r="H202" s="92"/>
      <c r="I202" s="92"/>
      <c r="J202" s="93"/>
    </row>
    <row r="203">
      <c r="A203" s="87"/>
      <c r="B203" s="88"/>
      <c r="C203" s="18"/>
      <c r="D203" s="88"/>
      <c r="E203" s="88"/>
      <c r="F203" s="88"/>
      <c r="G203" s="18"/>
      <c r="H203" s="89"/>
      <c r="I203" s="89"/>
      <c r="J203" s="90"/>
    </row>
    <row r="204">
      <c r="A204" s="91"/>
      <c r="B204" s="59"/>
      <c r="C204" s="25"/>
      <c r="D204" s="59"/>
      <c r="E204" s="59"/>
      <c r="F204" s="59"/>
      <c r="G204" s="25"/>
      <c r="H204" s="92"/>
      <c r="I204" s="92"/>
      <c r="J204" s="93"/>
    </row>
    <row r="205">
      <c r="A205" s="87"/>
      <c r="B205" s="88"/>
      <c r="C205" s="18"/>
      <c r="D205" s="88"/>
      <c r="E205" s="88"/>
      <c r="F205" s="88"/>
      <c r="G205" s="18"/>
      <c r="H205" s="89"/>
      <c r="I205" s="89"/>
      <c r="J205" s="90"/>
    </row>
    <row r="206">
      <c r="A206" s="91"/>
      <c r="B206" s="59"/>
      <c r="C206" s="25"/>
      <c r="D206" s="59"/>
      <c r="E206" s="59"/>
      <c r="F206" s="59"/>
      <c r="G206" s="25"/>
      <c r="H206" s="92"/>
      <c r="I206" s="92"/>
      <c r="J206" s="93"/>
    </row>
    <row r="207">
      <c r="A207" s="87"/>
      <c r="B207" s="88"/>
      <c r="C207" s="18"/>
      <c r="D207" s="88"/>
      <c r="E207" s="88"/>
      <c r="F207" s="88"/>
      <c r="G207" s="18"/>
      <c r="H207" s="89"/>
      <c r="I207" s="89"/>
      <c r="J207" s="90"/>
    </row>
    <row r="208">
      <c r="A208" s="91"/>
      <c r="B208" s="59"/>
      <c r="C208" s="25"/>
      <c r="D208" s="59"/>
      <c r="E208" s="59"/>
      <c r="F208" s="59"/>
      <c r="G208" s="25"/>
      <c r="H208" s="92"/>
      <c r="I208" s="92"/>
      <c r="J208" s="93"/>
    </row>
    <row r="209">
      <c r="A209" s="87"/>
      <c r="B209" s="88"/>
      <c r="C209" s="18"/>
      <c r="D209" s="88"/>
      <c r="E209" s="88"/>
      <c r="F209" s="88"/>
      <c r="G209" s="18"/>
      <c r="H209" s="89"/>
      <c r="I209" s="89"/>
      <c r="J209" s="90"/>
    </row>
    <row r="210">
      <c r="A210" s="91"/>
      <c r="B210" s="59"/>
      <c r="C210" s="25"/>
      <c r="D210" s="59"/>
      <c r="E210" s="59"/>
      <c r="F210" s="59"/>
      <c r="G210" s="25"/>
      <c r="H210" s="92"/>
      <c r="I210" s="92"/>
      <c r="J210" s="93"/>
    </row>
    <row r="211">
      <c r="A211" s="87"/>
      <c r="B211" s="88"/>
      <c r="C211" s="18"/>
      <c r="D211" s="88"/>
      <c r="E211" s="88"/>
      <c r="F211" s="88"/>
      <c r="G211" s="18"/>
      <c r="H211" s="89"/>
      <c r="I211" s="89"/>
      <c r="J211" s="90"/>
    </row>
    <row r="212">
      <c r="A212" s="91"/>
      <c r="B212" s="59"/>
      <c r="C212" s="25"/>
      <c r="D212" s="59"/>
      <c r="E212" s="59"/>
      <c r="F212" s="59"/>
      <c r="G212" s="25"/>
      <c r="H212" s="92"/>
      <c r="I212" s="92"/>
      <c r="J212" s="93"/>
    </row>
    <row r="213">
      <c r="A213" s="87"/>
      <c r="B213" s="88"/>
      <c r="C213" s="18"/>
      <c r="D213" s="88"/>
      <c r="E213" s="88"/>
      <c r="F213" s="88"/>
      <c r="G213" s="18"/>
      <c r="H213" s="89"/>
      <c r="I213" s="89"/>
      <c r="J213" s="90"/>
    </row>
    <row r="214">
      <c r="A214" s="91"/>
      <c r="B214" s="59"/>
      <c r="C214" s="25"/>
      <c r="D214" s="59"/>
      <c r="E214" s="59"/>
      <c r="F214" s="59"/>
      <c r="G214" s="25"/>
      <c r="H214" s="92"/>
      <c r="I214" s="92"/>
      <c r="J214" s="93"/>
    </row>
    <row r="215">
      <c r="A215" s="87"/>
      <c r="B215" s="88"/>
      <c r="C215" s="18"/>
      <c r="D215" s="88"/>
      <c r="E215" s="88"/>
      <c r="F215" s="88"/>
      <c r="G215" s="18"/>
      <c r="H215" s="89"/>
      <c r="I215" s="89"/>
      <c r="J215" s="90"/>
    </row>
    <row r="216">
      <c r="A216" s="91"/>
      <c r="B216" s="59"/>
      <c r="C216" s="25"/>
      <c r="D216" s="59"/>
      <c r="E216" s="59"/>
      <c r="F216" s="59"/>
      <c r="G216" s="25"/>
      <c r="H216" s="92"/>
      <c r="I216" s="92"/>
      <c r="J216" s="93"/>
    </row>
    <row r="217">
      <c r="A217" s="87"/>
      <c r="B217" s="88"/>
      <c r="C217" s="18"/>
      <c r="D217" s="88"/>
      <c r="E217" s="88"/>
      <c r="F217" s="88"/>
      <c r="G217" s="18"/>
      <c r="H217" s="89"/>
      <c r="I217" s="89"/>
      <c r="J217" s="90"/>
    </row>
    <row r="218">
      <c r="A218" s="91"/>
      <c r="B218" s="59"/>
      <c r="C218" s="25"/>
      <c r="D218" s="59"/>
      <c r="E218" s="59"/>
      <c r="F218" s="59"/>
      <c r="G218" s="25"/>
      <c r="H218" s="92"/>
      <c r="I218" s="92"/>
      <c r="J218" s="93"/>
    </row>
    <row r="219">
      <c r="A219" s="87"/>
      <c r="B219" s="88"/>
      <c r="C219" s="18"/>
      <c r="D219" s="88"/>
      <c r="E219" s="88"/>
      <c r="F219" s="88"/>
      <c r="G219" s="18"/>
      <c r="H219" s="89"/>
      <c r="I219" s="89"/>
      <c r="J219" s="90"/>
    </row>
    <row r="220">
      <c r="A220" s="91"/>
      <c r="B220" s="59"/>
      <c r="C220" s="25"/>
      <c r="D220" s="59"/>
      <c r="E220" s="59"/>
      <c r="F220" s="59"/>
      <c r="G220" s="25"/>
      <c r="H220" s="92"/>
      <c r="I220" s="92"/>
      <c r="J220" s="93"/>
    </row>
    <row r="221">
      <c r="A221" s="87"/>
      <c r="B221" s="88"/>
      <c r="C221" s="18"/>
      <c r="D221" s="88"/>
      <c r="E221" s="88"/>
      <c r="F221" s="88"/>
      <c r="G221" s="18"/>
      <c r="H221" s="89"/>
      <c r="I221" s="89"/>
      <c r="J221" s="90"/>
    </row>
    <row r="222">
      <c r="A222" s="91"/>
      <c r="B222" s="59"/>
      <c r="C222" s="25"/>
      <c r="D222" s="59"/>
      <c r="E222" s="59"/>
      <c r="F222" s="59"/>
      <c r="G222" s="25"/>
      <c r="H222" s="92"/>
      <c r="I222" s="92"/>
      <c r="J222" s="93"/>
    </row>
    <row r="223">
      <c r="A223" s="87"/>
      <c r="B223" s="88"/>
      <c r="C223" s="18"/>
      <c r="D223" s="88"/>
      <c r="E223" s="88"/>
      <c r="F223" s="88"/>
      <c r="G223" s="18"/>
      <c r="H223" s="89"/>
      <c r="I223" s="89"/>
      <c r="J223" s="90"/>
    </row>
    <row r="224">
      <c r="A224" s="91"/>
      <c r="B224" s="59"/>
      <c r="C224" s="25"/>
      <c r="D224" s="59"/>
      <c r="E224" s="59"/>
      <c r="F224" s="59"/>
      <c r="G224" s="25"/>
      <c r="H224" s="92"/>
      <c r="I224" s="92"/>
      <c r="J224" s="93"/>
    </row>
    <row r="225">
      <c r="A225" s="87"/>
      <c r="B225" s="88"/>
      <c r="C225" s="18"/>
      <c r="D225" s="88"/>
      <c r="E225" s="88"/>
      <c r="F225" s="88"/>
      <c r="G225" s="18"/>
      <c r="H225" s="89"/>
      <c r="I225" s="89"/>
      <c r="J225" s="90"/>
    </row>
    <row r="226">
      <c r="A226" s="91"/>
      <c r="B226" s="59"/>
      <c r="C226" s="25"/>
      <c r="D226" s="59"/>
      <c r="E226" s="59"/>
      <c r="F226" s="59"/>
      <c r="G226" s="25"/>
      <c r="H226" s="92"/>
      <c r="I226" s="92"/>
      <c r="J226" s="93"/>
    </row>
    <row r="227">
      <c r="A227" s="87"/>
      <c r="B227" s="88"/>
      <c r="C227" s="18"/>
      <c r="D227" s="88"/>
      <c r="E227" s="88"/>
      <c r="F227" s="88"/>
      <c r="G227" s="18"/>
      <c r="H227" s="89"/>
      <c r="I227" s="89"/>
      <c r="J227" s="90"/>
    </row>
    <row r="228">
      <c r="A228" s="91"/>
      <c r="B228" s="59"/>
      <c r="C228" s="25"/>
      <c r="D228" s="59"/>
      <c r="E228" s="59"/>
      <c r="F228" s="59"/>
      <c r="G228" s="25"/>
      <c r="H228" s="92"/>
      <c r="I228" s="92"/>
      <c r="J228" s="93"/>
    </row>
    <row r="229">
      <c r="A229" s="87"/>
      <c r="B229" s="88"/>
      <c r="C229" s="18"/>
      <c r="D229" s="88"/>
      <c r="E229" s="88"/>
      <c r="F229" s="88"/>
      <c r="G229" s="18"/>
      <c r="H229" s="89"/>
      <c r="I229" s="89"/>
      <c r="J229" s="90"/>
    </row>
    <row r="230">
      <c r="A230" s="91"/>
      <c r="B230" s="59"/>
      <c r="C230" s="25"/>
      <c r="D230" s="59"/>
      <c r="E230" s="59"/>
      <c r="F230" s="59"/>
      <c r="G230" s="25"/>
      <c r="H230" s="92"/>
      <c r="I230" s="92"/>
      <c r="J230" s="93"/>
    </row>
    <row r="231">
      <c r="A231" s="87"/>
      <c r="B231" s="88"/>
      <c r="C231" s="18"/>
      <c r="D231" s="88"/>
      <c r="E231" s="88"/>
      <c r="F231" s="88"/>
      <c r="G231" s="18"/>
      <c r="H231" s="89"/>
      <c r="I231" s="89"/>
      <c r="J231" s="90"/>
    </row>
    <row r="232">
      <c r="A232" s="91"/>
      <c r="B232" s="59"/>
      <c r="C232" s="25"/>
      <c r="D232" s="59"/>
      <c r="E232" s="59"/>
      <c r="F232" s="59"/>
      <c r="G232" s="25"/>
      <c r="H232" s="92"/>
      <c r="I232" s="92"/>
      <c r="J232" s="93"/>
    </row>
    <row r="233">
      <c r="A233" s="87"/>
      <c r="B233" s="88"/>
      <c r="C233" s="18"/>
      <c r="D233" s="88"/>
      <c r="E233" s="88"/>
      <c r="F233" s="88"/>
      <c r="G233" s="18"/>
      <c r="H233" s="89"/>
      <c r="I233" s="89"/>
      <c r="J233" s="90"/>
    </row>
    <row r="234">
      <c r="A234" s="91"/>
      <c r="B234" s="59"/>
      <c r="C234" s="25"/>
      <c r="D234" s="59"/>
      <c r="E234" s="59"/>
      <c r="F234" s="59"/>
      <c r="G234" s="25"/>
      <c r="H234" s="92"/>
      <c r="I234" s="92"/>
      <c r="J234" s="93"/>
    </row>
    <row r="235">
      <c r="A235" s="87"/>
      <c r="B235" s="88"/>
      <c r="C235" s="18"/>
      <c r="D235" s="88"/>
      <c r="E235" s="88"/>
      <c r="F235" s="88"/>
      <c r="G235" s="18"/>
      <c r="H235" s="89"/>
      <c r="I235" s="89"/>
      <c r="J235" s="90"/>
    </row>
    <row r="236">
      <c r="A236" s="91"/>
      <c r="B236" s="59"/>
      <c r="C236" s="25"/>
      <c r="D236" s="59"/>
      <c r="E236" s="59"/>
      <c r="F236" s="59"/>
      <c r="G236" s="25"/>
      <c r="H236" s="92"/>
      <c r="I236" s="92"/>
      <c r="J236" s="93"/>
    </row>
    <row r="237">
      <c r="A237" s="87"/>
      <c r="B237" s="88"/>
      <c r="C237" s="18"/>
      <c r="D237" s="88"/>
      <c r="E237" s="88"/>
      <c r="F237" s="88"/>
      <c r="G237" s="18"/>
      <c r="H237" s="89"/>
      <c r="I237" s="89"/>
      <c r="J237" s="90"/>
    </row>
    <row r="238">
      <c r="A238" s="91"/>
      <c r="B238" s="59"/>
      <c r="C238" s="25"/>
      <c r="D238" s="59"/>
      <c r="E238" s="59"/>
      <c r="F238" s="59"/>
      <c r="G238" s="25"/>
      <c r="H238" s="92"/>
      <c r="I238" s="92"/>
      <c r="J238" s="93"/>
    </row>
    <row r="239">
      <c r="A239" s="87"/>
      <c r="B239" s="88"/>
      <c r="C239" s="18"/>
      <c r="D239" s="88"/>
      <c r="E239" s="88"/>
      <c r="F239" s="88"/>
      <c r="G239" s="18"/>
      <c r="H239" s="89"/>
      <c r="I239" s="89"/>
      <c r="J239" s="90"/>
    </row>
    <row r="240">
      <c r="A240" s="91"/>
      <c r="B240" s="59"/>
      <c r="C240" s="25"/>
      <c r="D240" s="59"/>
      <c r="E240" s="59"/>
      <c r="F240" s="59"/>
      <c r="G240" s="25"/>
      <c r="H240" s="92"/>
      <c r="I240" s="92"/>
      <c r="J240" s="93"/>
    </row>
    <row r="241">
      <c r="A241" s="87"/>
      <c r="B241" s="88"/>
      <c r="C241" s="18"/>
      <c r="D241" s="88"/>
      <c r="E241" s="88"/>
      <c r="F241" s="88"/>
      <c r="G241" s="18"/>
      <c r="H241" s="89"/>
      <c r="I241" s="89"/>
      <c r="J241" s="90"/>
    </row>
    <row r="242">
      <c r="A242" s="91"/>
      <c r="B242" s="59"/>
      <c r="C242" s="25"/>
      <c r="D242" s="59"/>
      <c r="E242" s="59"/>
      <c r="F242" s="59"/>
      <c r="G242" s="25"/>
      <c r="H242" s="92"/>
      <c r="I242" s="92"/>
      <c r="J242" s="93"/>
    </row>
    <row r="243">
      <c r="A243" s="87"/>
      <c r="B243" s="88"/>
      <c r="C243" s="18"/>
      <c r="D243" s="88"/>
      <c r="E243" s="88"/>
      <c r="F243" s="88"/>
      <c r="G243" s="18"/>
      <c r="H243" s="89"/>
      <c r="I243" s="89"/>
      <c r="J243" s="90"/>
    </row>
    <row r="244">
      <c r="A244" s="91"/>
      <c r="B244" s="59"/>
      <c r="C244" s="25"/>
      <c r="D244" s="59"/>
      <c r="E244" s="59"/>
      <c r="F244" s="59"/>
      <c r="G244" s="25"/>
      <c r="H244" s="92"/>
      <c r="I244" s="92"/>
      <c r="J244" s="93"/>
    </row>
    <row r="245">
      <c r="A245" s="87"/>
      <c r="B245" s="88"/>
      <c r="C245" s="18"/>
      <c r="D245" s="88"/>
      <c r="E245" s="88"/>
      <c r="F245" s="88"/>
      <c r="G245" s="18"/>
      <c r="H245" s="89"/>
      <c r="I245" s="89"/>
      <c r="J245" s="90"/>
    </row>
    <row r="246">
      <c r="A246" s="91"/>
      <c r="B246" s="59"/>
      <c r="C246" s="25"/>
      <c r="D246" s="59"/>
      <c r="E246" s="59"/>
      <c r="F246" s="59"/>
      <c r="G246" s="25"/>
      <c r="H246" s="92"/>
      <c r="I246" s="92"/>
      <c r="J246" s="93"/>
    </row>
    <row r="247">
      <c r="A247" s="87"/>
      <c r="B247" s="88"/>
      <c r="C247" s="18"/>
      <c r="D247" s="88"/>
      <c r="E247" s="88"/>
      <c r="F247" s="88"/>
      <c r="G247" s="18"/>
      <c r="H247" s="89"/>
      <c r="I247" s="89"/>
      <c r="J247" s="90"/>
    </row>
    <row r="248">
      <c r="A248" s="91"/>
      <c r="B248" s="59"/>
      <c r="C248" s="25"/>
      <c r="D248" s="59"/>
      <c r="E248" s="59"/>
      <c r="F248" s="59"/>
      <c r="G248" s="25"/>
      <c r="H248" s="92"/>
      <c r="I248" s="92"/>
      <c r="J248" s="93"/>
    </row>
    <row r="249">
      <c r="A249" s="87"/>
      <c r="B249" s="88"/>
      <c r="C249" s="18"/>
      <c r="D249" s="88"/>
      <c r="E249" s="88"/>
      <c r="F249" s="88"/>
      <c r="G249" s="18"/>
      <c r="H249" s="89"/>
      <c r="I249" s="89"/>
      <c r="J249" s="90"/>
    </row>
    <row r="250">
      <c r="A250" s="91"/>
      <c r="B250" s="59"/>
      <c r="C250" s="25"/>
      <c r="D250" s="59"/>
      <c r="E250" s="59"/>
      <c r="F250" s="59"/>
      <c r="G250" s="25"/>
      <c r="H250" s="92"/>
      <c r="I250" s="92"/>
      <c r="J250" s="93"/>
    </row>
    <row r="251">
      <c r="A251" s="87"/>
      <c r="B251" s="88"/>
      <c r="C251" s="18"/>
      <c r="D251" s="88"/>
      <c r="E251" s="88"/>
      <c r="F251" s="88"/>
      <c r="G251" s="18"/>
      <c r="H251" s="89"/>
      <c r="I251" s="89"/>
      <c r="J251" s="90"/>
    </row>
    <row r="252">
      <c r="A252" s="91"/>
      <c r="B252" s="59"/>
      <c r="C252" s="25"/>
      <c r="D252" s="59"/>
      <c r="E252" s="59"/>
      <c r="F252" s="59"/>
      <c r="G252" s="25"/>
      <c r="H252" s="92"/>
      <c r="I252" s="92"/>
      <c r="J252" s="93"/>
    </row>
    <row r="253">
      <c r="A253" s="87"/>
      <c r="B253" s="88"/>
      <c r="C253" s="18"/>
      <c r="D253" s="88"/>
      <c r="E253" s="88"/>
      <c r="F253" s="88"/>
      <c r="G253" s="18"/>
      <c r="H253" s="89"/>
      <c r="I253" s="89"/>
      <c r="J253" s="90"/>
    </row>
    <row r="254">
      <c r="A254" s="91"/>
      <c r="B254" s="59"/>
      <c r="C254" s="25"/>
      <c r="D254" s="59"/>
      <c r="E254" s="59"/>
      <c r="F254" s="59"/>
      <c r="G254" s="25"/>
      <c r="H254" s="92"/>
      <c r="I254" s="92"/>
      <c r="J254" s="93"/>
    </row>
    <row r="255">
      <c r="A255" s="87"/>
      <c r="B255" s="88"/>
      <c r="C255" s="18"/>
      <c r="D255" s="88"/>
      <c r="E255" s="88"/>
      <c r="F255" s="88"/>
      <c r="G255" s="18"/>
      <c r="H255" s="89"/>
      <c r="I255" s="89"/>
      <c r="J255" s="90"/>
    </row>
    <row r="256">
      <c r="A256" s="91"/>
      <c r="B256" s="59"/>
      <c r="C256" s="25"/>
      <c r="D256" s="59"/>
      <c r="E256" s="59"/>
      <c r="F256" s="59"/>
      <c r="G256" s="25"/>
      <c r="H256" s="92"/>
      <c r="I256" s="92"/>
      <c r="J256" s="93"/>
    </row>
    <row r="257">
      <c r="A257" s="87"/>
      <c r="B257" s="88"/>
      <c r="C257" s="18"/>
      <c r="D257" s="88"/>
      <c r="E257" s="88"/>
      <c r="F257" s="88"/>
      <c r="G257" s="18"/>
      <c r="H257" s="89"/>
      <c r="I257" s="89"/>
      <c r="J257" s="90"/>
    </row>
    <row r="258">
      <c r="A258" s="91"/>
      <c r="B258" s="59"/>
      <c r="C258" s="25"/>
      <c r="D258" s="59"/>
      <c r="E258" s="59"/>
      <c r="F258" s="59"/>
      <c r="G258" s="25"/>
      <c r="H258" s="92"/>
      <c r="I258" s="92"/>
      <c r="J258" s="93"/>
    </row>
    <row r="259">
      <c r="A259" s="87"/>
      <c r="B259" s="88"/>
      <c r="C259" s="18"/>
      <c r="D259" s="88"/>
      <c r="E259" s="88"/>
      <c r="F259" s="88"/>
      <c r="G259" s="18"/>
      <c r="H259" s="89"/>
      <c r="I259" s="89"/>
      <c r="J259" s="90"/>
    </row>
    <row r="260">
      <c r="A260" s="91"/>
      <c r="B260" s="59"/>
      <c r="C260" s="25"/>
      <c r="D260" s="59"/>
      <c r="E260" s="59"/>
      <c r="F260" s="59"/>
      <c r="G260" s="25"/>
      <c r="H260" s="92"/>
      <c r="I260" s="92"/>
      <c r="J260" s="93"/>
    </row>
    <row r="261">
      <c r="A261" s="87"/>
      <c r="B261" s="88"/>
      <c r="C261" s="18"/>
      <c r="D261" s="88"/>
      <c r="E261" s="88"/>
      <c r="F261" s="88"/>
      <c r="G261" s="18"/>
      <c r="H261" s="89"/>
      <c r="I261" s="89"/>
      <c r="J261" s="90"/>
    </row>
    <row r="262">
      <c r="A262" s="91"/>
      <c r="B262" s="59"/>
      <c r="C262" s="25"/>
      <c r="D262" s="59"/>
      <c r="E262" s="59"/>
      <c r="F262" s="59"/>
      <c r="G262" s="25"/>
      <c r="H262" s="92"/>
      <c r="I262" s="92"/>
      <c r="J262" s="93"/>
    </row>
    <row r="263">
      <c r="A263" s="87"/>
      <c r="B263" s="88"/>
      <c r="C263" s="18"/>
      <c r="D263" s="88"/>
      <c r="E263" s="88"/>
      <c r="F263" s="88"/>
      <c r="G263" s="18"/>
      <c r="H263" s="89"/>
      <c r="I263" s="89"/>
      <c r="J263" s="90"/>
    </row>
    <row r="264">
      <c r="A264" s="91"/>
      <c r="B264" s="59"/>
      <c r="C264" s="25"/>
      <c r="D264" s="59"/>
      <c r="E264" s="59"/>
      <c r="F264" s="59"/>
      <c r="G264" s="25"/>
      <c r="H264" s="92"/>
      <c r="I264" s="92"/>
      <c r="J264" s="93"/>
    </row>
    <row r="265">
      <c r="A265" s="87"/>
      <c r="B265" s="88"/>
      <c r="C265" s="18"/>
      <c r="D265" s="88"/>
      <c r="E265" s="88"/>
      <c r="F265" s="88"/>
      <c r="G265" s="18"/>
      <c r="H265" s="89"/>
      <c r="I265" s="89"/>
      <c r="J265" s="90"/>
    </row>
    <row r="266">
      <c r="A266" s="91"/>
      <c r="B266" s="59"/>
      <c r="C266" s="25"/>
      <c r="D266" s="59"/>
      <c r="E266" s="59"/>
      <c r="F266" s="59"/>
      <c r="G266" s="25"/>
      <c r="H266" s="92"/>
      <c r="I266" s="92"/>
      <c r="J266" s="93"/>
    </row>
    <row r="267">
      <c r="A267" s="87"/>
      <c r="B267" s="88"/>
      <c r="C267" s="18"/>
      <c r="D267" s="88"/>
      <c r="E267" s="88"/>
      <c r="F267" s="88"/>
      <c r="G267" s="18"/>
      <c r="H267" s="89"/>
      <c r="I267" s="89"/>
      <c r="J267" s="90"/>
    </row>
    <row r="268">
      <c r="A268" s="91"/>
      <c r="B268" s="59"/>
      <c r="C268" s="25"/>
      <c r="D268" s="59"/>
      <c r="E268" s="59"/>
      <c r="F268" s="59"/>
      <c r="G268" s="25"/>
      <c r="H268" s="92"/>
      <c r="I268" s="92"/>
      <c r="J268" s="93"/>
    </row>
    <row r="269">
      <c r="A269" s="87"/>
      <c r="B269" s="88"/>
      <c r="C269" s="18"/>
      <c r="D269" s="88"/>
      <c r="E269" s="88"/>
      <c r="F269" s="88"/>
      <c r="G269" s="18"/>
      <c r="H269" s="89"/>
      <c r="I269" s="89"/>
      <c r="J269" s="90"/>
    </row>
    <row r="270">
      <c r="A270" s="91"/>
      <c r="B270" s="59"/>
      <c r="C270" s="25"/>
      <c r="D270" s="59"/>
      <c r="E270" s="59"/>
      <c r="F270" s="59"/>
      <c r="G270" s="25"/>
      <c r="H270" s="92"/>
      <c r="I270" s="92"/>
      <c r="J270" s="93"/>
    </row>
    <row r="271">
      <c r="A271" s="87"/>
      <c r="B271" s="88"/>
      <c r="C271" s="18"/>
      <c r="D271" s="88"/>
      <c r="E271" s="88"/>
      <c r="F271" s="88"/>
      <c r="G271" s="18"/>
      <c r="H271" s="89"/>
      <c r="I271" s="89"/>
      <c r="J271" s="90"/>
    </row>
    <row r="272">
      <c r="A272" s="91"/>
      <c r="B272" s="59"/>
      <c r="C272" s="25"/>
      <c r="D272" s="59"/>
      <c r="E272" s="59"/>
      <c r="F272" s="59"/>
      <c r="G272" s="25"/>
      <c r="H272" s="92"/>
      <c r="I272" s="92"/>
      <c r="J272" s="93"/>
    </row>
    <row r="273">
      <c r="A273" s="87"/>
      <c r="B273" s="88"/>
      <c r="C273" s="18"/>
      <c r="D273" s="88"/>
      <c r="E273" s="88"/>
      <c r="F273" s="88"/>
      <c r="G273" s="18"/>
      <c r="H273" s="89"/>
      <c r="I273" s="89"/>
      <c r="J273" s="90"/>
    </row>
    <row r="274">
      <c r="A274" s="91"/>
      <c r="B274" s="59"/>
      <c r="C274" s="25"/>
      <c r="D274" s="59"/>
      <c r="E274" s="59"/>
      <c r="F274" s="59"/>
      <c r="G274" s="25"/>
      <c r="H274" s="92"/>
      <c r="I274" s="92"/>
      <c r="J274" s="93"/>
    </row>
    <row r="275">
      <c r="A275" s="87"/>
      <c r="B275" s="88"/>
      <c r="C275" s="18"/>
      <c r="D275" s="88"/>
      <c r="E275" s="88"/>
      <c r="F275" s="88"/>
      <c r="G275" s="18"/>
      <c r="H275" s="89"/>
      <c r="I275" s="89"/>
      <c r="J275" s="90"/>
    </row>
    <row r="276">
      <c r="A276" s="91"/>
      <c r="B276" s="59"/>
      <c r="C276" s="25"/>
      <c r="D276" s="59"/>
      <c r="E276" s="59"/>
      <c r="F276" s="59"/>
      <c r="G276" s="25"/>
      <c r="H276" s="92"/>
      <c r="I276" s="92"/>
      <c r="J276" s="93"/>
    </row>
    <row r="277">
      <c r="A277" s="87"/>
      <c r="B277" s="88"/>
      <c r="C277" s="18"/>
      <c r="D277" s="88"/>
      <c r="E277" s="88"/>
      <c r="F277" s="88"/>
      <c r="G277" s="18"/>
      <c r="H277" s="89"/>
      <c r="I277" s="89"/>
      <c r="J277" s="90"/>
    </row>
    <row r="278">
      <c r="A278" s="91"/>
      <c r="B278" s="59"/>
      <c r="C278" s="25"/>
      <c r="D278" s="59"/>
      <c r="E278" s="59"/>
      <c r="F278" s="59"/>
      <c r="G278" s="25"/>
      <c r="H278" s="92"/>
      <c r="I278" s="92"/>
      <c r="J278" s="93"/>
    </row>
    <row r="279">
      <c r="A279" s="87"/>
      <c r="B279" s="88"/>
      <c r="C279" s="18"/>
      <c r="D279" s="88"/>
      <c r="E279" s="88"/>
      <c r="F279" s="88"/>
      <c r="G279" s="18"/>
      <c r="H279" s="89"/>
      <c r="I279" s="89"/>
      <c r="J279" s="90"/>
    </row>
    <row r="280">
      <c r="A280" s="91"/>
      <c r="B280" s="59"/>
      <c r="C280" s="25"/>
      <c r="D280" s="59"/>
      <c r="E280" s="59"/>
      <c r="F280" s="59"/>
      <c r="G280" s="25"/>
      <c r="H280" s="92"/>
      <c r="I280" s="92"/>
      <c r="J280" s="93"/>
    </row>
    <row r="281">
      <c r="A281" s="87"/>
      <c r="B281" s="88"/>
      <c r="C281" s="18"/>
      <c r="D281" s="88"/>
      <c r="E281" s="88"/>
      <c r="F281" s="88"/>
      <c r="G281" s="18"/>
      <c r="H281" s="89"/>
      <c r="I281" s="89"/>
      <c r="J281" s="90"/>
    </row>
    <row r="282">
      <c r="A282" s="91"/>
      <c r="B282" s="59"/>
      <c r="C282" s="25"/>
      <c r="D282" s="59"/>
      <c r="E282" s="59"/>
      <c r="F282" s="59"/>
      <c r="G282" s="25"/>
      <c r="H282" s="92"/>
      <c r="I282" s="92"/>
      <c r="J282" s="93"/>
    </row>
    <row r="283">
      <c r="A283" s="87"/>
      <c r="B283" s="88"/>
      <c r="C283" s="18"/>
      <c r="D283" s="88"/>
      <c r="E283" s="88"/>
      <c r="F283" s="88"/>
      <c r="G283" s="18"/>
      <c r="H283" s="89"/>
      <c r="I283" s="89"/>
      <c r="J283" s="90"/>
    </row>
    <row r="284">
      <c r="A284" s="91"/>
      <c r="B284" s="59"/>
      <c r="C284" s="25"/>
      <c r="D284" s="59"/>
      <c r="E284" s="59"/>
      <c r="F284" s="59"/>
      <c r="G284" s="25"/>
      <c r="H284" s="92"/>
      <c r="I284" s="92"/>
      <c r="J284" s="93"/>
    </row>
    <row r="285">
      <c r="A285" s="87"/>
      <c r="B285" s="88"/>
      <c r="C285" s="18"/>
      <c r="D285" s="88"/>
      <c r="E285" s="88"/>
      <c r="F285" s="88"/>
      <c r="G285" s="18"/>
      <c r="H285" s="89"/>
      <c r="I285" s="89"/>
      <c r="J285" s="90"/>
    </row>
    <row r="286">
      <c r="A286" s="91"/>
      <c r="B286" s="59"/>
      <c r="C286" s="25"/>
      <c r="D286" s="59"/>
      <c r="E286" s="59"/>
      <c r="F286" s="59"/>
      <c r="G286" s="25"/>
      <c r="H286" s="92"/>
      <c r="I286" s="92"/>
      <c r="J286" s="93"/>
    </row>
    <row r="287">
      <c r="A287" s="87"/>
      <c r="B287" s="88"/>
      <c r="C287" s="18"/>
      <c r="D287" s="88"/>
      <c r="E287" s="88"/>
      <c r="F287" s="88"/>
      <c r="G287" s="18"/>
      <c r="H287" s="89"/>
      <c r="I287" s="89"/>
      <c r="J287" s="90"/>
    </row>
    <row r="288">
      <c r="A288" s="91"/>
      <c r="B288" s="59"/>
      <c r="C288" s="25"/>
      <c r="D288" s="59"/>
      <c r="E288" s="59"/>
      <c r="F288" s="59"/>
      <c r="G288" s="25"/>
      <c r="H288" s="92"/>
      <c r="I288" s="92"/>
      <c r="J288" s="93"/>
    </row>
    <row r="289">
      <c r="A289" s="87"/>
      <c r="B289" s="88"/>
      <c r="C289" s="18"/>
      <c r="D289" s="88"/>
      <c r="E289" s="88"/>
      <c r="F289" s="88"/>
      <c r="G289" s="18"/>
      <c r="H289" s="89"/>
      <c r="I289" s="89"/>
      <c r="J289" s="90"/>
    </row>
    <row r="290">
      <c r="A290" s="91"/>
      <c r="B290" s="59"/>
      <c r="C290" s="25"/>
      <c r="D290" s="59"/>
      <c r="E290" s="59"/>
      <c r="F290" s="59"/>
      <c r="G290" s="25"/>
      <c r="H290" s="92"/>
      <c r="I290" s="92"/>
      <c r="J290" s="93"/>
    </row>
    <row r="291">
      <c r="A291" s="87"/>
      <c r="B291" s="88"/>
      <c r="C291" s="18"/>
      <c r="D291" s="88"/>
      <c r="E291" s="88"/>
      <c r="F291" s="88"/>
      <c r="G291" s="18"/>
      <c r="H291" s="89"/>
      <c r="I291" s="89"/>
      <c r="J291" s="90"/>
    </row>
    <row r="292">
      <c r="A292" s="91"/>
      <c r="B292" s="59"/>
      <c r="C292" s="25"/>
      <c r="D292" s="59"/>
      <c r="E292" s="59"/>
      <c r="F292" s="59"/>
      <c r="G292" s="25"/>
      <c r="H292" s="92"/>
      <c r="I292" s="92"/>
      <c r="J292" s="93"/>
    </row>
    <row r="293">
      <c r="A293" s="87"/>
      <c r="B293" s="88"/>
      <c r="C293" s="18"/>
      <c r="D293" s="88"/>
      <c r="E293" s="88"/>
      <c r="F293" s="88"/>
      <c r="G293" s="18"/>
      <c r="H293" s="89"/>
      <c r="I293" s="89"/>
      <c r="J293" s="90"/>
    </row>
    <row r="294">
      <c r="A294" s="91"/>
      <c r="B294" s="59"/>
      <c r="C294" s="25"/>
      <c r="D294" s="59"/>
      <c r="E294" s="59"/>
      <c r="F294" s="59"/>
      <c r="G294" s="25"/>
      <c r="H294" s="92"/>
      <c r="I294" s="92"/>
      <c r="J294" s="93"/>
    </row>
    <row r="295">
      <c r="A295" s="87"/>
      <c r="B295" s="88"/>
      <c r="C295" s="18"/>
      <c r="D295" s="88"/>
      <c r="E295" s="88"/>
      <c r="F295" s="88"/>
      <c r="G295" s="18"/>
      <c r="H295" s="89"/>
      <c r="I295" s="89"/>
      <c r="J295" s="90"/>
    </row>
    <row r="296">
      <c r="A296" s="91"/>
      <c r="B296" s="59"/>
      <c r="C296" s="25"/>
      <c r="D296" s="59"/>
      <c r="E296" s="59"/>
      <c r="F296" s="59"/>
      <c r="G296" s="25"/>
      <c r="H296" s="92"/>
      <c r="I296" s="92"/>
      <c r="J296" s="93"/>
    </row>
    <row r="297">
      <c r="A297" s="87"/>
      <c r="B297" s="88"/>
      <c r="C297" s="18"/>
      <c r="D297" s="88"/>
      <c r="E297" s="88"/>
      <c r="F297" s="88"/>
      <c r="G297" s="18"/>
      <c r="H297" s="89"/>
      <c r="I297" s="89"/>
      <c r="J297" s="90"/>
    </row>
    <row r="298">
      <c r="A298" s="91"/>
      <c r="B298" s="59"/>
      <c r="C298" s="25"/>
      <c r="D298" s="59"/>
      <c r="E298" s="59"/>
      <c r="F298" s="59"/>
      <c r="G298" s="25"/>
      <c r="H298" s="92"/>
      <c r="I298" s="92"/>
      <c r="J298" s="93"/>
    </row>
    <row r="299">
      <c r="A299" s="87"/>
      <c r="B299" s="88"/>
      <c r="C299" s="18"/>
      <c r="D299" s="88"/>
      <c r="E299" s="88"/>
      <c r="F299" s="88"/>
      <c r="G299" s="18"/>
      <c r="H299" s="89"/>
      <c r="I299" s="89"/>
      <c r="J299" s="90"/>
    </row>
    <row r="300">
      <c r="A300" s="91"/>
      <c r="B300" s="59"/>
      <c r="C300" s="25"/>
      <c r="D300" s="59"/>
      <c r="E300" s="59"/>
      <c r="F300" s="59"/>
      <c r="G300" s="25"/>
      <c r="H300" s="92"/>
      <c r="I300" s="92"/>
      <c r="J300" s="93"/>
    </row>
    <row r="301">
      <c r="A301" s="87"/>
      <c r="B301" s="88"/>
      <c r="C301" s="18"/>
      <c r="D301" s="88"/>
      <c r="E301" s="88"/>
      <c r="F301" s="88"/>
      <c r="G301" s="18"/>
      <c r="H301" s="89"/>
      <c r="I301" s="89"/>
      <c r="J301" s="90"/>
    </row>
    <row r="302">
      <c r="A302" s="91"/>
      <c r="B302" s="59"/>
      <c r="C302" s="25"/>
      <c r="D302" s="59"/>
      <c r="E302" s="59"/>
      <c r="F302" s="59"/>
      <c r="G302" s="25"/>
      <c r="H302" s="92"/>
      <c r="I302" s="92"/>
      <c r="J302" s="93"/>
    </row>
    <row r="303">
      <c r="A303" s="87"/>
      <c r="B303" s="88"/>
      <c r="C303" s="18"/>
      <c r="D303" s="88"/>
      <c r="E303" s="88"/>
      <c r="F303" s="88"/>
      <c r="G303" s="18"/>
      <c r="H303" s="89"/>
      <c r="I303" s="89"/>
      <c r="J303" s="90"/>
    </row>
    <row r="304">
      <c r="A304" s="91"/>
      <c r="B304" s="59"/>
      <c r="C304" s="25"/>
      <c r="D304" s="59"/>
      <c r="E304" s="59"/>
      <c r="F304" s="59"/>
      <c r="G304" s="25"/>
      <c r="H304" s="92"/>
      <c r="I304" s="92"/>
      <c r="J304" s="93"/>
    </row>
    <row r="305">
      <c r="A305" s="87"/>
      <c r="B305" s="88"/>
      <c r="C305" s="18"/>
      <c r="D305" s="88"/>
      <c r="E305" s="88"/>
      <c r="F305" s="88"/>
      <c r="G305" s="18"/>
      <c r="H305" s="89"/>
      <c r="I305" s="89"/>
      <c r="J305" s="90"/>
    </row>
    <row r="306">
      <c r="A306" s="91"/>
      <c r="B306" s="59"/>
      <c r="C306" s="25"/>
      <c r="D306" s="59"/>
      <c r="E306" s="59"/>
      <c r="F306" s="59"/>
      <c r="G306" s="25"/>
      <c r="H306" s="92"/>
      <c r="I306" s="92"/>
      <c r="J306" s="93"/>
    </row>
    <row r="307">
      <c r="A307" s="87"/>
      <c r="B307" s="88"/>
      <c r="C307" s="18"/>
      <c r="D307" s="88"/>
      <c r="E307" s="88"/>
      <c r="F307" s="88"/>
      <c r="G307" s="18"/>
      <c r="H307" s="89"/>
      <c r="I307" s="89"/>
      <c r="J307" s="90"/>
    </row>
    <row r="308">
      <c r="A308" s="91"/>
      <c r="B308" s="59"/>
      <c r="C308" s="25"/>
      <c r="D308" s="59"/>
      <c r="E308" s="59"/>
      <c r="F308" s="59"/>
      <c r="G308" s="25"/>
      <c r="H308" s="92"/>
      <c r="I308" s="92"/>
      <c r="J308" s="93"/>
    </row>
    <row r="309">
      <c r="A309" s="87"/>
      <c r="B309" s="88"/>
      <c r="C309" s="18"/>
      <c r="D309" s="88"/>
      <c r="E309" s="88"/>
      <c r="F309" s="88"/>
      <c r="G309" s="18"/>
      <c r="H309" s="89"/>
      <c r="I309" s="89"/>
      <c r="J309" s="90"/>
    </row>
    <row r="310">
      <c r="A310" s="91"/>
      <c r="B310" s="59"/>
      <c r="C310" s="25"/>
      <c r="D310" s="59"/>
      <c r="E310" s="59"/>
      <c r="F310" s="59"/>
      <c r="G310" s="25"/>
      <c r="H310" s="92"/>
      <c r="I310" s="92"/>
      <c r="J310" s="93"/>
    </row>
    <row r="311">
      <c r="A311" s="87"/>
      <c r="B311" s="88"/>
      <c r="C311" s="18"/>
      <c r="D311" s="88"/>
      <c r="E311" s="88"/>
      <c r="F311" s="88"/>
      <c r="G311" s="18"/>
      <c r="H311" s="89"/>
      <c r="I311" s="89"/>
      <c r="J311" s="90"/>
    </row>
    <row r="312">
      <c r="A312" s="91"/>
      <c r="B312" s="59"/>
      <c r="C312" s="25"/>
      <c r="D312" s="59"/>
      <c r="E312" s="59"/>
      <c r="F312" s="59"/>
      <c r="G312" s="25"/>
      <c r="H312" s="92"/>
      <c r="I312" s="92"/>
      <c r="J312" s="93"/>
    </row>
    <row r="313">
      <c r="A313" s="87"/>
      <c r="B313" s="88"/>
      <c r="C313" s="18"/>
      <c r="D313" s="88"/>
      <c r="E313" s="88"/>
      <c r="F313" s="88"/>
      <c r="G313" s="18"/>
      <c r="H313" s="89"/>
      <c r="I313" s="89"/>
      <c r="J313" s="90"/>
    </row>
    <row r="314">
      <c r="A314" s="91"/>
      <c r="B314" s="59"/>
      <c r="C314" s="25"/>
      <c r="D314" s="59"/>
      <c r="E314" s="59"/>
      <c r="F314" s="59"/>
      <c r="G314" s="25"/>
      <c r="H314" s="92"/>
      <c r="I314" s="92"/>
      <c r="J314" s="93"/>
    </row>
    <row r="315">
      <c r="A315" s="87"/>
      <c r="B315" s="88"/>
      <c r="C315" s="18"/>
      <c r="D315" s="88"/>
      <c r="E315" s="88"/>
      <c r="F315" s="88"/>
      <c r="G315" s="18"/>
      <c r="H315" s="89"/>
      <c r="I315" s="89"/>
      <c r="J315" s="90"/>
    </row>
    <row r="316">
      <c r="A316" s="91"/>
      <c r="B316" s="59"/>
      <c r="C316" s="25"/>
      <c r="D316" s="59"/>
      <c r="E316" s="59"/>
      <c r="F316" s="59"/>
      <c r="G316" s="25"/>
      <c r="H316" s="92"/>
      <c r="I316" s="92"/>
      <c r="J316" s="93"/>
    </row>
    <row r="317">
      <c r="A317" s="87"/>
      <c r="B317" s="88"/>
      <c r="C317" s="18"/>
      <c r="D317" s="88"/>
      <c r="E317" s="88"/>
      <c r="F317" s="88"/>
      <c r="G317" s="18"/>
      <c r="H317" s="89"/>
      <c r="I317" s="89"/>
      <c r="J317" s="90"/>
    </row>
    <row r="318">
      <c r="A318" s="91"/>
      <c r="B318" s="59"/>
      <c r="C318" s="25"/>
      <c r="D318" s="59"/>
      <c r="E318" s="59"/>
      <c r="F318" s="59"/>
      <c r="G318" s="25"/>
      <c r="H318" s="92"/>
      <c r="I318" s="92"/>
      <c r="J318" s="93"/>
    </row>
    <row r="319">
      <c r="A319" s="87"/>
      <c r="B319" s="88"/>
      <c r="C319" s="18"/>
      <c r="D319" s="88"/>
      <c r="E319" s="88"/>
      <c r="F319" s="88"/>
      <c r="G319" s="18"/>
      <c r="H319" s="89"/>
      <c r="I319" s="89"/>
      <c r="J319" s="90"/>
    </row>
    <row r="320">
      <c r="A320" s="91"/>
      <c r="B320" s="59"/>
      <c r="C320" s="25"/>
      <c r="D320" s="59"/>
      <c r="E320" s="59"/>
      <c r="F320" s="59"/>
      <c r="G320" s="25"/>
      <c r="H320" s="92"/>
      <c r="I320" s="92"/>
      <c r="J320" s="93"/>
    </row>
    <row r="321">
      <c r="A321" s="87"/>
      <c r="B321" s="88"/>
      <c r="C321" s="18"/>
      <c r="D321" s="88"/>
      <c r="E321" s="88"/>
      <c r="F321" s="88"/>
      <c r="G321" s="18"/>
      <c r="H321" s="89"/>
      <c r="I321" s="89"/>
      <c r="J321" s="90"/>
    </row>
    <row r="322">
      <c r="A322" s="91"/>
      <c r="B322" s="59"/>
      <c r="C322" s="25"/>
      <c r="D322" s="59"/>
      <c r="E322" s="59"/>
      <c r="F322" s="59"/>
      <c r="G322" s="25"/>
      <c r="H322" s="92"/>
      <c r="I322" s="92"/>
      <c r="J322" s="93"/>
    </row>
    <row r="323">
      <c r="A323" s="87"/>
      <c r="B323" s="88"/>
      <c r="C323" s="18"/>
      <c r="D323" s="88"/>
      <c r="E323" s="88"/>
      <c r="F323" s="88"/>
      <c r="G323" s="18"/>
      <c r="H323" s="89"/>
      <c r="I323" s="89"/>
      <c r="J323" s="90"/>
    </row>
    <row r="324">
      <c r="A324" s="91"/>
      <c r="B324" s="59"/>
      <c r="C324" s="25"/>
      <c r="D324" s="59"/>
      <c r="E324" s="59"/>
      <c r="F324" s="59"/>
      <c r="G324" s="25"/>
      <c r="H324" s="92"/>
      <c r="I324" s="92"/>
      <c r="J324" s="93"/>
    </row>
    <row r="325">
      <c r="A325" s="87"/>
      <c r="B325" s="88"/>
      <c r="C325" s="18"/>
      <c r="D325" s="88"/>
      <c r="E325" s="88"/>
      <c r="F325" s="88"/>
      <c r="G325" s="18"/>
      <c r="H325" s="89"/>
      <c r="I325" s="89"/>
      <c r="J325" s="90"/>
    </row>
    <row r="326">
      <c r="A326" s="91"/>
      <c r="B326" s="59"/>
      <c r="C326" s="25"/>
      <c r="D326" s="59"/>
      <c r="E326" s="59"/>
      <c r="F326" s="59"/>
      <c r="G326" s="25"/>
      <c r="H326" s="92"/>
      <c r="I326" s="92"/>
      <c r="J326" s="93"/>
    </row>
    <row r="327">
      <c r="A327" s="87"/>
      <c r="B327" s="88"/>
      <c r="C327" s="18"/>
      <c r="D327" s="88"/>
      <c r="E327" s="88"/>
      <c r="F327" s="88"/>
      <c r="G327" s="18"/>
      <c r="H327" s="89"/>
      <c r="I327" s="89"/>
      <c r="J327" s="90"/>
    </row>
    <row r="328">
      <c r="A328" s="91"/>
      <c r="B328" s="59"/>
      <c r="C328" s="25"/>
      <c r="D328" s="59"/>
      <c r="E328" s="59"/>
      <c r="F328" s="59"/>
      <c r="G328" s="25"/>
      <c r="H328" s="92"/>
      <c r="I328" s="92"/>
      <c r="J328" s="93"/>
    </row>
    <row r="329">
      <c r="A329" s="87"/>
      <c r="B329" s="88"/>
      <c r="C329" s="18"/>
      <c r="D329" s="88"/>
      <c r="E329" s="88"/>
      <c r="F329" s="88"/>
      <c r="G329" s="18"/>
      <c r="H329" s="89"/>
      <c r="I329" s="89"/>
      <c r="J329" s="90"/>
    </row>
    <row r="330">
      <c r="A330" s="91"/>
      <c r="B330" s="59"/>
      <c r="C330" s="25"/>
      <c r="D330" s="59"/>
      <c r="E330" s="59"/>
      <c r="F330" s="59"/>
      <c r="G330" s="25"/>
      <c r="H330" s="92"/>
      <c r="I330" s="92"/>
      <c r="J330" s="93"/>
    </row>
    <row r="331">
      <c r="A331" s="87"/>
      <c r="B331" s="88"/>
      <c r="C331" s="18"/>
      <c r="D331" s="88"/>
      <c r="E331" s="88"/>
      <c r="F331" s="88"/>
      <c r="G331" s="18"/>
      <c r="H331" s="89"/>
      <c r="I331" s="89"/>
      <c r="J331" s="90"/>
    </row>
    <row r="332">
      <c r="A332" s="91"/>
      <c r="B332" s="59"/>
      <c r="C332" s="25"/>
      <c r="D332" s="59"/>
      <c r="E332" s="59"/>
      <c r="F332" s="59"/>
      <c r="G332" s="25"/>
      <c r="H332" s="92"/>
      <c r="I332" s="92"/>
      <c r="J332" s="93"/>
    </row>
    <row r="333">
      <c r="A333" s="87"/>
      <c r="B333" s="88"/>
      <c r="C333" s="18"/>
      <c r="D333" s="88"/>
      <c r="E333" s="88"/>
      <c r="F333" s="88"/>
      <c r="G333" s="18"/>
      <c r="H333" s="89"/>
      <c r="I333" s="89"/>
      <c r="J333" s="90"/>
    </row>
    <row r="334">
      <c r="A334" s="91"/>
      <c r="B334" s="59"/>
      <c r="C334" s="25"/>
      <c r="D334" s="59"/>
      <c r="E334" s="59"/>
      <c r="F334" s="59"/>
      <c r="G334" s="25"/>
      <c r="H334" s="92"/>
      <c r="I334" s="92"/>
      <c r="J334" s="93"/>
    </row>
    <row r="335">
      <c r="A335" s="87"/>
      <c r="B335" s="88"/>
      <c r="C335" s="18"/>
      <c r="D335" s="88"/>
      <c r="E335" s="88"/>
      <c r="F335" s="88"/>
      <c r="G335" s="18"/>
      <c r="H335" s="89"/>
      <c r="I335" s="89"/>
      <c r="J335" s="90"/>
    </row>
    <row r="336">
      <c r="A336" s="91"/>
      <c r="B336" s="59"/>
      <c r="C336" s="25"/>
      <c r="D336" s="59"/>
      <c r="E336" s="59"/>
      <c r="F336" s="59"/>
      <c r="G336" s="25"/>
      <c r="H336" s="92"/>
      <c r="I336" s="92"/>
      <c r="J336" s="93"/>
    </row>
    <row r="337">
      <c r="A337" s="87"/>
      <c r="B337" s="88"/>
      <c r="C337" s="18"/>
      <c r="D337" s="88"/>
      <c r="E337" s="88"/>
      <c r="F337" s="88"/>
      <c r="G337" s="18"/>
      <c r="H337" s="89"/>
      <c r="I337" s="89"/>
      <c r="J337" s="90"/>
    </row>
    <row r="338">
      <c r="A338" s="91"/>
      <c r="B338" s="59"/>
      <c r="C338" s="25"/>
      <c r="D338" s="59"/>
      <c r="E338" s="59"/>
      <c r="F338" s="59"/>
      <c r="G338" s="25"/>
      <c r="H338" s="92"/>
      <c r="I338" s="92"/>
      <c r="J338" s="93"/>
    </row>
    <row r="339">
      <c r="A339" s="87"/>
      <c r="B339" s="88"/>
      <c r="C339" s="18"/>
      <c r="D339" s="88"/>
      <c r="E339" s="88"/>
      <c r="F339" s="88"/>
      <c r="G339" s="18"/>
      <c r="H339" s="89"/>
      <c r="I339" s="89"/>
      <c r="J339" s="90"/>
    </row>
    <row r="340">
      <c r="A340" s="91"/>
      <c r="B340" s="59"/>
      <c r="C340" s="25"/>
      <c r="D340" s="59"/>
      <c r="E340" s="59"/>
      <c r="F340" s="59"/>
      <c r="G340" s="25"/>
      <c r="H340" s="92"/>
      <c r="I340" s="92"/>
      <c r="J340" s="93"/>
    </row>
    <row r="341">
      <c r="A341" s="87"/>
      <c r="B341" s="88"/>
      <c r="C341" s="18"/>
      <c r="D341" s="88"/>
      <c r="E341" s="88"/>
      <c r="F341" s="88"/>
      <c r="G341" s="18"/>
      <c r="H341" s="89"/>
      <c r="I341" s="89"/>
      <c r="J341" s="90"/>
    </row>
    <row r="342">
      <c r="A342" s="91"/>
      <c r="B342" s="59"/>
      <c r="C342" s="25"/>
      <c r="D342" s="59"/>
      <c r="E342" s="59"/>
      <c r="F342" s="59"/>
      <c r="G342" s="25"/>
      <c r="H342" s="92"/>
      <c r="I342" s="92"/>
      <c r="J342" s="93"/>
    </row>
    <row r="343">
      <c r="A343" s="87"/>
      <c r="B343" s="88"/>
      <c r="C343" s="18"/>
      <c r="D343" s="88"/>
      <c r="E343" s="88"/>
      <c r="F343" s="88"/>
      <c r="G343" s="18"/>
      <c r="H343" s="89"/>
      <c r="I343" s="89"/>
      <c r="J343" s="90"/>
    </row>
    <row r="344">
      <c r="A344" s="91"/>
      <c r="B344" s="59"/>
      <c r="C344" s="25"/>
      <c r="D344" s="59"/>
      <c r="E344" s="59"/>
      <c r="F344" s="59"/>
      <c r="G344" s="25"/>
      <c r="H344" s="92"/>
      <c r="I344" s="92"/>
      <c r="J344" s="93"/>
    </row>
    <row r="345">
      <c r="A345" s="87"/>
      <c r="B345" s="88"/>
      <c r="C345" s="18"/>
      <c r="D345" s="88"/>
      <c r="E345" s="88"/>
      <c r="F345" s="88"/>
      <c r="G345" s="18"/>
      <c r="H345" s="89"/>
      <c r="I345" s="89"/>
      <c r="J345" s="90"/>
    </row>
    <row r="346">
      <c r="A346" s="91"/>
      <c r="B346" s="59"/>
      <c r="C346" s="25"/>
      <c r="D346" s="59"/>
      <c r="E346" s="59"/>
      <c r="F346" s="59"/>
      <c r="G346" s="25"/>
      <c r="H346" s="92"/>
      <c r="I346" s="92"/>
      <c r="J346" s="93"/>
    </row>
    <row r="347">
      <c r="A347" s="87"/>
      <c r="B347" s="88"/>
      <c r="C347" s="18"/>
      <c r="D347" s="88"/>
      <c r="E347" s="88"/>
      <c r="F347" s="88"/>
      <c r="G347" s="18"/>
      <c r="H347" s="89"/>
      <c r="I347" s="89"/>
      <c r="J347" s="90"/>
    </row>
    <row r="348">
      <c r="A348" s="91"/>
      <c r="B348" s="59"/>
      <c r="C348" s="25"/>
      <c r="D348" s="59"/>
      <c r="E348" s="59"/>
      <c r="F348" s="59"/>
      <c r="G348" s="25"/>
      <c r="H348" s="92"/>
      <c r="I348" s="92"/>
      <c r="J348" s="93"/>
    </row>
    <row r="349">
      <c r="A349" s="87"/>
      <c r="B349" s="88"/>
      <c r="C349" s="18"/>
      <c r="D349" s="88"/>
      <c r="E349" s="88"/>
      <c r="F349" s="88"/>
      <c r="G349" s="18"/>
      <c r="H349" s="89"/>
      <c r="I349" s="89"/>
      <c r="J349" s="90"/>
    </row>
    <row r="350">
      <c r="A350" s="91"/>
      <c r="B350" s="59"/>
      <c r="C350" s="25"/>
      <c r="D350" s="59"/>
      <c r="E350" s="59"/>
      <c r="F350" s="59"/>
      <c r="G350" s="25"/>
      <c r="H350" s="92"/>
      <c r="I350" s="92"/>
      <c r="J350" s="93"/>
    </row>
    <row r="351">
      <c r="A351" s="87"/>
      <c r="B351" s="88"/>
      <c r="C351" s="18"/>
      <c r="D351" s="88"/>
      <c r="E351" s="88"/>
      <c r="F351" s="88"/>
      <c r="G351" s="18"/>
      <c r="H351" s="89"/>
      <c r="I351" s="89"/>
      <c r="J351" s="90"/>
    </row>
    <row r="352">
      <c r="A352" s="91"/>
      <c r="B352" s="59"/>
      <c r="C352" s="25"/>
      <c r="D352" s="59"/>
      <c r="E352" s="59"/>
      <c r="F352" s="59"/>
      <c r="G352" s="25"/>
      <c r="H352" s="92"/>
      <c r="I352" s="92"/>
      <c r="J352" s="93"/>
    </row>
    <row r="353">
      <c r="A353" s="87"/>
      <c r="B353" s="88"/>
      <c r="C353" s="18"/>
      <c r="D353" s="88"/>
      <c r="E353" s="88"/>
      <c r="F353" s="88"/>
      <c r="G353" s="18"/>
      <c r="H353" s="89"/>
      <c r="I353" s="89"/>
      <c r="J353" s="90"/>
    </row>
    <row r="354">
      <c r="A354" s="91"/>
      <c r="B354" s="59"/>
      <c r="C354" s="25"/>
      <c r="D354" s="59"/>
      <c r="E354" s="59"/>
      <c r="F354" s="59"/>
      <c r="G354" s="25"/>
      <c r="H354" s="92"/>
      <c r="I354" s="92"/>
      <c r="J354" s="93"/>
    </row>
    <row r="355">
      <c r="A355" s="87"/>
      <c r="B355" s="88"/>
      <c r="C355" s="18"/>
      <c r="D355" s="88"/>
      <c r="E355" s="88"/>
      <c r="F355" s="88"/>
      <c r="G355" s="18"/>
      <c r="H355" s="89"/>
      <c r="I355" s="89"/>
      <c r="J355" s="90"/>
    </row>
    <row r="356">
      <c r="A356" s="91"/>
      <c r="B356" s="59"/>
      <c r="C356" s="25"/>
      <c r="D356" s="59"/>
      <c r="E356" s="59"/>
      <c r="F356" s="59"/>
      <c r="G356" s="25"/>
      <c r="H356" s="92"/>
      <c r="I356" s="92"/>
      <c r="J356" s="93"/>
    </row>
    <row r="357">
      <c r="A357" s="87"/>
      <c r="B357" s="88"/>
      <c r="C357" s="18"/>
      <c r="D357" s="88"/>
      <c r="E357" s="88"/>
      <c r="F357" s="88"/>
      <c r="G357" s="18"/>
      <c r="H357" s="89"/>
      <c r="I357" s="89"/>
      <c r="J357" s="90"/>
    </row>
    <row r="358">
      <c r="A358" s="91"/>
      <c r="B358" s="59"/>
      <c r="C358" s="25"/>
      <c r="D358" s="59"/>
      <c r="E358" s="59"/>
      <c r="F358" s="59"/>
      <c r="G358" s="25"/>
      <c r="H358" s="92"/>
      <c r="I358" s="92"/>
      <c r="J358" s="93"/>
    </row>
    <row r="359">
      <c r="A359" s="87"/>
      <c r="B359" s="88"/>
      <c r="C359" s="18"/>
      <c r="D359" s="88"/>
      <c r="E359" s="88"/>
      <c r="F359" s="88"/>
      <c r="G359" s="18"/>
      <c r="H359" s="89"/>
      <c r="I359" s="89"/>
      <c r="J359" s="90"/>
    </row>
    <row r="360">
      <c r="A360" s="91"/>
      <c r="B360" s="59"/>
      <c r="C360" s="25"/>
      <c r="D360" s="59"/>
      <c r="E360" s="59"/>
      <c r="F360" s="59"/>
      <c r="G360" s="25"/>
      <c r="H360" s="92"/>
      <c r="I360" s="92"/>
      <c r="J360" s="93"/>
    </row>
    <row r="361">
      <c r="A361" s="87"/>
      <c r="B361" s="88"/>
      <c r="C361" s="18"/>
      <c r="D361" s="88"/>
      <c r="E361" s="88"/>
      <c r="F361" s="88"/>
      <c r="G361" s="18"/>
      <c r="H361" s="89"/>
      <c r="I361" s="89"/>
      <c r="J361" s="90"/>
    </row>
    <row r="362">
      <c r="A362" s="91"/>
      <c r="B362" s="59"/>
      <c r="C362" s="25"/>
      <c r="D362" s="59"/>
      <c r="E362" s="59"/>
      <c r="F362" s="59"/>
      <c r="G362" s="25"/>
      <c r="H362" s="92"/>
      <c r="I362" s="92"/>
      <c r="J362" s="93"/>
    </row>
    <row r="363">
      <c r="A363" s="87"/>
      <c r="B363" s="88"/>
      <c r="C363" s="18"/>
      <c r="D363" s="88"/>
      <c r="E363" s="88"/>
      <c r="F363" s="88"/>
      <c r="G363" s="18"/>
      <c r="H363" s="89"/>
      <c r="I363" s="89"/>
      <c r="J363" s="90"/>
    </row>
    <row r="364">
      <c r="A364" s="91"/>
      <c r="B364" s="59"/>
      <c r="C364" s="25"/>
      <c r="D364" s="59"/>
      <c r="E364" s="59"/>
      <c r="F364" s="59"/>
      <c r="G364" s="25"/>
      <c r="H364" s="92"/>
      <c r="I364" s="92"/>
      <c r="J364" s="93"/>
    </row>
    <row r="365">
      <c r="A365" s="87"/>
      <c r="B365" s="88"/>
      <c r="C365" s="18"/>
      <c r="D365" s="88"/>
      <c r="E365" s="88"/>
      <c r="F365" s="88"/>
      <c r="G365" s="18"/>
      <c r="H365" s="89"/>
      <c r="I365" s="89"/>
      <c r="J365" s="90"/>
    </row>
    <row r="366">
      <c r="A366" s="91"/>
      <c r="B366" s="59"/>
      <c r="C366" s="25"/>
      <c r="D366" s="59"/>
      <c r="E366" s="59"/>
      <c r="F366" s="59"/>
      <c r="G366" s="25"/>
      <c r="H366" s="92"/>
      <c r="I366" s="92"/>
      <c r="J366" s="93"/>
    </row>
    <row r="367">
      <c r="A367" s="87"/>
      <c r="B367" s="88"/>
      <c r="C367" s="18"/>
      <c r="D367" s="88"/>
      <c r="E367" s="88"/>
      <c r="F367" s="88"/>
      <c r="G367" s="18"/>
      <c r="H367" s="89"/>
      <c r="I367" s="89"/>
      <c r="J367" s="90"/>
    </row>
    <row r="368">
      <c r="A368" s="91"/>
      <c r="B368" s="59"/>
      <c r="C368" s="25"/>
      <c r="D368" s="59"/>
      <c r="E368" s="59"/>
      <c r="F368" s="59"/>
      <c r="G368" s="25"/>
      <c r="H368" s="92"/>
      <c r="I368" s="92"/>
      <c r="J368" s="93"/>
    </row>
    <row r="369">
      <c r="A369" s="87"/>
      <c r="B369" s="88"/>
      <c r="C369" s="18"/>
      <c r="D369" s="88"/>
      <c r="E369" s="88"/>
      <c r="F369" s="88"/>
      <c r="G369" s="18"/>
      <c r="H369" s="89"/>
      <c r="I369" s="89"/>
      <c r="J369" s="90"/>
    </row>
    <row r="370">
      <c r="A370" s="91"/>
      <c r="B370" s="59"/>
      <c r="C370" s="25"/>
      <c r="D370" s="59"/>
      <c r="E370" s="59"/>
      <c r="F370" s="59"/>
      <c r="G370" s="25"/>
      <c r="H370" s="92"/>
      <c r="I370" s="92"/>
      <c r="J370" s="93"/>
    </row>
    <row r="371">
      <c r="A371" s="87"/>
      <c r="B371" s="88"/>
      <c r="C371" s="18"/>
      <c r="D371" s="88"/>
      <c r="E371" s="88"/>
      <c r="F371" s="88"/>
      <c r="G371" s="18"/>
      <c r="H371" s="89"/>
      <c r="I371" s="89"/>
      <c r="J371" s="90"/>
    </row>
    <row r="372">
      <c r="A372" s="91"/>
      <c r="B372" s="59"/>
      <c r="C372" s="25"/>
      <c r="D372" s="59"/>
      <c r="E372" s="59"/>
      <c r="F372" s="59"/>
      <c r="G372" s="25"/>
      <c r="H372" s="92"/>
      <c r="I372" s="92"/>
      <c r="J372" s="93"/>
    </row>
    <row r="373">
      <c r="A373" s="87"/>
      <c r="B373" s="88"/>
      <c r="C373" s="18"/>
      <c r="D373" s="88"/>
      <c r="E373" s="88"/>
      <c r="F373" s="88"/>
      <c r="G373" s="18"/>
      <c r="H373" s="89"/>
      <c r="I373" s="89"/>
      <c r="J373" s="90"/>
    </row>
    <row r="374">
      <c r="A374" s="91"/>
      <c r="B374" s="59"/>
      <c r="C374" s="25"/>
      <c r="D374" s="59"/>
      <c r="E374" s="59"/>
      <c r="F374" s="59"/>
      <c r="G374" s="25"/>
      <c r="H374" s="92"/>
      <c r="I374" s="92"/>
      <c r="J374" s="93"/>
    </row>
    <row r="375">
      <c r="A375" s="87"/>
      <c r="B375" s="88"/>
      <c r="C375" s="18"/>
      <c r="D375" s="88"/>
      <c r="E375" s="88"/>
      <c r="F375" s="88"/>
      <c r="G375" s="18"/>
      <c r="H375" s="89"/>
      <c r="I375" s="89"/>
      <c r="J375" s="90"/>
    </row>
    <row r="376">
      <c r="A376" s="91"/>
      <c r="B376" s="59"/>
      <c r="C376" s="25"/>
      <c r="D376" s="59"/>
      <c r="E376" s="59"/>
      <c r="F376" s="59"/>
      <c r="G376" s="25"/>
      <c r="H376" s="92"/>
      <c r="I376" s="92"/>
      <c r="J376" s="93"/>
    </row>
    <row r="377">
      <c r="A377" s="87"/>
      <c r="B377" s="88"/>
      <c r="C377" s="18"/>
      <c r="D377" s="88"/>
      <c r="E377" s="88"/>
      <c r="F377" s="88"/>
      <c r="G377" s="18"/>
      <c r="H377" s="89"/>
      <c r="I377" s="89"/>
      <c r="J377" s="90"/>
    </row>
    <row r="378">
      <c r="A378" s="91"/>
      <c r="B378" s="59"/>
      <c r="C378" s="25"/>
      <c r="D378" s="59"/>
      <c r="E378" s="59"/>
      <c r="F378" s="59"/>
      <c r="G378" s="25"/>
      <c r="H378" s="92"/>
      <c r="I378" s="92"/>
      <c r="J378" s="93"/>
    </row>
    <row r="379">
      <c r="A379" s="87"/>
      <c r="B379" s="88"/>
      <c r="C379" s="18"/>
      <c r="D379" s="88"/>
      <c r="E379" s="88"/>
      <c r="F379" s="88"/>
      <c r="G379" s="18"/>
      <c r="H379" s="89"/>
      <c r="I379" s="89"/>
      <c r="J379" s="90"/>
    </row>
    <row r="380">
      <c r="A380" s="91"/>
      <c r="B380" s="59"/>
      <c r="C380" s="25"/>
      <c r="D380" s="59"/>
      <c r="E380" s="59"/>
      <c r="F380" s="59"/>
      <c r="G380" s="25"/>
      <c r="H380" s="92"/>
      <c r="I380" s="92"/>
      <c r="J380" s="93"/>
    </row>
    <row r="381">
      <c r="A381" s="87"/>
      <c r="B381" s="88"/>
      <c r="C381" s="18"/>
      <c r="D381" s="88"/>
      <c r="E381" s="88"/>
      <c r="F381" s="88"/>
      <c r="G381" s="18"/>
      <c r="H381" s="89"/>
      <c r="I381" s="89"/>
      <c r="J381" s="90"/>
    </row>
    <row r="382">
      <c r="A382" s="91"/>
      <c r="B382" s="59"/>
      <c r="C382" s="25"/>
      <c r="D382" s="59"/>
      <c r="E382" s="59"/>
      <c r="F382" s="59"/>
      <c r="G382" s="25"/>
      <c r="H382" s="92"/>
      <c r="I382" s="92"/>
      <c r="J382" s="93"/>
    </row>
    <row r="383">
      <c r="A383" s="87"/>
      <c r="B383" s="88"/>
      <c r="C383" s="18"/>
      <c r="D383" s="88"/>
      <c r="E383" s="88"/>
      <c r="F383" s="88"/>
      <c r="G383" s="18"/>
      <c r="H383" s="89"/>
      <c r="I383" s="89"/>
      <c r="J383" s="90"/>
    </row>
    <row r="384">
      <c r="A384" s="91"/>
      <c r="B384" s="59"/>
      <c r="C384" s="25"/>
      <c r="D384" s="59"/>
      <c r="E384" s="59"/>
      <c r="F384" s="59"/>
      <c r="G384" s="25"/>
      <c r="H384" s="92"/>
      <c r="I384" s="92"/>
      <c r="J384" s="93"/>
    </row>
    <row r="385">
      <c r="A385" s="87"/>
      <c r="B385" s="88"/>
      <c r="C385" s="18"/>
      <c r="D385" s="88"/>
      <c r="E385" s="88"/>
      <c r="F385" s="88"/>
      <c r="G385" s="18"/>
      <c r="H385" s="89"/>
      <c r="I385" s="89"/>
      <c r="J385" s="90"/>
    </row>
    <row r="386">
      <c r="A386" s="91"/>
      <c r="B386" s="59"/>
      <c r="C386" s="25"/>
      <c r="D386" s="59"/>
      <c r="E386" s="59"/>
      <c r="F386" s="59"/>
      <c r="G386" s="25"/>
      <c r="H386" s="92"/>
      <c r="I386" s="92"/>
      <c r="J386" s="93"/>
    </row>
    <row r="387">
      <c r="A387" s="87"/>
      <c r="B387" s="88"/>
      <c r="C387" s="18"/>
      <c r="D387" s="88"/>
      <c r="E387" s="88"/>
      <c r="F387" s="88"/>
      <c r="G387" s="18"/>
      <c r="H387" s="89"/>
      <c r="I387" s="89"/>
      <c r="J387" s="90"/>
    </row>
    <row r="388">
      <c r="A388" s="91"/>
      <c r="B388" s="59"/>
      <c r="C388" s="25"/>
      <c r="D388" s="59"/>
      <c r="E388" s="59"/>
      <c r="F388" s="59"/>
      <c r="G388" s="25"/>
      <c r="H388" s="92"/>
      <c r="I388" s="92"/>
      <c r="J388" s="93"/>
    </row>
    <row r="389">
      <c r="A389" s="87"/>
      <c r="B389" s="88"/>
      <c r="C389" s="18"/>
      <c r="D389" s="88"/>
      <c r="E389" s="88"/>
      <c r="F389" s="88"/>
      <c r="G389" s="18"/>
      <c r="H389" s="89"/>
      <c r="I389" s="89"/>
      <c r="J389" s="90"/>
    </row>
    <row r="390">
      <c r="A390" s="91"/>
      <c r="B390" s="59"/>
      <c r="C390" s="25"/>
      <c r="D390" s="59"/>
      <c r="E390" s="59"/>
      <c r="F390" s="59"/>
      <c r="G390" s="25"/>
      <c r="H390" s="92"/>
      <c r="I390" s="92"/>
      <c r="J390" s="93"/>
    </row>
    <row r="391">
      <c r="A391" s="87"/>
      <c r="B391" s="88"/>
      <c r="C391" s="18"/>
      <c r="D391" s="88"/>
      <c r="E391" s="88"/>
      <c r="F391" s="88"/>
      <c r="G391" s="18"/>
      <c r="H391" s="89"/>
      <c r="I391" s="89"/>
      <c r="J391" s="90"/>
    </row>
    <row r="392">
      <c r="A392" s="91"/>
      <c r="B392" s="59"/>
      <c r="C392" s="25"/>
      <c r="D392" s="59"/>
      <c r="E392" s="59"/>
      <c r="F392" s="59"/>
      <c r="G392" s="25"/>
      <c r="H392" s="92"/>
      <c r="I392" s="92"/>
      <c r="J392" s="93"/>
    </row>
    <row r="393">
      <c r="A393" s="87"/>
      <c r="B393" s="88"/>
      <c r="C393" s="18"/>
      <c r="D393" s="88"/>
      <c r="E393" s="88"/>
      <c r="F393" s="88"/>
      <c r="G393" s="18"/>
      <c r="H393" s="89"/>
      <c r="I393" s="89"/>
      <c r="J393" s="90"/>
    </row>
    <row r="394">
      <c r="A394" s="91"/>
      <c r="B394" s="59"/>
      <c r="C394" s="25"/>
      <c r="D394" s="59"/>
      <c r="E394" s="59"/>
      <c r="F394" s="59"/>
      <c r="G394" s="25"/>
      <c r="H394" s="92"/>
      <c r="I394" s="92"/>
      <c r="J394" s="93"/>
    </row>
    <row r="395">
      <c r="A395" s="87"/>
      <c r="B395" s="88"/>
      <c r="C395" s="18"/>
      <c r="D395" s="88"/>
      <c r="E395" s="88"/>
      <c r="F395" s="88"/>
      <c r="G395" s="18"/>
      <c r="H395" s="89"/>
      <c r="I395" s="89"/>
      <c r="J395" s="90"/>
    </row>
    <row r="396">
      <c r="A396" s="91"/>
      <c r="B396" s="59"/>
      <c r="C396" s="25"/>
      <c r="D396" s="59"/>
      <c r="E396" s="59"/>
      <c r="F396" s="59"/>
      <c r="G396" s="25"/>
      <c r="H396" s="92"/>
      <c r="I396" s="92"/>
      <c r="J396" s="93"/>
    </row>
    <row r="397">
      <c r="A397" s="87"/>
      <c r="B397" s="88"/>
      <c r="C397" s="18"/>
      <c r="D397" s="88"/>
      <c r="E397" s="88"/>
      <c r="F397" s="88"/>
      <c r="G397" s="18"/>
      <c r="H397" s="89"/>
      <c r="I397" s="89"/>
      <c r="J397" s="90"/>
    </row>
    <row r="398">
      <c r="A398" s="91"/>
      <c r="B398" s="59"/>
      <c r="C398" s="25"/>
      <c r="D398" s="59"/>
      <c r="E398" s="59"/>
      <c r="F398" s="59"/>
      <c r="G398" s="25"/>
      <c r="H398" s="92"/>
      <c r="I398" s="92"/>
      <c r="J398" s="93"/>
    </row>
    <row r="399">
      <c r="A399" s="87"/>
      <c r="B399" s="88"/>
      <c r="C399" s="18"/>
      <c r="D399" s="88"/>
      <c r="E399" s="88"/>
      <c r="F399" s="88"/>
      <c r="G399" s="18"/>
      <c r="H399" s="89"/>
      <c r="I399" s="89"/>
      <c r="J399" s="90"/>
    </row>
    <row r="400">
      <c r="A400" s="91"/>
      <c r="B400" s="59"/>
      <c r="C400" s="25"/>
      <c r="D400" s="59"/>
      <c r="E400" s="59"/>
      <c r="F400" s="59"/>
      <c r="G400" s="25"/>
      <c r="H400" s="92"/>
      <c r="I400" s="92"/>
      <c r="J400" s="93"/>
    </row>
    <row r="401">
      <c r="A401" s="87"/>
      <c r="B401" s="88"/>
      <c r="C401" s="18"/>
      <c r="D401" s="88"/>
      <c r="E401" s="88"/>
      <c r="F401" s="88"/>
      <c r="G401" s="18"/>
      <c r="H401" s="89"/>
      <c r="I401" s="89"/>
      <c r="J401" s="90"/>
    </row>
    <row r="402">
      <c r="A402" s="91"/>
      <c r="B402" s="59"/>
      <c r="C402" s="25"/>
      <c r="D402" s="59"/>
      <c r="E402" s="59"/>
      <c r="F402" s="59"/>
      <c r="G402" s="25"/>
      <c r="H402" s="92"/>
      <c r="I402" s="92"/>
      <c r="J402" s="93"/>
    </row>
    <row r="403">
      <c r="A403" s="87"/>
      <c r="B403" s="88"/>
      <c r="C403" s="18"/>
      <c r="D403" s="88"/>
      <c r="E403" s="88"/>
      <c r="F403" s="88"/>
      <c r="G403" s="18"/>
      <c r="H403" s="89"/>
      <c r="I403" s="89"/>
      <c r="J403" s="90"/>
    </row>
    <row r="404">
      <c r="A404" s="91"/>
      <c r="B404" s="59"/>
      <c r="C404" s="25"/>
      <c r="D404" s="59"/>
      <c r="E404" s="59"/>
      <c r="F404" s="59"/>
      <c r="G404" s="25"/>
      <c r="H404" s="92"/>
      <c r="I404" s="92"/>
      <c r="J404" s="93"/>
    </row>
    <row r="405">
      <c r="A405" s="87"/>
      <c r="B405" s="88"/>
      <c r="C405" s="18"/>
      <c r="D405" s="88"/>
      <c r="E405" s="88"/>
      <c r="F405" s="88"/>
      <c r="G405" s="18"/>
      <c r="H405" s="89"/>
      <c r="I405" s="89"/>
      <c r="J405" s="90"/>
    </row>
    <row r="406">
      <c r="A406" s="91"/>
      <c r="B406" s="59"/>
      <c r="C406" s="25"/>
      <c r="D406" s="59"/>
      <c r="E406" s="59"/>
      <c r="F406" s="59"/>
      <c r="G406" s="25"/>
      <c r="H406" s="92"/>
      <c r="I406" s="92"/>
      <c r="J406" s="93"/>
    </row>
    <row r="407">
      <c r="A407" s="87"/>
      <c r="B407" s="88"/>
      <c r="C407" s="18"/>
      <c r="D407" s="88"/>
      <c r="E407" s="88"/>
      <c r="F407" s="88"/>
      <c r="G407" s="18"/>
      <c r="H407" s="89"/>
      <c r="I407" s="89"/>
      <c r="J407" s="90"/>
    </row>
    <row r="408">
      <c r="A408" s="91"/>
      <c r="B408" s="59"/>
      <c r="C408" s="25"/>
      <c r="D408" s="59"/>
      <c r="E408" s="59"/>
      <c r="F408" s="59"/>
      <c r="G408" s="25"/>
      <c r="H408" s="92"/>
      <c r="I408" s="92"/>
      <c r="J408" s="93"/>
    </row>
    <row r="409">
      <c r="A409" s="87"/>
      <c r="B409" s="88"/>
      <c r="C409" s="18"/>
      <c r="D409" s="88"/>
      <c r="E409" s="88"/>
      <c r="F409" s="88"/>
      <c r="G409" s="18"/>
      <c r="H409" s="89"/>
      <c r="I409" s="89"/>
      <c r="J409" s="90"/>
    </row>
    <row r="410">
      <c r="A410" s="91"/>
      <c r="B410" s="59"/>
      <c r="C410" s="25"/>
      <c r="D410" s="59"/>
      <c r="E410" s="59"/>
      <c r="F410" s="59"/>
      <c r="G410" s="25"/>
      <c r="H410" s="92"/>
      <c r="I410" s="92"/>
      <c r="J410" s="93"/>
    </row>
    <row r="411">
      <c r="A411" s="87"/>
      <c r="B411" s="88"/>
      <c r="C411" s="18"/>
      <c r="D411" s="88"/>
      <c r="E411" s="88"/>
      <c r="F411" s="88"/>
      <c r="G411" s="18"/>
      <c r="H411" s="89"/>
      <c r="I411" s="89"/>
      <c r="J411" s="90"/>
    </row>
    <row r="412">
      <c r="A412" s="91"/>
      <c r="B412" s="59"/>
      <c r="C412" s="25"/>
      <c r="D412" s="59"/>
      <c r="E412" s="59"/>
      <c r="F412" s="59"/>
      <c r="G412" s="25"/>
      <c r="H412" s="92"/>
      <c r="I412" s="92"/>
      <c r="J412" s="93"/>
    </row>
    <row r="413">
      <c r="A413" s="87"/>
      <c r="B413" s="88"/>
      <c r="C413" s="18"/>
      <c r="D413" s="88"/>
      <c r="E413" s="88"/>
      <c r="F413" s="88"/>
      <c r="G413" s="18"/>
      <c r="H413" s="89"/>
      <c r="I413" s="89"/>
      <c r="J413" s="90"/>
    </row>
    <row r="414">
      <c r="A414" s="91"/>
      <c r="B414" s="59"/>
      <c r="C414" s="25"/>
      <c r="D414" s="59"/>
      <c r="E414" s="59"/>
      <c r="F414" s="59"/>
      <c r="G414" s="25"/>
      <c r="H414" s="92"/>
      <c r="I414" s="92"/>
      <c r="J414" s="93"/>
    </row>
    <row r="415">
      <c r="A415" s="87"/>
      <c r="B415" s="88"/>
      <c r="C415" s="18"/>
      <c r="D415" s="88"/>
      <c r="E415" s="88"/>
      <c r="F415" s="88"/>
      <c r="G415" s="18"/>
      <c r="H415" s="89"/>
      <c r="I415" s="89"/>
      <c r="J415" s="90"/>
    </row>
    <row r="416">
      <c r="A416" s="91"/>
      <c r="B416" s="59"/>
      <c r="C416" s="25"/>
      <c r="D416" s="59"/>
      <c r="E416" s="59"/>
      <c r="F416" s="59"/>
      <c r="G416" s="25"/>
      <c r="H416" s="92"/>
      <c r="I416" s="92"/>
      <c r="J416" s="93"/>
    </row>
    <row r="417">
      <c r="A417" s="87"/>
      <c r="B417" s="88"/>
      <c r="C417" s="18"/>
      <c r="D417" s="88"/>
      <c r="E417" s="88"/>
      <c r="F417" s="88"/>
      <c r="G417" s="18"/>
      <c r="H417" s="89"/>
      <c r="I417" s="89"/>
      <c r="J417" s="90"/>
    </row>
    <row r="418">
      <c r="A418" s="91"/>
      <c r="B418" s="59"/>
      <c r="C418" s="25"/>
      <c r="D418" s="59"/>
      <c r="E418" s="59"/>
      <c r="F418" s="59"/>
      <c r="G418" s="25"/>
      <c r="H418" s="92"/>
      <c r="I418" s="92"/>
      <c r="J418" s="93"/>
    </row>
    <row r="419">
      <c r="A419" s="87"/>
      <c r="B419" s="88"/>
      <c r="C419" s="18"/>
      <c r="D419" s="88"/>
      <c r="E419" s="88"/>
      <c r="F419" s="88"/>
      <c r="G419" s="18"/>
      <c r="H419" s="89"/>
      <c r="I419" s="89"/>
      <c r="J419" s="90"/>
    </row>
    <row r="420">
      <c r="A420" s="91"/>
      <c r="B420" s="59"/>
      <c r="C420" s="25"/>
      <c r="D420" s="59"/>
      <c r="E420" s="59"/>
      <c r="F420" s="59"/>
      <c r="G420" s="25"/>
      <c r="H420" s="92"/>
      <c r="I420" s="92"/>
      <c r="J420" s="93"/>
    </row>
    <row r="421">
      <c r="A421" s="87"/>
      <c r="B421" s="88"/>
      <c r="C421" s="18"/>
      <c r="D421" s="88"/>
      <c r="E421" s="88"/>
      <c r="F421" s="88"/>
      <c r="G421" s="18"/>
      <c r="H421" s="89"/>
      <c r="I421" s="89"/>
      <c r="J421" s="90"/>
    </row>
    <row r="422">
      <c r="A422" s="91"/>
      <c r="B422" s="59"/>
      <c r="C422" s="25"/>
      <c r="D422" s="59"/>
      <c r="E422" s="59"/>
      <c r="F422" s="59"/>
      <c r="G422" s="25"/>
      <c r="H422" s="92"/>
      <c r="I422" s="92"/>
      <c r="J422" s="93"/>
    </row>
    <row r="423">
      <c r="A423" s="87"/>
      <c r="B423" s="88"/>
      <c r="C423" s="18"/>
      <c r="D423" s="88"/>
      <c r="E423" s="88"/>
      <c r="F423" s="88"/>
      <c r="G423" s="18"/>
      <c r="H423" s="89"/>
      <c r="I423" s="89"/>
      <c r="J423" s="90"/>
    </row>
    <row r="424">
      <c r="A424" s="91"/>
      <c r="B424" s="59"/>
      <c r="C424" s="25"/>
      <c r="D424" s="59"/>
      <c r="E424" s="59"/>
      <c r="F424" s="59"/>
      <c r="G424" s="25"/>
      <c r="H424" s="92"/>
      <c r="I424" s="92"/>
      <c r="J424" s="93"/>
    </row>
    <row r="425">
      <c r="A425" s="87"/>
      <c r="B425" s="88"/>
      <c r="C425" s="18"/>
      <c r="D425" s="88"/>
      <c r="E425" s="88"/>
      <c r="F425" s="88"/>
      <c r="G425" s="18"/>
      <c r="H425" s="89"/>
      <c r="I425" s="89"/>
      <c r="J425" s="90"/>
    </row>
    <row r="426">
      <c r="A426" s="91"/>
      <c r="B426" s="59"/>
      <c r="C426" s="25"/>
      <c r="D426" s="59"/>
      <c r="E426" s="59"/>
      <c r="F426" s="59"/>
      <c r="G426" s="25"/>
      <c r="H426" s="92"/>
      <c r="I426" s="92"/>
      <c r="J426" s="93"/>
    </row>
    <row r="427">
      <c r="A427" s="87"/>
      <c r="B427" s="88"/>
      <c r="C427" s="18"/>
      <c r="D427" s="88"/>
      <c r="E427" s="88"/>
      <c r="F427" s="88"/>
      <c r="G427" s="18"/>
      <c r="H427" s="89"/>
      <c r="I427" s="89"/>
      <c r="J427" s="90"/>
    </row>
    <row r="428">
      <c r="A428" s="91"/>
      <c r="B428" s="59"/>
      <c r="C428" s="25"/>
      <c r="D428" s="59"/>
      <c r="E428" s="59"/>
      <c r="F428" s="59"/>
      <c r="G428" s="25"/>
      <c r="H428" s="92"/>
      <c r="I428" s="92"/>
      <c r="J428" s="93"/>
    </row>
    <row r="429">
      <c r="A429" s="87"/>
      <c r="B429" s="88"/>
      <c r="C429" s="18"/>
      <c r="D429" s="88"/>
      <c r="E429" s="88"/>
      <c r="F429" s="88"/>
      <c r="G429" s="18"/>
      <c r="H429" s="89"/>
      <c r="I429" s="89"/>
      <c r="J429" s="90"/>
    </row>
    <row r="430">
      <c r="A430" s="91"/>
      <c r="B430" s="59"/>
      <c r="C430" s="25"/>
      <c r="D430" s="59"/>
      <c r="E430" s="59"/>
      <c r="F430" s="59"/>
      <c r="G430" s="25"/>
      <c r="H430" s="92"/>
      <c r="I430" s="92"/>
      <c r="J430" s="93"/>
    </row>
    <row r="431">
      <c r="A431" s="87"/>
      <c r="B431" s="88"/>
      <c r="C431" s="18"/>
      <c r="D431" s="88"/>
      <c r="E431" s="88"/>
      <c r="F431" s="88"/>
      <c r="G431" s="18"/>
      <c r="H431" s="89"/>
      <c r="I431" s="89"/>
      <c r="J431" s="90"/>
    </row>
    <row r="432">
      <c r="A432" s="91"/>
      <c r="B432" s="59"/>
      <c r="C432" s="25"/>
      <c r="D432" s="59"/>
      <c r="E432" s="59"/>
      <c r="F432" s="59"/>
      <c r="G432" s="25"/>
      <c r="H432" s="92"/>
      <c r="I432" s="92"/>
      <c r="J432" s="93"/>
    </row>
    <row r="433">
      <c r="A433" s="87"/>
      <c r="B433" s="88"/>
      <c r="C433" s="18"/>
      <c r="D433" s="88"/>
      <c r="E433" s="88"/>
      <c r="F433" s="88"/>
      <c r="G433" s="18"/>
      <c r="H433" s="89"/>
      <c r="I433" s="89"/>
      <c r="J433" s="90"/>
    </row>
    <row r="434">
      <c r="A434" s="91"/>
      <c r="B434" s="59"/>
      <c r="C434" s="25"/>
      <c r="D434" s="59"/>
      <c r="E434" s="59"/>
      <c r="F434" s="59"/>
      <c r="G434" s="25"/>
      <c r="H434" s="92"/>
      <c r="I434" s="92"/>
      <c r="J434" s="93"/>
    </row>
    <row r="435">
      <c r="A435" s="87"/>
      <c r="B435" s="88"/>
      <c r="C435" s="18"/>
      <c r="D435" s="88"/>
      <c r="E435" s="88"/>
      <c r="F435" s="88"/>
      <c r="G435" s="18"/>
      <c r="H435" s="89"/>
      <c r="I435" s="89"/>
      <c r="J435" s="90"/>
    </row>
    <row r="436">
      <c r="A436" s="91"/>
      <c r="B436" s="59"/>
      <c r="C436" s="25"/>
      <c r="D436" s="59"/>
      <c r="E436" s="59"/>
      <c r="F436" s="59"/>
      <c r="G436" s="25"/>
      <c r="H436" s="92"/>
      <c r="I436" s="92"/>
      <c r="J436" s="93"/>
    </row>
    <row r="437">
      <c r="A437" s="87"/>
      <c r="B437" s="88"/>
      <c r="C437" s="18"/>
      <c r="D437" s="88"/>
      <c r="E437" s="88"/>
      <c r="F437" s="88"/>
      <c r="G437" s="18"/>
      <c r="H437" s="89"/>
      <c r="I437" s="89"/>
      <c r="J437" s="90"/>
    </row>
    <row r="438">
      <c r="A438" s="91"/>
      <c r="B438" s="59"/>
      <c r="C438" s="25"/>
      <c r="D438" s="59"/>
      <c r="E438" s="59"/>
      <c r="F438" s="59"/>
      <c r="G438" s="25"/>
      <c r="H438" s="92"/>
      <c r="I438" s="92"/>
      <c r="J438" s="93"/>
    </row>
    <row r="439">
      <c r="A439" s="87"/>
      <c r="B439" s="88"/>
      <c r="C439" s="18"/>
      <c r="D439" s="88"/>
      <c r="E439" s="88"/>
      <c r="F439" s="88"/>
      <c r="G439" s="18"/>
      <c r="H439" s="89"/>
      <c r="I439" s="89"/>
      <c r="J439" s="90"/>
    </row>
    <row r="440">
      <c r="A440" s="91"/>
      <c r="B440" s="59"/>
      <c r="C440" s="25"/>
      <c r="D440" s="59"/>
      <c r="E440" s="59"/>
      <c r="F440" s="59"/>
      <c r="G440" s="25"/>
      <c r="H440" s="92"/>
      <c r="I440" s="92"/>
      <c r="J440" s="93"/>
    </row>
    <row r="441">
      <c r="A441" s="87"/>
      <c r="B441" s="88"/>
      <c r="C441" s="18"/>
      <c r="D441" s="88"/>
      <c r="E441" s="88"/>
      <c r="F441" s="88"/>
      <c r="G441" s="18"/>
      <c r="H441" s="89"/>
      <c r="I441" s="89"/>
      <c r="J441" s="90"/>
    </row>
    <row r="442">
      <c r="A442" s="91"/>
      <c r="B442" s="59"/>
      <c r="C442" s="25"/>
      <c r="D442" s="59"/>
      <c r="E442" s="59"/>
      <c r="F442" s="59"/>
      <c r="G442" s="25"/>
      <c r="H442" s="92"/>
      <c r="I442" s="92"/>
      <c r="J442" s="93"/>
    </row>
    <row r="443">
      <c r="A443" s="87"/>
      <c r="B443" s="88"/>
      <c r="C443" s="18"/>
      <c r="D443" s="88"/>
      <c r="E443" s="88"/>
      <c r="F443" s="88"/>
      <c r="G443" s="18"/>
      <c r="H443" s="89"/>
      <c r="I443" s="89"/>
      <c r="J443" s="90"/>
    </row>
    <row r="444">
      <c r="A444" s="91"/>
      <c r="B444" s="59"/>
      <c r="C444" s="25"/>
      <c r="D444" s="59"/>
      <c r="E444" s="59"/>
      <c r="F444" s="59"/>
      <c r="G444" s="25"/>
      <c r="H444" s="92"/>
      <c r="I444" s="92"/>
      <c r="J444" s="93"/>
    </row>
    <row r="445">
      <c r="A445" s="87"/>
      <c r="B445" s="88"/>
      <c r="C445" s="18"/>
      <c r="D445" s="88"/>
      <c r="E445" s="88"/>
      <c r="F445" s="88"/>
      <c r="G445" s="18"/>
      <c r="H445" s="89"/>
      <c r="I445" s="89"/>
      <c r="J445" s="90"/>
    </row>
    <row r="446">
      <c r="A446" s="91"/>
      <c r="B446" s="59"/>
      <c r="C446" s="25"/>
      <c r="D446" s="59"/>
      <c r="E446" s="59"/>
      <c r="F446" s="59"/>
      <c r="G446" s="25"/>
      <c r="H446" s="92"/>
      <c r="I446" s="92"/>
      <c r="J446" s="93"/>
    </row>
    <row r="447">
      <c r="A447" s="87"/>
      <c r="B447" s="88"/>
      <c r="C447" s="18"/>
      <c r="D447" s="88"/>
      <c r="E447" s="88"/>
      <c r="F447" s="88"/>
      <c r="G447" s="18"/>
      <c r="H447" s="89"/>
      <c r="I447" s="89"/>
      <c r="J447" s="90"/>
    </row>
    <row r="448">
      <c r="A448" s="91"/>
      <c r="B448" s="59"/>
      <c r="C448" s="25"/>
      <c r="D448" s="59"/>
      <c r="E448" s="59"/>
      <c r="F448" s="59"/>
      <c r="G448" s="25"/>
      <c r="H448" s="92"/>
      <c r="I448" s="92"/>
      <c r="J448" s="93"/>
    </row>
    <row r="449">
      <c r="A449" s="87"/>
      <c r="B449" s="88"/>
      <c r="C449" s="18"/>
      <c r="D449" s="88"/>
      <c r="E449" s="88"/>
      <c r="F449" s="88"/>
      <c r="G449" s="18"/>
      <c r="H449" s="89"/>
      <c r="I449" s="89"/>
      <c r="J449" s="90"/>
    </row>
    <row r="450">
      <c r="A450" s="91"/>
      <c r="B450" s="59"/>
      <c r="C450" s="25"/>
      <c r="D450" s="59"/>
      <c r="E450" s="59"/>
      <c r="F450" s="59"/>
      <c r="G450" s="25"/>
      <c r="H450" s="92"/>
      <c r="I450" s="92"/>
      <c r="J450" s="93"/>
    </row>
    <row r="451">
      <c r="A451" s="87"/>
      <c r="B451" s="88"/>
      <c r="C451" s="18"/>
      <c r="D451" s="88"/>
      <c r="E451" s="88"/>
      <c r="F451" s="88"/>
      <c r="G451" s="18"/>
      <c r="H451" s="89"/>
      <c r="I451" s="89"/>
      <c r="J451" s="90"/>
    </row>
    <row r="452">
      <c r="A452" s="91"/>
      <c r="B452" s="59"/>
      <c r="C452" s="25"/>
      <c r="D452" s="59"/>
      <c r="E452" s="59"/>
      <c r="F452" s="59"/>
      <c r="G452" s="25"/>
      <c r="H452" s="92"/>
      <c r="I452" s="92"/>
      <c r="J452" s="93"/>
    </row>
    <row r="453">
      <c r="A453" s="87"/>
      <c r="B453" s="88"/>
      <c r="C453" s="18"/>
      <c r="D453" s="88"/>
      <c r="E453" s="88"/>
      <c r="F453" s="88"/>
      <c r="G453" s="18"/>
      <c r="H453" s="89"/>
      <c r="I453" s="89"/>
      <c r="J453" s="90"/>
    </row>
    <row r="454">
      <c r="A454" s="91"/>
      <c r="B454" s="59"/>
      <c r="C454" s="25"/>
      <c r="D454" s="59"/>
      <c r="E454" s="59"/>
      <c r="F454" s="59"/>
      <c r="G454" s="25"/>
      <c r="H454" s="92"/>
      <c r="I454" s="92"/>
      <c r="J454" s="93"/>
    </row>
    <row r="455">
      <c r="A455" s="87"/>
      <c r="B455" s="88"/>
      <c r="C455" s="18"/>
      <c r="D455" s="88"/>
      <c r="E455" s="88"/>
      <c r="F455" s="88"/>
      <c r="G455" s="18"/>
      <c r="H455" s="89"/>
      <c r="I455" s="89"/>
      <c r="J455" s="90"/>
    </row>
    <row r="456">
      <c r="A456" s="91"/>
      <c r="B456" s="59"/>
      <c r="C456" s="25"/>
      <c r="D456" s="59"/>
      <c r="E456" s="59"/>
      <c r="F456" s="59"/>
      <c r="G456" s="25"/>
      <c r="H456" s="92"/>
      <c r="I456" s="92"/>
      <c r="J456" s="93"/>
    </row>
    <row r="457">
      <c r="A457" s="87"/>
      <c r="B457" s="88"/>
      <c r="C457" s="18"/>
      <c r="D457" s="88"/>
      <c r="E457" s="88"/>
      <c r="F457" s="88"/>
      <c r="G457" s="18"/>
      <c r="H457" s="89"/>
      <c r="I457" s="89"/>
      <c r="J457" s="90"/>
    </row>
    <row r="458">
      <c r="A458" s="91"/>
      <c r="B458" s="59"/>
      <c r="C458" s="25"/>
      <c r="D458" s="59"/>
      <c r="E458" s="59"/>
      <c r="F458" s="59"/>
      <c r="G458" s="25"/>
      <c r="H458" s="92"/>
      <c r="I458" s="92"/>
      <c r="J458" s="93"/>
    </row>
    <row r="459">
      <c r="A459" s="87"/>
      <c r="B459" s="88"/>
      <c r="C459" s="18"/>
      <c r="D459" s="88"/>
      <c r="E459" s="88"/>
      <c r="F459" s="88"/>
      <c r="G459" s="18"/>
      <c r="H459" s="89"/>
      <c r="I459" s="89"/>
      <c r="J459" s="90"/>
    </row>
    <row r="460">
      <c r="A460" s="91"/>
      <c r="B460" s="59"/>
      <c r="C460" s="25"/>
      <c r="D460" s="59"/>
      <c r="E460" s="59"/>
      <c r="F460" s="59"/>
      <c r="G460" s="25"/>
      <c r="H460" s="92"/>
      <c r="I460" s="92"/>
      <c r="J460" s="93"/>
    </row>
    <row r="461">
      <c r="A461" s="87"/>
      <c r="B461" s="88"/>
      <c r="C461" s="18"/>
      <c r="D461" s="88"/>
      <c r="E461" s="88"/>
      <c r="F461" s="88"/>
      <c r="G461" s="18"/>
      <c r="H461" s="89"/>
      <c r="I461" s="89"/>
      <c r="J461" s="90"/>
    </row>
    <row r="462">
      <c r="A462" s="91"/>
      <c r="B462" s="59"/>
      <c r="C462" s="25"/>
      <c r="D462" s="59"/>
      <c r="E462" s="59"/>
      <c r="F462" s="59"/>
      <c r="G462" s="25"/>
      <c r="H462" s="92"/>
      <c r="I462" s="92"/>
      <c r="J462" s="93"/>
    </row>
    <row r="463">
      <c r="A463" s="87"/>
      <c r="B463" s="88"/>
      <c r="C463" s="18"/>
      <c r="D463" s="88"/>
      <c r="E463" s="88"/>
      <c r="F463" s="88"/>
      <c r="G463" s="18"/>
      <c r="H463" s="89"/>
      <c r="I463" s="89"/>
      <c r="J463" s="90"/>
    </row>
    <row r="464">
      <c r="A464" s="91"/>
      <c r="B464" s="59"/>
      <c r="C464" s="25"/>
      <c r="D464" s="59"/>
      <c r="E464" s="59"/>
      <c r="F464" s="59"/>
      <c r="G464" s="25"/>
      <c r="H464" s="92"/>
      <c r="I464" s="92"/>
      <c r="J464" s="93"/>
    </row>
    <row r="465">
      <c r="A465" s="87"/>
      <c r="B465" s="88"/>
      <c r="C465" s="18"/>
      <c r="D465" s="88"/>
      <c r="E465" s="88"/>
      <c r="F465" s="88"/>
      <c r="G465" s="18"/>
      <c r="H465" s="89"/>
      <c r="I465" s="89"/>
      <c r="J465" s="90"/>
    </row>
    <row r="466">
      <c r="A466" s="91"/>
      <c r="B466" s="59"/>
      <c r="C466" s="25"/>
      <c r="D466" s="59"/>
      <c r="E466" s="59"/>
      <c r="F466" s="59"/>
      <c r="G466" s="25"/>
      <c r="H466" s="92"/>
      <c r="I466" s="92"/>
      <c r="J466" s="93"/>
    </row>
    <row r="467">
      <c r="A467" s="87"/>
      <c r="B467" s="88"/>
      <c r="C467" s="18"/>
      <c r="D467" s="88"/>
      <c r="E467" s="88"/>
      <c r="F467" s="88"/>
      <c r="G467" s="18"/>
      <c r="H467" s="89"/>
      <c r="I467" s="89"/>
      <c r="J467" s="90"/>
    </row>
    <row r="468">
      <c r="A468" s="91"/>
      <c r="B468" s="59"/>
      <c r="C468" s="25"/>
      <c r="D468" s="59"/>
      <c r="E468" s="59"/>
      <c r="F468" s="59"/>
      <c r="G468" s="25"/>
      <c r="H468" s="92"/>
      <c r="I468" s="92"/>
      <c r="J468" s="93"/>
    </row>
    <row r="469">
      <c r="A469" s="87"/>
      <c r="B469" s="88"/>
      <c r="C469" s="18"/>
      <c r="D469" s="88"/>
      <c r="E469" s="88"/>
      <c r="F469" s="88"/>
      <c r="G469" s="18"/>
      <c r="H469" s="89"/>
      <c r="I469" s="89"/>
      <c r="J469" s="90"/>
    </row>
    <row r="470">
      <c r="A470" s="91"/>
      <c r="B470" s="59"/>
      <c r="C470" s="25"/>
      <c r="D470" s="59"/>
      <c r="E470" s="59"/>
      <c r="F470" s="59"/>
      <c r="G470" s="25"/>
      <c r="H470" s="92"/>
      <c r="I470" s="92"/>
      <c r="J470" s="93"/>
    </row>
    <row r="471">
      <c r="A471" s="87"/>
      <c r="B471" s="88"/>
      <c r="C471" s="18"/>
      <c r="D471" s="88"/>
      <c r="E471" s="88"/>
      <c r="F471" s="88"/>
      <c r="G471" s="18"/>
      <c r="H471" s="89"/>
      <c r="I471" s="89"/>
      <c r="J471" s="90"/>
    </row>
    <row r="472">
      <c r="A472" s="91"/>
      <c r="B472" s="59"/>
      <c r="C472" s="25"/>
      <c r="D472" s="59"/>
      <c r="E472" s="59"/>
      <c r="F472" s="59"/>
      <c r="G472" s="25"/>
      <c r="H472" s="92"/>
      <c r="I472" s="92"/>
      <c r="J472" s="93"/>
    </row>
    <row r="473">
      <c r="A473" s="87"/>
      <c r="B473" s="88"/>
      <c r="C473" s="18"/>
      <c r="D473" s="88"/>
      <c r="E473" s="88"/>
      <c r="F473" s="88"/>
      <c r="G473" s="18"/>
      <c r="H473" s="89"/>
      <c r="I473" s="89"/>
      <c r="J473" s="90"/>
    </row>
    <row r="474">
      <c r="A474" s="91"/>
      <c r="B474" s="59"/>
      <c r="C474" s="25"/>
      <c r="D474" s="59"/>
      <c r="E474" s="59"/>
      <c r="F474" s="59"/>
      <c r="G474" s="25"/>
      <c r="H474" s="92"/>
      <c r="I474" s="92"/>
      <c r="J474" s="93"/>
    </row>
    <row r="475">
      <c r="A475" s="87"/>
      <c r="B475" s="88"/>
      <c r="C475" s="18"/>
      <c r="D475" s="88"/>
      <c r="E475" s="88"/>
      <c r="F475" s="88"/>
      <c r="G475" s="18"/>
      <c r="H475" s="89"/>
      <c r="I475" s="89"/>
      <c r="J475" s="90"/>
    </row>
    <row r="476">
      <c r="A476" s="91"/>
      <c r="B476" s="59"/>
      <c r="C476" s="25"/>
      <c r="D476" s="59"/>
      <c r="E476" s="59"/>
      <c r="F476" s="59"/>
      <c r="G476" s="25"/>
      <c r="H476" s="92"/>
      <c r="I476" s="92"/>
      <c r="J476" s="93"/>
    </row>
    <row r="477">
      <c r="A477" s="87"/>
      <c r="B477" s="88"/>
      <c r="C477" s="18"/>
      <c r="D477" s="88"/>
      <c r="E477" s="88"/>
      <c r="F477" s="88"/>
      <c r="G477" s="18"/>
      <c r="H477" s="89"/>
      <c r="I477" s="89"/>
      <c r="J477" s="90"/>
    </row>
    <row r="478">
      <c r="A478" s="91"/>
      <c r="B478" s="59"/>
      <c r="C478" s="25"/>
      <c r="D478" s="59"/>
      <c r="E478" s="59"/>
      <c r="F478" s="59"/>
      <c r="G478" s="25"/>
      <c r="H478" s="92"/>
      <c r="I478" s="92"/>
      <c r="J478" s="93"/>
    </row>
    <row r="479">
      <c r="A479" s="87"/>
      <c r="B479" s="88"/>
      <c r="C479" s="18"/>
      <c r="D479" s="88"/>
      <c r="E479" s="88"/>
      <c r="F479" s="88"/>
      <c r="G479" s="18"/>
      <c r="H479" s="89"/>
      <c r="I479" s="89"/>
      <c r="J479" s="90"/>
    </row>
    <row r="480">
      <c r="A480" s="91"/>
      <c r="B480" s="59"/>
      <c r="C480" s="25"/>
      <c r="D480" s="59"/>
      <c r="E480" s="59"/>
      <c r="F480" s="59"/>
      <c r="G480" s="25"/>
      <c r="H480" s="92"/>
      <c r="I480" s="92"/>
      <c r="J480" s="93"/>
    </row>
    <row r="481">
      <c r="A481" s="87"/>
      <c r="B481" s="88"/>
      <c r="C481" s="18"/>
      <c r="D481" s="88"/>
      <c r="E481" s="88"/>
      <c r="F481" s="88"/>
      <c r="G481" s="18"/>
      <c r="H481" s="89"/>
      <c r="I481" s="89"/>
      <c r="J481" s="90"/>
    </row>
    <row r="482">
      <c r="A482" s="91"/>
      <c r="B482" s="59"/>
      <c r="C482" s="25"/>
      <c r="D482" s="59"/>
      <c r="E482" s="59"/>
      <c r="F482" s="59"/>
      <c r="G482" s="25"/>
      <c r="H482" s="92"/>
      <c r="I482" s="92"/>
      <c r="J482" s="93"/>
    </row>
    <row r="483">
      <c r="A483" s="87"/>
      <c r="B483" s="88"/>
      <c r="C483" s="18"/>
      <c r="D483" s="88"/>
      <c r="E483" s="88"/>
      <c r="F483" s="88"/>
      <c r="G483" s="18"/>
      <c r="H483" s="89"/>
      <c r="I483" s="89"/>
      <c r="J483" s="90"/>
    </row>
    <row r="484">
      <c r="A484" s="91"/>
      <c r="B484" s="59"/>
      <c r="C484" s="25"/>
      <c r="D484" s="59"/>
      <c r="E484" s="59"/>
      <c r="F484" s="59"/>
      <c r="G484" s="25"/>
      <c r="H484" s="92"/>
      <c r="I484" s="92"/>
      <c r="J484" s="93"/>
    </row>
    <row r="485">
      <c r="A485" s="87"/>
      <c r="B485" s="88"/>
      <c r="C485" s="18"/>
      <c r="D485" s="88"/>
      <c r="E485" s="88"/>
      <c r="F485" s="88"/>
      <c r="G485" s="18"/>
      <c r="H485" s="89"/>
      <c r="I485" s="89"/>
      <c r="J485" s="90"/>
    </row>
    <row r="486">
      <c r="A486" s="91"/>
      <c r="B486" s="59"/>
      <c r="C486" s="25"/>
      <c r="D486" s="59"/>
      <c r="E486" s="59"/>
      <c r="F486" s="59"/>
      <c r="G486" s="25"/>
      <c r="H486" s="92"/>
      <c r="I486" s="92"/>
      <c r="J486" s="93"/>
    </row>
    <row r="487">
      <c r="A487" s="87"/>
      <c r="B487" s="88"/>
      <c r="C487" s="18"/>
      <c r="D487" s="88"/>
      <c r="E487" s="88"/>
      <c r="F487" s="88"/>
      <c r="G487" s="18"/>
      <c r="H487" s="89"/>
      <c r="I487" s="89"/>
      <c r="J487" s="90"/>
    </row>
    <row r="488">
      <c r="A488" s="91"/>
      <c r="B488" s="59"/>
      <c r="C488" s="25"/>
      <c r="D488" s="59"/>
      <c r="E488" s="59"/>
      <c r="F488" s="59"/>
      <c r="G488" s="25"/>
      <c r="H488" s="92"/>
      <c r="I488" s="92"/>
      <c r="J488" s="93"/>
    </row>
    <row r="489">
      <c r="A489" s="87"/>
      <c r="B489" s="88"/>
      <c r="C489" s="18"/>
      <c r="D489" s="88"/>
      <c r="E489" s="88"/>
      <c r="F489" s="88"/>
      <c r="G489" s="18"/>
      <c r="H489" s="89"/>
      <c r="I489" s="89"/>
      <c r="J489" s="90"/>
    </row>
    <row r="490">
      <c r="A490" s="91"/>
      <c r="B490" s="59"/>
      <c r="C490" s="25"/>
      <c r="D490" s="59"/>
      <c r="E490" s="59"/>
      <c r="F490" s="59"/>
      <c r="G490" s="25"/>
      <c r="H490" s="92"/>
      <c r="I490" s="92"/>
      <c r="J490" s="93"/>
    </row>
    <row r="491">
      <c r="A491" s="87"/>
      <c r="B491" s="88"/>
      <c r="C491" s="18"/>
      <c r="D491" s="88"/>
      <c r="E491" s="88"/>
      <c r="F491" s="88"/>
      <c r="G491" s="18"/>
      <c r="H491" s="89"/>
      <c r="I491" s="89"/>
      <c r="J491" s="90"/>
    </row>
    <row r="492">
      <c r="A492" s="91"/>
      <c r="B492" s="59"/>
      <c r="C492" s="25"/>
      <c r="D492" s="59"/>
      <c r="E492" s="59"/>
      <c r="F492" s="59"/>
      <c r="G492" s="25"/>
      <c r="H492" s="92"/>
      <c r="I492" s="92"/>
      <c r="J492" s="93"/>
    </row>
    <row r="493">
      <c r="A493" s="87"/>
      <c r="B493" s="88"/>
      <c r="C493" s="18"/>
      <c r="D493" s="88"/>
      <c r="E493" s="88"/>
      <c r="F493" s="88"/>
      <c r="G493" s="18"/>
      <c r="H493" s="89"/>
      <c r="I493" s="89"/>
      <c r="J493" s="90"/>
    </row>
    <row r="494">
      <c r="A494" s="91"/>
      <c r="B494" s="59"/>
      <c r="C494" s="25"/>
      <c r="D494" s="59"/>
      <c r="E494" s="59"/>
      <c r="F494" s="59"/>
      <c r="G494" s="25"/>
      <c r="H494" s="92"/>
      <c r="I494" s="92"/>
      <c r="J494" s="93"/>
    </row>
    <row r="495">
      <c r="A495" s="87"/>
      <c r="B495" s="88"/>
      <c r="C495" s="18"/>
      <c r="D495" s="88"/>
      <c r="E495" s="88"/>
      <c r="F495" s="88"/>
      <c r="G495" s="18"/>
      <c r="H495" s="89"/>
      <c r="I495" s="89"/>
      <c r="J495" s="90"/>
    </row>
    <row r="496">
      <c r="A496" s="91"/>
      <c r="B496" s="59"/>
      <c r="C496" s="25"/>
      <c r="D496" s="59"/>
      <c r="E496" s="59"/>
      <c r="F496" s="59"/>
      <c r="G496" s="25"/>
      <c r="H496" s="92"/>
      <c r="I496" s="92"/>
      <c r="J496" s="93"/>
    </row>
    <row r="497">
      <c r="A497" s="87"/>
      <c r="B497" s="88"/>
      <c r="C497" s="18"/>
      <c r="D497" s="88"/>
      <c r="E497" s="88"/>
      <c r="F497" s="88"/>
      <c r="G497" s="18"/>
      <c r="H497" s="89"/>
      <c r="I497" s="89"/>
      <c r="J497" s="90"/>
    </row>
    <row r="498">
      <c r="A498" s="91"/>
      <c r="B498" s="59"/>
      <c r="C498" s="25"/>
      <c r="D498" s="59"/>
      <c r="E498" s="59"/>
      <c r="F498" s="59"/>
      <c r="G498" s="25"/>
      <c r="H498" s="92"/>
      <c r="I498" s="92"/>
      <c r="J498" s="93"/>
    </row>
    <row r="499">
      <c r="A499" s="87"/>
      <c r="B499" s="88"/>
      <c r="C499" s="18"/>
      <c r="D499" s="88"/>
      <c r="E499" s="88"/>
      <c r="F499" s="88"/>
      <c r="G499" s="18"/>
      <c r="H499" s="89"/>
      <c r="I499" s="89"/>
      <c r="J499" s="90"/>
    </row>
    <row r="500">
      <c r="A500" s="91"/>
      <c r="B500" s="59"/>
      <c r="C500" s="25"/>
      <c r="D500" s="59"/>
      <c r="E500" s="59"/>
      <c r="F500" s="59"/>
      <c r="G500" s="25"/>
      <c r="H500" s="92"/>
      <c r="I500" s="92"/>
      <c r="J500" s="93"/>
    </row>
    <row r="501">
      <c r="A501" s="87"/>
      <c r="B501" s="88"/>
      <c r="C501" s="18"/>
      <c r="D501" s="88"/>
      <c r="E501" s="88"/>
      <c r="F501" s="88"/>
      <c r="G501" s="18"/>
      <c r="H501" s="89"/>
      <c r="I501" s="89"/>
      <c r="J501" s="90"/>
    </row>
    <row r="502">
      <c r="A502" s="91"/>
      <c r="B502" s="59"/>
      <c r="C502" s="25"/>
      <c r="D502" s="59"/>
      <c r="E502" s="59"/>
      <c r="F502" s="59"/>
      <c r="G502" s="25"/>
      <c r="H502" s="92"/>
      <c r="I502" s="92"/>
      <c r="J502" s="93"/>
    </row>
    <row r="503">
      <c r="A503" s="87"/>
      <c r="B503" s="88"/>
      <c r="C503" s="18"/>
      <c r="D503" s="88"/>
      <c r="E503" s="88"/>
      <c r="F503" s="88"/>
      <c r="G503" s="18"/>
      <c r="H503" s="89"/>
      <c r="I503" s="89"/>
      <c r="J503" s="90"/>
    </row>
    <row r="504">
      <c r="A504" s="91"/>
      <c r="B504" s="59"/>
      <c r="C504" s="25"/>
      <c r="D504" s="59"/>
      <c r="E504" s="59"/>
      <c r="F504" s="59"/>
      <c r="G504" s="25"/>
      <c r="H504" s="92"/>
      <c r="I504" s="92"/>
      <c r="J504" s="93"/>
    </row>
    <row r="505">
      <c r="A505" s="87"/>
      <c r="B505" s="88"/>
      <c r="C505" s="18"/>
      <c r="D505" s="88"/>
      <c r="E505" s="88"/>
      <c r="F505" s="88"/>
      <c r="G505" s="18"/>
      <c r="H505" s="89"/>
      <c r="I505" s="89"/>
      <c r="J505" s="90"/>
    </row>
    <row r="506">
      <c r="A506" s="91"/>
      <c r="B506" s="59"/>
      <c r="C506" s="25"/>
      <c r="D506" s="59"/>
      <c r="E506" s="59"/>
      <c r="F506" s="59"/>
      <c r="G506" s="25"/>
      <c r="H506" s="92"/>
      <c r="I506" s="92"/>
      <c r="J506" s="93"/>
    </row>
    <row r="507">
      <c r="A507" s="87"/>
      <c r="B507" s="88"/>
      <c r="C507" s="18"/>
      <c r="D507" s="88"/>
      <c r="E507" s="88"/>
      <c r="F507" s="88"/>
      <c r="G507" s="18"/>
      <c r="H507" s="89"/>
      <c r="I507" s="89"/>
      <c r="J507" s="90"/>
    </row>
    <row r="508">
      <c r="A508" s="91"/>
      <c r="B508" s="59"/>
      <c r="C508" s="25"/>
      <c r="D508" s="59"/>
      <c r="E508" s="59"/>
      <c r="F508" s="59"/>
      <c r="G508" s="25"/>
      <c r="H508" s="92"/>
      <c r="I508" s="92"/>
      <c r="J508" s="93"/>
    </row>
    <row r="509">
      <c r="A509" s="87"/>
      <c r="B509" s="88"/>
      <c r="C509" s="18"/>
      <c r="D509" s="88"/>
      <c r="E509" s="88"/>
      <c r="F509" s="88"/>
      <c r="G509" s="18"/>
      <c r="H509" s="89"/>
      <c r="I509" s="89"/>
      <c r="J509" s="90"/>
    </row>
    <row r="510">
      <c r="A510" s="91"/>
      <c r="B510" s="59"/>
      <c r="C510" s="25"/>
      <c r="D510" s="59"/>
      <c r="E510" s="59"/>
      <c r="F510" s="59"/>
      <c r="G510" s="25"/>
      <c r="H510" s="92"/>
      <c r="I510" s="92"/>
      <c r="J510" s="93"/>
    </row>
    <row r="511">
      <c r="A511" s="87"/>
      <c r="B511" s="88"/>
      <c r="C511" s="18"/>
      <c r="D511" s="88"/>
      <c r="E511" s="88"/>
      <c r="F511" s="88"/>
      <c r="G511" s="18"/>
      <c r="H511" s="89"/>
      <c r="I511" s="89"/>
      <c r="J511" s="90"/>
    </row>
    <row r="512">
      <c r="A512" s="91"/>
      <c r="B512" s="59"/>
      <c r="C512" s="25"/>
      <c r="D512" s="59"/>
      <c r="E512" s="59"/>
      <c r="F512" s="59"/>
      <c r="G512" s="25"/>
      <c r="H512" s="92"/>
      <c r="I512" s="92"/>
      <c r="J512" s="93"/>
    </row>
    <row r="513">
      <c r="A513" s="87"/>
      <c r="B513" s="88"/>
      <c r="C513" s="18"/>
      <c r="D513" s="88"/>
      <c r="E513" s="88"/>
      <c r="F513" s="88"/>
      <c r="G513" s="18"/>
      <c r="H513" s="89"/>
      <c r="I513" s="89"/>
      <c r="J513" s="90"/>
    </row>
    <row r="514">
      <c r="A514" s="91"/>
      <c r="B514" s="59"/>
      <c r="C514" s="25"/>
      <c r="D514" s="59"/>
      <c r="E514" s="59"/>
      <c r="F514" s="59"/>
      <c r="G514" s="25"/>
      <c r="H514" s="92"/>
      <c r="I514" s="92"/>
      <c r="J514" s="93"/>
    </row>
    <row r="515">
      <c r="A515" s="87"/>
      <c r="B515" s="88"/>
      <c r="C515" s="18"/>
      <c r="D515" s="88"/>
      <c r="E515" s="88"/>
      <c r="F515" s="88"/>
      <c r="G515" s="18"/>
      <c r="H515" s="89"/>
      <c r="I515" s="89"/>
      <c r="J515" s="90"/>
    </row>
    <row r="516">
      <c r="A516" s="91"/>
      <c r="B516" s="59"/>
      <c r="C516" s="25"/>
      <c r="D516" s="59"/>
      <c r="E516" s="59"/>
      <c r="F516" s="59"/>
      <c r="G516" s="25"/>
      <c r="H516" s="92"/>
      <c r="I516" s="92"/>
      <c r="J516" s="93"/>
    </row>
    <row r="517">
      <c r="A517" s="87"/>
      <c r="B517" s="88"/>
      <c r="C517" s="18"/>
      <c r="D517" s="88"/>
      <c r="E517" s="88"/>
      <c r="F517" s="88"/>
      <c r="G517" s="18"/>
      <c r="H517" s="89"/>
      <c r="I517" s="89"/>
      <c r="J517" s="90"/>
    </row>
    <row r="518">
      <c r="A518" s="91"/>
      <c r="B518" s="59"/>
      <c r="C518" s="25"/>
      <c r="D518" s="59"/>
      <c r="E518" s="59"/>
      <c r="F518" s="59"/>
      <c r="G518" s="25"/>
      <c r="H518" s="92"/>
      <c r="I518" s="92"/>
      <c r="J518" s="93"/>
    </row>
    <row r="519">
      <c r="A519" s="87"/>
      <c r="B519" s="88"/>
      <c r="C519" s="18"/>
      <c r="D519" s="88"/>
      <c r="E519" s="88"/>
      <c r="F519" s="88"/>
      <c r="G519" s="18"/>
      <c r="H519" s="89"/>
      <c r="I519" s="89"/>
      <c r="J519" s="90"/>
    </row>
    <row r="520">
      <c r="A520" s="91"/>
      <c r="B520" s="59"/>
      <c r="C520" s="25"/>
      <c r="D520" s="59"/>
      <c r="E520" s="59"/>
      <c r="F520" s="59"/>
      <c r="G520" s="25"/>
      <c r="H520" s="92"/>
      <c r="I520" s="92"/>
      <c r="J520" s="93"/>
    </row>
    <row r="521">
      <c r="A521" s="87"/>
      <c r="B521" s="88"/>
      <c r="C521" s="18"/>
      <c r="D521" s="88"/>
      <c r="E521" s="88"/>
      <c r="F521" s="88"/>
      <c r="G521" s="18"/>
      <c r="H521" s="89"/>
      <c r="I521" s="89"/>
      <c r="J521" s="90"/>
    </row>
    <row r="522">
      <c r="A522" s="91"/>
      <c r="B522" s="59"/>
      <c r="C522" s="25"/>
      <c r="D522" s="59"/>
      <c r="E522" s="59"/>
      <c r="F522" s="59"/>
      <c r="G522" s="25"/>
      <c r="H522" s="92"/>
      <c r="I522" s="92"/>
      <c r="J522" s="93"/>
    </row>
    <row r="523">
      <c r="A523" s="87"/>
      <c r="B523" s="88"/>
      <c r="C523" s="18"/>
      <c r="D523" s="88"/>
      <c r="E523" s="88"/>
      <c r="F523" s="88"/>
      <c r="G523" s="18"/>
      <c r="H523" s="89"/>
      <c r="I523" s="89"/>
      <c r="J523" s="90"/>
    </row>
    <row r="524">
      <c r="A524" s="91"/>
      <c r="B524" s="59"/>
      <c r="C524" s="25"/>
      <c r="D524" s="59"/>
      <c r="E524" s="59"/>
      <c r="F524" s="59"/>
      <c r="G524" s="25"/>
      <c r="H524" s="92"/>
      <c r="I524" s="92"/>
      <c r="J524" s="93"/>
    </row>
    <row r="525">
      <c r="A525" s="87"/>
      <c r="B525" s="88"/>
      <c r="C525" s="18"/>
      <c r="D525" s="88"/>
      <c r="E525" s="88"/>
      <c r="F525" s="88"/>
      <c r="G525" s="18"/>
      <c r="H525" s="89"/>
      <c r="I525" s="89"/>
      <c r="J525" s="90"/>
    </row>
    <row r="526">
      <c r="A526" s="91"/>
      <c r="B526" s="59"/>
      <c r="C526" s="25"/>
      <c r="D526" s="59"/>
      <c r="E526" s="59"/>
      <c r="F526" s="59"/>
      <c r="G526" s="25"/>
      <c r="H526" s="92"/>
      <c r="I526" s="92"/>
      <c r="J526" s="93"/>
    </row>
    <row r="527">
      <c r="A527" s="87"/>
      <c r="B527" s="88"/>
      <c r="C527" s="18"/>
      <c r="D527" s="88"/>
      <c r="E527" s="88"/>
      <c r="F527" s="88"/>
      <c r="G527" s="18"/>
      <c r="H527" s="89"/>
      <c r="I527" s="89"/>
      <c r="J527" s="90"/>
    </row>
    <row r="528">
      <c r="A528" s="91"/>
      <c r="B528" s="59"/>
      <c r="C528" s="25"/>
      <c r="D528" s="59"/>
      <c r="E528" s="59"/>
      <c r="F528" s="59"/>
      <c r="G528" s="25"/>
      <c r="H528" s="92"/>
      <c r="I528" s="92"/>
      <c r="J528" s="93"/>
    </row>
    <row r="529">
      <c r="A529" s="87"/>
      <c r="B529" s="88"/>
      <c r="C529" s="18"/>
      <c r="D529" s="88"/>
      <c r="E529" s="88"/>
      <c r="F529" s="88"/>
      <c r="G529" s="18"/>
      <c r="H529" s="89"/>
      <c r="I529" s="89"/>
      <c r="J529" s="90"/>
    </row>
    <row r="530">
      <c r="A530" s="91"/>
      <c r="B530" s="59"/>
      <c r="C530" s="25"/>
      <c r="D530" s="59"/>
      <c r="E530" s="59"/>
      <c r="F530" s="59"/>
      <c r="G530" s="25"/>
      <c r="H530" s="92"/>
      <c r="I530" s="92"/>
      <c r="J530" s="93"/>
    </row>
    <row r="531">
      <c r="A531" s="87"/>
      <c r="B531" s="88"/>
      <c r="C531" s="18"/>
      <c r="D531" s="88"/>
      <c r="E531" s="88"/>
      <c r="F531" s="88"/>
      <c r="G531" s="18"/>
      <c r="H531" s="89"/>
      <c r="I531" s="89"/>
      <c r="J531" s="90"/>
    </row>
    <row r="532">
      <c r="A532" s="91"/>
      <c r="B532" s="59"/>
      <c r="C532" s="25"/>
      <c r="D532" s="59"/>
      <c r="E532" s="59"/>
      <c r="F532" s="59"/>
      <c r="G532" s="25"/>
      <c r="H532" s="92"/>
      <c r="I532" s="92"/>
      <c r="J532" s="93"/>
    </row>
    <row r="533">
      <c r="A533" s="87"/>
      <c r="B533" s="88"/>
      <c r="C533" s="18"/>
      <c r="D533" s="88"/>
      <c r="E533" s="88"/>
      <c r="F533" s="88"/>
      <c r="G533" s="18"/>
      <c r="H533" s="89"/>
      <c r="I533" s="89"/>
      <c r="J533" s="90"/>
    </row>
    <row r="534">
      <c r="A534" s="91"/>
      <c r="B534" s="59"/>
      <c r="C534" s="25"/>
      <c r="D534" s="59"/>
      <c r="E534" s="59"/>
      <c r="F534" s="59"/>
      <c r="G534" s="25"/>
      <c r="H534" s="92"/>
      <c r="I534" s="92"/>
      <c r="J534" s="93"/>
    </row>
    <row r="535">
      <c r="A535" s="87"/>
      <c r="B535" s="88"/>
      <c r="C535" s="18"/>
      <c r="D535" s="88"/>
      <c r="E535" s="88"/>
      <c r="F535" s="88"/>
      <c r="G535" s="18"/>
      <c r="H535" s="89"/>
      <c r="I535" s="89"/>
      <c r="J535" s="90"/>
    </row>
    <row r="536">
      <c r="A536" s="91"/>
      <c r="B536" s="59"/>
      <c r="C536" s="25"/>
      <c r="D536" s="59"/>
      <c r="E536" s="59"/>
      <c r="F536" s="59"/>
      <c r="G536" s="25"/>
      <c r="H536" s="92"/>
      <c r="I536" s="92"/>
      <c r="J536" s="93"/>
    </row>
    <row r="537">
      <c r="A537" s="87"/>
      <c r="B537" s="88"/>
      <c r="C537" s="18"/>
      <c r="D537" s="88"/>
      <c r="E537" s="88"/>
      <c r="F537" s="88"/>
      <c r="G537" s="18"/>
      <c r="H537" s="89"/>
      <c r="I537" s="89"/>
      <c r="J537" s="90"/>
    </row>
    <row r="538">
      <c r="A538" s="91"/>
      <c r="B538" s="59"/>
      <c r="C538" s="25"/>
      <c r="D538" s="59"/>
      <c r="E538" s="59"/>
      <c r="F538" s="59"/>
      <c r="G538" s="25"/>
      <c r="H538" s="92"/>
      <c r="I538" s="92"/>
      <c r="J538" s="93"/>
    </row>
    <row r="539">
      <c r="A539" s="87"/>
      <c r="B539" s="88"/>
      <c r="C539" s="18"/>
      <c r="D539" s="88"/>
      <c r="E539" s="88"/>
      <c r="F539" s="88"/>
      <c r="G539" s="18"/>
      <c r="H539" s="89"/>
      <c r="I539" s="89"/>
      <c r="J539" s="90"/>
    </row>
    <row r="540">
      <c r="A540" s="91"/>
      <c r="B540" s="59"/>
      <c r="C540" s="25"/>
      <c r="D540" s="59"/>
      <c r="E540" s="59"/>
      <c r="F540" s="59"/>
      <c r="G540" s="25"/>
      <c r="H540" s="92"/>
      <c r="I540" s="92"/>
      <c r="J540" s="93"/>
    </row>
    <row r="541">
      <c r="A541" s="87"/>
      <c r="B541" s="88"/>
      <c r="C541" s="18"/>
      <c r="D541" s="88"/>
      <c r="E541" s="88"/>
      <c r="F541" s="88"/>
      <c r="G541" s="18"/>
      <c r="H541" s="89"/>
      <c r="I541" s="89"/>
      <c r="J541" s="90"/>
    </row>
    <row r="542">
      <c r="A542" s="91"/>
      <c r="B542" s="59"/>
      <c r="C542" s="25"/>
      <c r="D542" s="59"/>
      <c r="E542" s="59"/>
      <c r="F542" s="59"/>
      <c r="G542" s="25"/>
      <c r="H542" s="92"/>
      <c r="I542" s="92"/>
      <c r="J542" s="93"/>
    </row>
    <row r="543">
      <c r="A543" s="87"/>
      <c r="B543" s="88"/>
      <c r="C543" s="18"/>
      <c r="D543" s="88"/>
      <c r="E543" s="88"/>
      <c r="F543" s="88"/>
      <c r="G543" s="18"/>
      <c r="H543" s="89"/>
      <c r="I543" s="89"/>
      <c r="J543" s="90"/>
    </row>
    <row r="544">
      <c r="A544" s="91"/>
      <c r="B544" s="59"/>
      <c r="C544" s="25"/>
      <c r="D544" s="59"/>
      <c r="E544" s="59"/>
      <c r="F544" s="59"/>
      <c r="G544" s="25"/>
      <c r="H544" s="92"/>
      <c r="I544" s="92"/>
      <c r="J544" s="93"/>
    </row>
    <row r="545">
      <c r="A545" s="87"/>
      <c r="B545" s="88"/>
      <c r="C545" s="18"/>
      <c r="D545" s="88"/>
      <c r="E545" s="88"/>
      <c r="F545" s="88"/>
      <c r="G545" s="18"/>
      <c r="H545" s="89"/>
      <c r="I545" s="89"/>
      <c r="J545" s="90"/>
    </row>
    <row r="546">
      <c r="A546" s="91"/>
      <c r="B546" s="59"/>
      <c r="C546" s="25"/>
      <c r="D546" s="59"/>
      <c r="E546" s="59"/>
      <c r="F546" s="59"/>
      <c r="G546" s="25"/>
      <c r="H546" s="92"/>
      <c r="I546" s="92"/>
      <c r="J546" s="93"/>
    </row>
    <row r="547">
      <c r="A547" s="87"/>
      <c r="B547" s="88"/>
      <c r="C547" s="18"/>
      <c r="D547" s="88"/>
      <c r="E547" s="88"/>
      <c r="F547" s="88"/>
      <c r="G547" s="18"/>
      <c r="H547" s="89"/>
      <c r="I547" s="89"/>
      <c r="J547" s="90"/>
    </row>
    <row r="548">
      <c r="A548" s="91"/>
      <c r="B548" s="59"/>
      <c r="C548" s="25"/>
      <c r="D548" s="59"/>
      <c r="E548" s="59"/>
      <c r="F548" s="59"/>
      <c r="G548" s="25"/>
      <c r="H548" s="92"/>
      <c r="I548" s="92"/>
      <c r="J548" s="93"/>
    </row>
    <row r="549">
      <c r="A549" s="87"/>
      <c r="B549" s="88"/>
      <c r="C549" s="18"/>
      <c r="D549" s="88"/>
      <c r="E549" s="88"/>
      <c r="F549" s="88"/>
      <c r="G549" s="18"/>
      <c r="H549" s="89"/>
      <c r="I549" s="89"/>
      <c r="J549" s="90"/>
    </row>
    <row r="550">
      <c r="A550" s="91"/>
      <c r="B550" s="59"/>
      <c r="C550" s="25"/>
      <c r="D550" s="59"/>
      <c r="E550" s="59"/>
      <c r="F550" s="59"/>
      <c r="G550" s="25"/>
      <c r="H550" s="92"/>
      <c r="I550" s="92"/>
      <c r="J550" s="93"/>
    </row>
    <row r="551">
      <c r="A551" s="87"/>
      <c r="B551" s="88"/>
      <c r="C551" s="18"/>
      <c r="D551" s="88"/>
      <c r="E551" s="88"/>
      <c r="F551" s="88"/>
      <c r="G551" s="18"/>
      <c r="H551" s="89"/>
      <c r="I551" s="89"/>
      <c r="J551" s="90"/>
    </row>
    <row r="552">
      <c r="A552" s="91"/>
      <c r="B552" s="59"/>
      <c r="C552" s="25"/>
      <c r="D552" s="59"/>
      <c r="E552" s="59"/>
      <c r="F552" s="59"/>
      <c r="G552" s="25"/>
      <c r="H552" s="92"/>
      <c r="I552" s="92"/>
      <c r="J552" s="93"/>
    </row>
    <row r="553">
      <c r="A553" s="87"/>
      <c r="B553" s="88"/>
      <c r="C553" s="18"/>
      <c r="D553" s="88"/>
      <c r="E553" s="88"/>
      <c r="F553" s="88"/>
      <c r="G553" s="18"/>
      <c r="H553" s="89"/>
      <c r="I553" s="89"/>
      <c r="J553" s="90"/>
    </row>
    <row r="554">
      <c r="A554" s="91"/>
      <c r="B554" s="59"/>
      <c r="C554" s="25"/>
      <c r="D554" s="59"/>
      <c r="E554" s="59"/>
      <c r="F554" s="59"/>
      <c r="G554" s="25"/>
      <c r="H554" s="92"/>
      <c r="I554" s="92"/>
      <c r="J554" s="93"/>
    </row>
    <row r="555">
      <c r="A555" s="87"/>
      <c r="B555" s="88"/>
      <c r="C555" s="18"/>
      <c r="D555" s="88"/>
      <c r="E555" s="88"/>
      <c r="F555" s="88"/>
      <c r="G555" s="18"/>
      <c r="H555" s="89"/>
      <c r="I555" s="89"/>
      <c r="J555" s="90"/>
    </row>
    <row r="556">
      <c r="A556" s="91"/>
      <c r="B556" s="59"/>
      <c r="C556" s="25"/>
      <c r="D556" s="59"/>
      <c r="E556" s="59"/>
      <c r="F556" s="59"/>
      <c r="G556" s="25"/>
      <c r="H556" s="92"/>
      <c r="I556" s="92"/>
      <c r="J556" s="93"/>
    </row>
    <row r="557">
      <c r="A557" s="87"/>
      <c r="B557" s="88"/>
      <c r="C557" s="18"/>
      <c r="D557" s="88"/>
      <c r="E557" s="88"/>
      <c r="F557" s="88"/>
      <c r="G557" s="18"/>
      <c r="H557" s="89"/>
      <c r="I557" s="89"/>
      <c r="J557" s="90"/>
    </row>
    <row r="558">
      <c r="A558" s="91"/>
      <c r="B558" s="59"/>
      <c r="C558" s="25"/>
      <c r="D558" s="59"/>
      <c r="E558" s="59"/>
      <c r="F558" s="59"/>
      <c r="G558" s="25"/>
      <c r="H558" s="92"/>
      <c r="I558" s="92"/>
      <c r="J558" s="93"/>
    </row>
    <row r="559">
      <c r="A559" s="87"/>
      <c r="B559" s="88"/>
      <c r="C559" s="18"/>
      <c r="D559" s="88"/>
      <c r="E559" s="88"/>
      <c r="F559" s="88"/>
      <c r="G559" s="18"/>
      <c r="H559" s="89"/>
      <c r="I559" s="89"/>
      <c r="J559" s="90"/>
    </row>
    <row r="560">
      <c r="A560" s="91"/>
      <c r="B560" s="59"/>
      <c r="C560" s="25"/>
      <c r="D560" s="59"/>
      <c r="E560" s="59"/>
      <c r="F560" s="59"/>
      <c r="G560" s="25"/>
      <c r="H560" s="92"/>
      <c r="I560" s="92"/>
      <c r="J560" s="93"/>
    </row>
    <row r="561">
      <c r="A561" s="87"/>
      <c r="B561" s="88"/>
      <c r="C561" s="18"/>
      <c r="D561" s="88"/>
      <c r="E561" s="88"/>
      <c r="F561" s="88"/>
      <c r="G561" s="18"/>
      <c r="H561" s="89"/>
      <c r="I561" s="89"/>
      <c r="J561" s="90"/>
    </row>
    <row r="562">
      <c r="A562" s="91"/>
      <c r="B562" s="59"/>
      <c r="C562" s="25"/>
      <c r="D562" s="59"/>
      <c r="E562" s="59"/>
      <c r="F562" s="59"/>
      <c r="G562" s="25"/>
      <c r="H562" s="92"/>
      <c r="I562" s="92"/>
      <c r="J562" s="93"/>
    </row>
    <row r="563">
      <c r="A563" s="87"/>
      <c r="B563" s="88"/>
      <c r="C563" s="18"/>
      <c r="D563" s="88"/>
      <c r="E563" s="88"/>
      <c r="F563" s="88"/>
      <c r="G563" s="18"/>
      <c r="H563" s="89"/>
      <c r="I563" s="89"/>
      <c r="J563" s="90"/>
    </row>
    <row r="564">
      <c r="A564" s="91"/>
      <c r="B564" s="59"/>
      <c r="C564" s="25"/>
      <c r="D564" s="59"/>
      <c r="E564" s="59"/>
      <c r="F564" s="59"/>
      <c r="G564" s="25"/>
      <c r="H564" s="92"/>
      <c r="I564" s="92"/>
      <c r="J564" s="93"/>
    </row>
    <row r="565">
      <c r="A565" s="87"/>
      <c r="B565" s="88"/>
      <c r="C565" s="18"/>
      <c r="D565" s="88"/>
      <c r="E565" s="88"/>
      <c r="F565" s="88"/>
      <c r="G565" s="18"/>
      <c r="H565" s="89"/>
      <c r="I565" s="89"/>
      <c r="J565" s="90"/>
    </row>
    <row r="566">
      <c r="A566" s="91"/>
      <c r="B566" s="59"/>
      <c r="C566" s="25"/>
      <c r="D566" s="59"/>
      <c r="E566" s="59"/>
      <c r="F566" s="59"/>
      <c r="G566" s="25"/>
      <c r="H566" s="92"/>
      <c r="I566" s="92"/>
      <c r="J566" s="93"/>
    </row>
    <row r="567">
      <c r="A567" s="87"/>
      <c r="B567" s="88"/>
      <c r="C567" s="18"/>
      <c r="D567" s="88"/>
      <c r="E567" s="88"/>
      <c r="F567" s="88"/>
      <c r="G567" s="18"/>
      <c r="H567" s="89"/>
      <c r="I567" s="89"/>
      <c r="J567" s="90"/>
    </row>
    <row r="568">
      <c r="A568" s="91"/>
      <c r="B568" s="59"/>
      <c r="C568" s="25"/>
      <c r="D568" s="59"/>
      <c r="E568" s="59"/>
      <c r="F568" s="59"/>
      <c r="G568" s="25"/>
      <c r="H568" s="92"/>
      <c r="I568" s="92"/>
      <c r="J568" s="93"/>
    </row>
    <row r="569">
      <c r="A569" s="87"/>
      <c r="B569" s="88"/>
      <c r="C569" s="18"/>
      <c r="D569" s="88"/>
      <c r="E569" s="88"/>
      <c r="F569" s="88"/>
      <c r="G569" s="18"/>
      <c r="H569" s="89"/>
      <c r="I569" s="89"/>
      <c r="J569" s="90"/>
    </row>
    <row r="570">
      <c r="A570" s="91"/>
      <c r="B570" s="59"/>
      <c r="C570" s="25"/>
      <c r="D570" s="59"/>
      <c r="E570" s="59"/>
      <c r="F570" s="59"/>
      <c r="G570" s="25"/>
      <c r="H570" s="92"/>
      <c r="I570" s="92"/>
      <c r="J570" s="93"/>
    </row>
    <row r="571">
      <c r="A571" s="87"/>
      <c r="B571" s="88"/>
      <c r="C571" s="18"/>
      <c r="D571" s="88"/>
      <c r="E571" s="88"/>
      <c r="F571" s="88"/>
      <c r="G571" s="18"/>
      <c r="H571" s="89"/>
      <c r="I571" s="89"/>
      <c r="J571" s="90"/>
    </row>
    <row r="572">
      <c r="A572" s="91"/>
      <c r="B572" s="59"/>
      <c r="C572" s="25"/>
      <c r="D572" s="59"/>
      <c r="E572" s="59"/>
      <c r="F572" s="59"/>
      <c r="G572" s="25"/>
      <c r="H572" s="92"/>
      <c r="I572" s="92"/>
      <c r="J572" s="93"/>
    </row>
    <row r="573">
      <c r="A573" s="87"/>
      <c r="B573" s="88"/>
      <c r="C573" s="18"/>
      <c r="D573" s="88"/>
      <c r="E573" s="88"/>
      <c r="F573" s="88"/>
      <c r="G573" s="18"/>
      <c r="H573" s="89"/>
      <c r="I573" s="89"/>
      <c r="J573" s="90"/>
    </row>
    <row r="574">
      <c r="A574" s="91"/>
      <c r="B574" s="59"/>
      <c r="C574" s="25"/>
      <c r="D574" s="59"/>
      <c r="E574" s="59"/>
      <c r="F574" s="59"/>
      <c r="G574" s="25"/>
      <c r="H574" s="92"/>
      <c r="I574" s="92"/>
      <c r="J574" s="93"/>
    </row>
    <row r="575">
      <c r="A575" s="87"/>
      <c r="B575" s="88"/>
      <c r="C575" s="18"/>
      <c r="D575" s="88"/>
      <c r="E575" s="88"/>
      <c r="F575" s="88"/>
      <c r="G575" s="18"/>
      <c r="H575" s="89"/>
      <c r="I575" s="89"/>
      <c r="J575" s="90"/>
    </row>
    <row r="576">
      <c r="A576" s="91"/>
      <c r="B576" s="59"/>
      <c r="C576" s="25"/>
      <c r="D576" s="59"/>
      <c r="E576" s="59"/>
      <c r="F576" s="59"/>
      <c r="G576" s="25"/>
      <c r="H576" s="92"/>
      <c r="I576" s="92"/>
      <c r="J576" s="93"/>
    </row>
    <row r="577">
      <c r="A577" s="87"/>
      <c r="B577" s="88"/>
      <c r="C577" s="18"/>
      <c r="D577" s="88"/>
      <c r="E577" s="88"/>
      <c r="F577" s="88"/>
      <c r="G577" s="18"/>
      <c r="H577" s="89"/>
      <c r="I577" s="89"/>
      <c r="J577" s="90"/>
    </row>
    <row r="578">
      <c r="A578" s="91"/>
      <c r="B578" s="59"/>
      <c r="C578" s="25"/>
      <c r="D578" s="59"/>
      <c r="E578" s="59"/>
      <c r="F578" s="59"/>
      <c r="G578" s="25"/>
      <c r="H578" s="92"/>
      <c r="I578" s="92"/>
      <c r="J578" s="93"/>
    </row>
    <row r="579">
      <c r="A579" s="87"/>
      <c r="B579" s="88"/>
      <c r="C579" s="18"/>
      <c r="D579" s="88"/>
      <c r="E579" s="88"/>
      <c r="F579" s="88"/>
      <c r="G579" s="18"/>
      <c r="H579" s="89"/>
      <c r="I579" s="89"/>
      <c r="J579" s="90"/>
    </row>
    <row r="580">
      <c r="A580" s="91"/>
      <c r="B580" s="59"/>
      <c r="C580" s="25"/>
      <c r="D580" s="59"/>
      <c r="E580" s="59"/>
      <c r="F580" s="59"/>
      <c r="G580" s="25"/>
      <c r="H580" s="92"/>
      <c r="I580" s="92"/>
      <c r="J580" s="93"/>
    </row>
    <row r="581">
      <c r="A581" s="87"/>
      <c r="B581" s="88"/>
      <c r="C581" s="18"/>
      <c r="D581" s="88"/>
      <c r="E581" s="88"/>
      <c r="F581" s="88"/>
      <c r="G581" s="18"/>
      <c r="H581" s="89"/>
      <c r="I581" s="89"/>
      <c r="J581" s="90"/>
    </row>
    <row r="582">
      <c r="A582" s="91"/>
      <c r="B582" s="59"/>
      <c r="C582" s="25"/>
      <c r="D582" s="59"/>
      <c r="E582" s="59"/>
      <c r="F582" s="59"/>
      <c r="G582" s="25"/>
      <c r="H582" s="92"/>
      <c r="I582" s="92"/>
      <c r="J582" s="93"/>
    </row>
    <row r="583">
      <c r="A583" s="87"/>
      <c r="B583" s="88"/>
      <c r="C583" s="18"/>
      <c r="D583" s="88"/>
      <c r="E583" s="88"/>
      <c r="F583" s="88"/>
      <c r="G583" s="18"/>
      <c r="H583" s="89"/>
      <c r="I583" s="89"/>
      <c r="J583" s="90"/>
    </row>
    <row r="584">
      <c r="A584" s="91"/>
      <c r="B584" s="59"/>
      <c r="C584" s="25"/>
      <c r="D584" s="59"/>
      <c r="E584" s="59"/>
      <c r="F584" s="59"/>
      <c r="G584" s="25"/>
      <c r="H584" s="92"/>
      <c r="I584" s="92"/>
      <c r="J584" s="93"/>
    </row>
    <row r="585">
      <c r="A585" s="87"/>
      <c r="B585" s="88"/>
      <c r="C585" s="18"/>
      <c r="D585" s="88"/>
      <c r="E585" s="88"/>
      <c r="F585" s="88"/>
      <c r="G585" s="18"/>
      <c r="H585" s="89"/>
      <c r="I585" s="89"/>
      <c r="J585" s="90"/>
    </row>
    <row r="586">
      <c r="A586" s="91"/>
      <c r="B586" s="59"/>
      <c r="C586" s="25"/>
      <c r="D586" s="59"/>
      <c r="E586" s="59"/>
      <c r="F586" s="59"/>
      <c r="G586" s="25"/>
      <c r="H586" s="92"/>
      <c r="I586" s="92"/>
      <c r="J586" s="93"/>
    </row>
    <row r="587">
      <c r="A587" s="87"/>
      <c r="B587" s="88"/>
      <c r="C587" s="18"/>
      <c r="D587" s="88"/>
      <c r="E587" s="88"/>
      <c r="F587" s="88"/>
      <c r="G587" s="18"/>
      <c r="H587" s="89"/>
      <c r="I587" s="89"/>
      <c r="J587" s="90"/>
    </row>
    <row r="588">
      <c r="A588" s="91"/>
      <c r="B588" s="59"/>
      <c r="C588" s="25"/>
      <c r="D588" s="59"/>
      <c r="E588" s="59"/>
      <c r="F588" s="59"/>
      <c r="G588" s="25"/>
      <c r="H588" s="92"/>
      <c r="I588" s="92"/>
      <c r="J588" s="93"/>
    </row>
    <row r="589">
      <c r="A589" s="87"/>
      <c r="B589" s="88"/>
      <c r="C589" s="18"/>
      <c r="D589" s="88"/>
      <c r="E589" s="88"/>
      <c r="F589" s="88"/>
      <c r="G589" s="18"/>
      <c r="H589" s="89"/>
      <c r="I589" s="89"/>
      <c r="J589" s="90"/>
    </row>
    <row r="590">
      <c r="A590" s="91"/>
      <c r="B590" s="59"/>
      <c r="C590" s="25"/>
      <c r="D590" s="59"/>
      <c r="E590" s="59"/>
      <c r="F590" s="59"/>
      <c r="G590" s="25"/>
      <c r="H590" s="92"/>
      <c r="I590" s="92"/>
      <c r="J590" s="93"/>
    </row>
    <row r="591">
      <c r="A591" s="87"/>
      <c r="B591" s="88"/>
      <c r="C591" s="18"/>
      <c r="D591" s="88"/>
      <c r="E591" s="88"/>
      <c r="F591" s="88"/>
      <c r="G591" s="18"/>
      <c r="H591" s="89"/>
      <c r="I591" s="89"/>
      <c r="J591" s="90"/>
    </row>
    <row r="592">
      <c r="A592" s="91"/>
      <c r="B592" s="59"/>
      <c r="C592" s="25"/>
      <c r="D592" s="59"/>
      <c r="E592" s="59"/>
      <c r="F592" s="59"/>
      <c r="G592" s="25"/>
      <c r="H592" s="92"/>
      <c r="I592" s="92"/>
      <c r="J592" s="93"/>
    </row>
    <row r="593">
      <c r="A593" s="87"/>
      <c r="B593" s="88"/>
      <c r="C593" s="18"/>
      <c r="D593" s="88"/>
      <c r="E593" s="88"/>
      <c r="F593" s="88"/>
      <c r="G593" s="18"/>
      <c r="H593" s="89"/>
      <c r="I593" s="89"/>
      <c r="J593" s="90"/>
    </row>
    <row r="594">
      <c r="A594" s="91"/>
      <c r="B594" s="59"/>
      <c r="C594" s="25"/>
      <c r="D594" s="59"/>
      <c r="E594" s="59"/>
      <c r="F594" s="59"/>
      <c r="G594" s="25"/>
      <c r="H594" s="92"/>
      <c r="I594" s="92"/>
      <c r="J594" s="93"/>
    </row>
    <row r="595">
      <c r="A595" s="87"/>
      <c r="B595" s="88"/>
      <c r="C595" s="18"/>
      <c r="D595" s="88"/>
      <c r="E595" s="88"/>
      <c r="F595" s="88"/>
      <c r="G595" s="18"/>
      <c r="H595" s="89"/>
      <c r="I595" s="89"/>
      <c r="J595" s="90"/>
    </row>
    <row r="596">
      <c r="A596" s="91"/>
      <c r="B596" s="59"/>
      <c r="C596" s="25"/>
      <c r="D596" s="59"/>
      <c r="E596" s="59"/>
      <c r="F596" s="59"/>
      <c r="G596" s="25"/>
      <c r="H596" s="92"/>
      <c r="I596" s="92"/>
      <c r="J596" s="93"/>
    </row>
    <row r="597">
      <c r="A597" s="87"/>
      <c r="B597" s="88"/>
      <c r="C597" s="18"/>
      <c r="D597" s="88"/>
      <c r="E597" s="88"/>
      <c r="F597" s="88"/>
      <c r="G597" s="18"/>
      <c r="H597" s="89"/>
      <c r="I597" s="89"/>
      <c r="J597" s="90"/>
    </row>
    <row r="598">
      <c r="A598" s="91"/>
      <c r="B598" s="59"/>
      <c r="C598" s="25"/>
      <c r="D598" s="59"/>
      <c r="E598" s="59"/>
      <c r="F598" s="59"/>
      <c r="G598" s="25"/>
      <c r="H598" s="92"/>
      <c r="I598" s="92"/>
      <c r="J598" s="93"/>
    </row>
    <row r="599">
      <c r="A599" s="87"/>
      <c r="B599" s="88"/>
      <c r="C599" s="18"/>
      <c r="D599" s="88"/>
      <c r="E599" s="88"/>
      <c r="F599" s="88"/>
      <c r="G599" s="18"/>
      <c r="H599" s="89"/>
      <c r="I599" s="89"/>
      <c r="J599" s="90"/>
    </row>
    <row r="600">
      <c r="A600" s="91"/>
      <c r="B600" s="59"/>
      <c r="C600" s="25"/>
      <c r="D600" s="59"/>
      <c r="E600" s="59"/>
      <c r="F600" s="59"/>
      <c r="G600" s="25"/>
      <c r="H600" s="92"/>
      <c r="I600" s="92"/>
      <c r="J600" s="93"/>
    </row>
    <row r="601">
      <c r="A601" s="87"/>
      <c r="B601" s="88"/>
      <c r="C601" s="18"/>
      <c r="D601" s="88"/>
      <c r="E601" s="88"/>
      <c r="F601" s="88"/>
      <c r="G601" s="18"/>
      <c r="H601" s="89"/>
      <c r="I601" s="89"/>
      <c r="J601" s="90"/>
    </row>
    <row r="602">
      <c r="A602" s="91"/>
      <c r="B602" s="59"/>
      <c r="C602" s="25"/>
      <c r="D602" s="59"/>
      <c r="E602" s="59"/>
      <c r="F602" s="59"/>
      <c r="G602" s="25"/>
      <c r="H602" s="92"/>
      <c r="I602" s="92"/>
      <c r="J602" s="93"/>
    </row>
    <row r="603">
      <c r="A603" s="87"/>
      <c r="B603" s="88"/>
      <c r="C603" s="18"/>
      <c r="D603" s="88"/>
      <c r="E603" s="88"/>
      <c r="F603" s="88"/>
      <c r="G603" s="18"/>
      <c r="H603" s="89"/>
      <c r="I603" s="89"/>
      <c r="J603" s="90"/>
    </row>
    <row r="604">
      <c r="A604" s="91"/>
      <c r="B604" s="59"/>
      <c r="C604" s="25"/>
      <c r="D604" s="59"/>
      <c r="E604" s="59"/>
      <c r="F604" s="59"/>
      <c r="G604" s="25"/>
      <c r="H604" s="92"/>
      <c r="I604" s="92"/>
      <c r="J604" s="93"/>
    </row>
    <row r="605">
      <c r="A605" s="87"/>
      <c r="B605" s="88"/>
      <c r="C605" s="18"/>
      <c r="D605" s="88"/>
      <c r="E605" s="88"/>
      <c r="F605" s="88"/>
      <c r="G605" s="18"/>
      <c r="H605" s="89"/>
      <c r="I605" s="89"/>
      <c r="J605" s="90"/>
    </row>
    <row r="606">
      <c r="A606" s="91"/>
      <c r="B606" s="59"/>
      <c r="C606" s="25"/>
      <c r="D606" s="59"/>
      <c r="E606" s="59"/>
      <c r="F606" s="59"/>
      <c r="G606" s="25"/>
      <c r="H606" s="92"/>
      <c r="I606" s="92"/>
      <c r="J606" s="93"/>
    </row>
    <row r="607">
      <c r="A607" s="87"/>
      <c r="B607" s="88"/>
      <c r="C607" s="18"/>
      <c r="D607" s="88"/>
      <c r="E607" s="88"/>
      <c r="F607" s="88"/>
      <c r="G607" s="18"/>
      <c r="H607" s="89"/>
      <c r="I607" s="89"/>
      <c r="J607" s="90"/>
    </row>
    <row r="608">
      <c r="A608" s="91"/>
      <c r="B608" s="59"/>
      <c r="C608" s="25"/>
      <c r="D608" s="59"/>
      <c r="E608" s="59"/>
      <c r="F608" s="59"/>
      <c r="G608" s="25"/>
      <c r="H608" s="92"/>
      <c r="I608" s="92"/>
      <c r="J608" s="93"/>
    </row>
    <row r="609">
      <c r="A609" s="87"/>
      <c r="B609" s="88"/>
      <c r="C609" s="18"/>
      <c r="D609" s="88"/>
      <c r="E609" s="88"/>
      <c r="F609" s="88"/>
      <c r="G609" s="18"/>
      <c r="H609" s="89"/>
      <c r="I609" s="89"/>
      <c r="J609" s="90"/>
    </row>
    <row r="610">
      <c r="A610" s="91"/>
      <c r="B610" s="59"/>
      <c r="C610" s="25"/>
      <c r="D610" s="59"/>
      <c r="E610" s="59"/>
      <c r="F610" s="59"/>
      <c r="G610" s="25"/>
      <c r="H610" s="92"/>
      <c r="I610" s="92"/>
      <c r="J610" s="93"/>
    </row>
    <row r="611">
      <c r="A611" s="87"/>
      <c r="B611" s="88"/>
      <c r="C611" s="18"/>
      <c r="D611" s="88"/>
      <c r="E611" s="88"/>
      <c r="F611" s="88"/>
      <c r="G611" s="18"/>
      <c r="H611" s="89"/>
      <c r="I611" s="89"/>
      <c r="J611" s="90"/>
    </row>
    <row r="612">
      <c r="A612" s="91"/>
      <c r="B612" s="59"/>
      <c r="C612" s="25"/>
      <c r="D612" s="59"/>
      <c r="E612" s="59"/>
      <c r="F612" s="59"/>
      <c r="G612" s="25"/>
      <c r="H612" s="92"/>
      <c r="I612" s="92"/>
      <c r="J612" s="93"/>
    </row>
    <row r="613">
      <c r="A613" s="87"/>
      <c r="B613" s="88"/>
      <c r="C613" s="18"/>
      <c r="D613" s="88"/>
      <c r="E613" s="88"/>
      <c r="F613" s="88"/>
      <c r="G613" s="18"/>
      <c r="H613" s="89"/>
      <c r="I613" s="89"/>
      <c r="J613" s="90"/>
    </row>
    <row r="614">
      <c r="A614" s="91"/>
      <c r="B614" s="59"/>
      <c r="C614" s="25"/>
      <c r="D614" s="59"/>
      <c r="E614" s="59"/>
      <c r="F614" s="59"/>
      <c r="G614" s="25"/>
      <c r="H614" s="92"/>
      <c r="I614" s="92"/>
      <c r="J614" s="93"/>
    </row>
    <row r="615">
      <c r="A615" s="87"/>
      <c r="B615" s="88"/>
      <c r="C615" s="18"/>
      <c r="D615" s="88"/>
      <c r="E615" s="88"/>
      <c r="F615" s="88"/>
      <c r="G615" s="18"/>
      <c r="H615" s="89"/>
      <c r="I615" s="89"/>
      <c r="J615" s="90"/>
    </row>
    <row r="616">
      <c r="A616" s="91"/>
      <c r="B616" s="59"/>
      <c r="C616" s="25"/>
      <c r="D616" s="59"/>
      <c r="E616" s="59"/>
      <c r="F616" s="59"/>
      <c r="G616" s="25"/>
      <c r="H616" s="92"/>
      <c r="I616" s="92"/>
      <c r="J616" s="93"/>
    </row>
    <row r="617">
      <c r="A617" s="87"/>
      <c r="B617" s="88"/>
      <c r="C617" s="18"/>
      <c r="D617" s="88"/>
      <c r="E617" s="88"/>
      <c r="F617" s="88"/>
      <c r="G617" s="18"/>
      <c r="H617" s="89"/>
      <c r="I617" s="89"/>
      <c r="J617" s="90"/>
    </row>
    <row r="618">
      <c r="A618" s="91"/>
      <c r="B618" s="59"/>
      <c r="C618" s="25"/>
      <c r="D618" s="59"/>
      <c r="E618" s="59"/>
      <c r="F618" s="59"/>
      <c r="G618" s="25"/>
      <c r="H618" s="92"/>
      <c r="I618" s="92"/>
      <c r="J618" s="93"/>
    </row>
    <row r="619">
      <c r="A619" s="87"/>
      <c r="B619" s="88"/>
      <c r="C619" s="18"/>
      <c r="D619" s="88"/>
      <c r="E619" s="88"/>
      <c r="F619" s="88"/>
      <c r="G619" s="18"/>
      <c r="H619" s="89"/>
      <c r="I619" s="89"/>
      <c r="J619" s="90"/>
    </row>
    <row r="620">
      <c r="A620" s="91"/>
      <c r="B620" s="59"/>
      <c r="C620" s="25"/>
      <c r="D620" s="59"/>
      <c r="E620" s="59"/>
      <c r="F620" s="59"/>
      <c r="G620" s="25"/>
      <c r="H620" s="92"/>
      <c r="I620" s="92"/>
      <c r="J620" s="93"/>
    </row>
    <row r="621">
      <c r="A621" s="87"/>
      <c r="B621" s="88"/>
      <c r="C621" s="18"/>
      <c r="D621" s="88"/>
      <c r="E621" s="88"/>
      <c r="F621" s="88"/>
      <c r="G621" s="18"/>
      <c r="H621" s="89"/>
      <c r="I621" s="89"/>
      <c r="J621" s="90"/>
    </row>
    <row r="622">
      <c r="A622" s="91"/>
      <c r="B622" s="59"/>
      <c r="C622" s="25"/>
      <c r="D622" s="59"/>
      <c r="E622" s="59"/>
      <c r="F622" s="59"/>
      <c r="G622" s="25"/>
      <c r="H622" s="92"/>
      <c r="I622" s="92"/>
      <c r="J622" s="93"/>
    </row>
    <row r="623">
      <c r="A623" s="87"/>
      <c r="B623" s="88"/>
      <c r="C623" s="18"/>
      <c r="D623" s="88"/>
      <c r="E623" s="88"/>
      <c r="F623" s="88"/>
      <c r="G623" s="18"/>
      <c r="H623" s="89"/>
      <c r="I623" s="89"/>
      <c r="J623" s="90"/>
    </row>
    <row r="624">
      <c r="A624" s="91"/>
      <c r="B624" s="59"/>
      <c r="C624" s="25"/>
      <c r="D624" s="59"/>
      <c r="E624" s="59"/>
      <c r="F624" s="59"/>
      <c r="G624" s="25"/>
      <c r="H624" s="92"/>
      <c r="I624" s="92"/>
      <c r="J624" s="93"/>
    </row>
    <row r="625">
      <c r="A625" s="87"/>
      <c r="B625" s="88"/>
      <c r="C625" s="18"/>
      <c r="D625" s="88"/>
      <c r="E625" s="88"/>
      <c r="F625" s="88"/>
      <c r="G625" s="18"/>
      <c r="H625" s="89"/>
      <c r="I625" s="89"/>
      <c r="J625" s="90"/>
    </row>
    <row r="626">
      <c r="A626" s="91"/>
      <c r="B626" s="59"/>
      <c r="C626" s="25"/>
      <c r="D626" s="59"/>
      <c r="E626" s="59"/>
      <c r="F626" s="59"/>
      <c r="G626" s="25"/>
      <c r="H626" s="92"/>
      <c r="I626" s="92"/>
      <c r="J626" s="93"/>
    </row>
    <row r="627">
      <c r="A627" s="87"/>
      <c r="B627" s="88"/>
      <c r="C627" s="18"/>
      <c r="D627" s="88"/>
      <c r="E627" s="88"/>
      <c r="F627" s="88"/>
      <c r="G627" s="18"/>
      <c r="H627" s="89"/>
      <c r="I627" s="89"/>
      <c r="J627" s="90"/>
    </row>
    <row r="628">
      <c r="A628" s="91"/>
      <c r="B628" s="59"/>
      <c r="C628" s="25"/>
      <c r="D628" s="59"/>
      <c r="E628" s="59"/>
      <c r="F628" s="59"/>
      <c r="G628" s="25"/>
      <c r="H628" s="92"/>
      <c r="I628" s="92"/>
      <c r="J628" s="93"/>
    </row>
    <row r="629">
      <c r="A629" s="87"/>
      <c r="B629" s="88"/>
      <c r="C629" s="18"/>
      <c r="D629" s="88"/>
      <c r="E629" s="88"/>
      <c r="F629" s="88"/>
      <c r="G629" s="18"/>
      <c r="H629" s="89"/>
      <c r="I629" s="89"/>
      <c r="J629" s="90"/>
    </row>
    <row r="630">
      <c r="A630" s="91"/>
      <c r="B630" s="59"/>
      <c r="C630" s="25"/>
      <c r="D630" s="59"/>
      <c r="E630" s="59"/>
      <c r="F630" s="59"/>
      <c r="G630" s="25"/>
      <c r="H630" s="92"/>
      <c r="I630" s="92"/>
      <c r="J630" s="93"/>
    </row>
    <row r="631">
      <c r="A631" s="87"/>
      <c r="B631" s="88"/>
      <c r="C631" s="18"/>
      <c r="D631" s="88"/>
      <c r="E631" s="88"/>
      <c r="F631" s="88"/>
      <c r="G631" s="18"/>
      <c r="H631" s="89"/>
      <c r="I631" s="89"/>
      <c r="J631" s="90"/>
    </row>
    <row r="632">
      <c r="A632" s="91"/>
      <c r="B632" s="59"/>
      <c r="C632" s="25"/>
      <c r="D632" s="59"/>
      <c r="E632" s="59"/>
      <c r="F632" s="59"/>
      <c r="G632" s="25"/>
      <c r="H632" s="92"/>
      <c r="I632" s="92"/>
      <c r="J632" s="93"/>
    </row>
    <row r="633">
      <c r="A633" s="87"/>
      <c r="B633" s="88"/>
      <c r="C633" s="18"/>
      <c r="D633" s="88"/>
      <c r="E633" s="88"/>
      <c r="F633" s="88"/>
      <c r="G633" s="18"/>
      <c r="H633" s="89"/>
      <c r="I633" s="89"/>
      <c r="J633" s="90"/>
    </row>
    <row r="634">
      <c r="A634" s="91"/>
      <c r="B634" s="59"/>
      <c r="C634" s="25"/>
      <c r="D634" s="59"/>
      <c r="E634" s="59"/>
      <c r="F634" s="59"/>
      <c r="G634" s="25"/>
      <c r="H634" s="92"/>
      <c r="I634" s="92"/>
      <c r="J634" s="93"/>
    </row>
    <row r="635">
      <c r="A635" s="87"/>
      <c r="B635" s="88"/>
      <c r="C635" s="18"/>
      <c r="D635" s="88"/>
      <c r="E635" s="88"/>
      <c r="F635" s="88"/>
      <c r="G635" s="18"/>
      <c r="H635" s="89"/>
      <c r="I635" s="89"/>
      <c r="J635" s="90"/>
    </row>
    <row r="636">
      <c r="A636" s="91"/>
      <c r="B636" s="59"/>
      <c r="C636" s="25"/>
      <c r="D636" s="59"/>
      <c r="E636" s="59"/>
      <c r="F636" s="59"/>
      <c r="G636" s="25"/>
      <c r="H636" s="92"/>
      <c r="I636" s="92"/>
      <c r="J636" s="93"/>
    </row>
    <row r="637">
      <c r="A637" s="87"/>
      <c r="B637" s="88"/>
      <c r="C637" s="18"/>
      <c r="D637" s="88"/>
      <c r="E637" s="88"/>
      <c r="F637" s="88"/>
      <c r="G637" s="18"/>
      <c r="H637" s="89"/>
      <c r="I637" s="89"/>
      <c r="J637" s="90"/>
    </row>
    <row r="638">
      <c r="A638" s="91"/>
      <c r="B638" s="59"/>
      <c r="C638" s="25"/>
      <c r="D638" s="59"/>
      <c r="E638" s="59"/>
      <c r="F638" s="59"/>
      <c r="G638" s="25"/>
      <c r="H638" s="92"/>
      <c r="I638" s="92"/>
      <c r="J638" s="93"/>
    </row>
    <row r="639">
      <c r="A639" s="87"/>
      <c r="B639" s="88"/>
      <c r="C639" s="18"/>
      <c r="D639" s="88"/>
      <c r="E639" s="88"/>
      <c r="F639" s="88"/>
      <c r="G639" s="18"/>
      <c r="H639" s="89"/>
      <c r="I639" s="89"/>
      <c r="J639" s="90"/>
    </row>
    <row r="640">
      <c r="A640" s="91"/>
      <c r="B640" s="59"/>
      <c r="C640" s="25"/>
      <c r="D640" s="59"/>
      <c r="E640" s="59"/>
      <c r="F640" s="59"/>
      <c r="G640" s="25"/>
      <c r="H640" s="92"/>
      <c r="I640" s="92"/>
      <c r="J640" s="93"/>
    </row>
    <row r="641">
      <c r="A641" s="87"/>
      <c r="B641" s="88"/>
      <c r="C641" s="18"/>
      <c r="D641" s="88"/>
      <c r="E641" s="88"/>
      <c r="F641" s="88"/>
      <c r="G641" s="18"/>
      <c r="H641" s="89"/>
      <c r="I641" s="89"/>
      <c r="J641" s="90"/>
    </row>
    <row r="642">
      <c r="A642" s="91"/>
      <c r="B642" s="59"/>
      <c r="C642" s="25"/>
      <c r="D642" s="59"/>
      <c r="E642" s="59"/>
      <c r="F642" s="59"/>
      <c r="G642" s="25"/>
      <c r="H642" s="92"/>
      <c r="I642" s="92"/>
      <c r="J642" s="93"/>
    </row>
    <row r="643">
      <c r="A643" s="87"/>
      <c r="B643" s="88"/>
      <c r="C643" s="18"/>
      <c r="D643" s="88"/>
      <c r="E643" s="88"/>
      <c r="F643" s="88"/>
      <c r="G643" s="18"/>
      <c r="H643" s="89"/>
      <c r="I643" s="89"/>
      <c r="J643" s="90"/>
    </row>
    <row r="644">
      <c r="A644" s="91"/>
      <c r="B644" s="59"/>
      <c r="C644" s="25"/>
      <c r="D644" s="59"/>
      <c r="E644" s="59"/>
      <c r="F644" s="59"/>
      <c r="G644" s="25"/>
      <c r="H644" s="92"/>
      <c r="I644" s="92"/>
      <c r="J644" s="93"/>
    </row>
    <row r="645">
      <c r="A645" s="87"/>
      <c r="B645" s="88"/>
      <c r="C645" s="18"/>
      <c r="D645" s="88"/>
      <c r="E645" s="88"/>
      <c r="F645" s="88"/>
      <c r="G645" s="18"/>
      <c r="H645" s="89"/>
      <c r="I645" s="89"/>
      <c r="J645" s="90"/>
    </row>
    <row r="646">
      <c r="A646" s="91"/>
      <c r="B646" s="59"/>
      <c r="C646" s="25"/>
      <c r="D646" s="59"/>
      <c r="E646" s="59"/>
      <c r="F646" s="59"/>
      <c r="G646" s="25"/>
      <c r="H646" s="92"/>
      <c r="I646" s="92"/>
      <c r="J646" s="93"/>
    </row>
    <row r="647">
      <c r="A647" s="87"/>
      <c r="B647" s="88"/>
      <c r="C647" s="18"/>
      <c r="D647" s="88"/>
      <c r="E647" s="88"/>
      <c r="F647" s="88"/>
      <c r="G647" s="18"/>
      <c r="H647" s="89"/>
      <c r="I647" s="89"/>
      <c r="J647" s="90"/>
    </row>
    <row r="648">
      <c r="A648" s="91"/>
      <c r="B648" s="59"/>
      <c r="C648" s="25"/>
      <c r="D648" s="59"/>
      <c r="E648" s="59"/>
      <c r="F648" s="59"/>
      <c r="G648" s="25"/>
      <c r="H648" s="92"/>
      <c r="I648" s="92"/>
      <c r="J648" s="93"/>
    </row>
    <row r="649">
      <c r="A649" s="87"/>
      <c r="B649" s="88"/>
      <c r="C649" s="18"/>
      <c r="D649" s="88"/>
      <c r="E649" s="88"/>
      <c r="F649" s="88"/>
      <c r="G649" s="18"/>
      <c r="H649" s="89"/>
      <c r="I649" s="89"/>
      <c r="J649" s="90"/>
    </row>
    <row r="650">
      <c r="A650" s="91"/>
      <c r="B650" s="59"/>
      <c r="C650" s="25"/>
      <c r="D650" s="59"/>
      <c r="E650" s="59"/>
      <c r="F650" s="59"/>
      <c r="G650" s="25"/>
      <c r="H650" s="92"/>
      <c r="I650" s="92"/>
      <c r="J650" s="93"/>
    </row>
    <row r="651">
      <c r="A651" s="87"/>
      <c r="B651" s="88"/>
      <c r="C651" s="18"/>
      <c r="D651" s="88"/>
      <c r="E651" s="88"/>
      <c r="F651" s="88"/>
      <c r="G651" s="18"/>
      <c r="H651" s="89"/>
      <c r="I651" s="89"/>
      <c r="J651" s="90"/>
    </row>
    <row r="652">
      <c r="A652" s="91"/>
      <c r="B652" s="59"/>
      <c r="C652" s="25"/>
      <c r="D652" s="59"/>
      <c r="E652" s="59"/>
      <c r="F652" s="59"/>
      <c r="G652" s="25"/>
      <c r="H652" s="92"/>
      <c r="I652" s="92"/>
      <c r="J652" s="93"/>
    </row>
    <row r="653">
      <c r="A653" s="87"/>
      <c r="B653" s="88"/>
      <c r="C653" s="18"/>
      <c r="D653" s="88"/>
      <c r="E653" s="88"/>
      <c r="F653" s="88"/>
      <c r="G653" s="18"/>
      <c r="H653" s="89"/>
      <c r="I653" s="89"/>
      <c r="J653" s="90"/>
    </row>
    <row r="654">
      <c r="A654" s="91"/>
      <c r="B654" s="59"/>
      <c r="C654" s="25"/>
      <c r="D654" s="59"/>
      <c r="E654" s="59"/>
      <c r="F654" s="59"/>
      <c r="G654" s="25"/>
      <c r="H654" s="92"/>
      <c r="I654" s="92"/>
      <c r="J654" s="93"/>
    </row>
    <row r="655">
      <c r="A655" s="87"/>
      <c r="B655" s="88"/>
      <c r="C655" s="18"/>
      <c r="D655" s="88"/>
      <c r="E655" s="88"/>
      <c r="F655" s="88"/>
      <c r="G655" s="18"/>
      <c r="H655" s="89"/>
      <c r="I655" s="89"/>
      <c r="J655" s="90"/>
    </row>
    <row r="656">
      <c r="A656" s="91"/>
      <c r="B656" s="59"/>
      <c r="C656" s="25"/>
      <c r="D656" s="59"/>
      <c r="E656" s="59"/>
      <c r="F656" s="59"/>
      <c r="G656" s="25"/>
      <c r="H656" s="92"/>
      <c r="I656" s="92"/>
      <c r="J656" s="93"/>
    </row>
    <row r="657">
      <c r="A657" s="87"/>
      <c r="B657" s="88"/>
      <c r="C657" s="18"/>
      <c r="D657" s="88"/>
      <c r="E657" s="88"/>
      <c r="F657" s="88"/>
      <c r="G657" s="18"/>
      <c r="H657" s="89"/>
      <c r="I657" s="89"/>
      <c r="J657" s="90"/>
    </row>
    <row r="658">
      <c r="A658" s="91"/>
      <c r="B658" s="59"/>
      <c r="C658" s="25"/>
      <c r="D658" s="59"/>
      <c r="E658" s="59"/>
      <c r="F658" s="59"/>
      <c r="G658" s="25"/>
      <c r="H658" s="92"/>
      <c r="I658" s="92"/>
      <c r="J658" s="93"/>
    </row>
    <row r="659">
      <c r="A659" s="87"/>
      <c r="B659" s="88"/>
      <c r="C659" s="18"/>
      <c r="D659" s="88"/>
      <c r="E659" s="88"/>
      <c r="F659" s="88"/>
      <c r="G659" s="18"/>
      <c r="H659" s="89"/>
      <c r="I659" s="89"/>
      <c r="J659" s="90"/>
    </row>
    <row r="660">
      <c r="A660" s="91"/>
      <c r="B660" s="59"/>
      <c r="C660" s="25"/>
      <c r="D660" s="59"/>
      <c r="E660" s="59"/>
      <c r="F660" s="59"/>
      <c r="G660" s="25"/>
      <c r="H660" s="92"/>
      <c r="I660" s="92"/>
      <c r="J660" s="93"/>
    </row>
    <row r="661">
      <c r="A661" s="87"/>
      <c r="B661" s="88"/>
      <c r="C661" s="18"/>
      <c r="D661" s="88"/>
      <c r="E661" s="88"/>
      <c r="F661" s="88"/>
      <c r="G661" s="18"/>
      <c r="H661" s="89"/>
      <c r="I661" s="89"/>
      <c r="J661" s="90"/>
    </row>
    <row r="662">
      <c r="A662" s="91"/>
      <c r="B662" s="59"/>
      <c r="C662" s="25"/>
      <c r="D662" s="59"/>
      <c r="E662" s="59"/>
      <c r="F662" s="59"/>
      <c r="G662" s="25"/>
      <c r="H662" s="92"/>
      <c r="I662" s="92"/>
      <c r="J662" s="93"/>
    </row>
    <row r="663">
      <c r="A663" s="87"/>
      <c r="B663" s="88"/>
      <c r="C663" s="18"/>
      <c r="D663" s="88"/>
      <c r="E663" s="88"/>
      <c r="F663" s="88"/>
      <c r="G663" s="18"/>
      <c r="H663" s="89"/>
      <c r="I663" s="89"/>
      <c r="J663" s="90"/>
    </row>
    <row r="664">
      <c r="A664" s="91"/>
      <c r="B664" s="59"/>
      <c r="C664" s="25"/>
      <c r="D664" s="59"/>
      <c r="E664" s="59"/>
      <c r="F664" s="59"/>
      <c r="G664" s="25"/>
      <c r="H664" s="92"/>
      <c r="I664" s="92"/>
      <c r="J664" s="93"/>
    </row>
    <row r="665">
      <c r="A665" s="87"/>
      <c r="B665" s="88"/>
      <c r="C665" s="18"/>
      <c r="D665" s="88"/>
      <c r="E665" s="88"/>
      <c r="F665" s="88"/>
      <c r="G665" s="18"/>
      <c r="H665" s="89"/>
      <c r="I665" s="89"/>
      <c r="J665" s="90"/>
    </row>
    <row r="666">
      <c r="A666" s="91"/>
      <c r="B666" s="59"/>
      <c r="C666" s="25"/>
      <c r="D666" s="59"/>
      <c r="E666" s="59"/>
      <c r="F666" s="59"/>
      <c r="G666" s="25"/>
      <c r="H666" s="92"/>
      <c r="I666" s="92"/>
      <c r="J666" s="93"/>
    </row>
    <row r="667">
      <c r="A667" s="87"/>
      <c r="B667" s="88"/>
      <c r="C667" s="18"/>
      <c r="D667" s="88"/>
      <c r="E667" s="88"/>
      <c r="F667" s="88"/>
      <c r="G667" s="18"/>
      <c r="H667" s="89"/>
      <c r="I667" s="89"/>
      <c r="J667" s="90"/>
    </row>
    <row r="668">
      <c r="A668" s="91"/>
      <c r="B668" s="59"/>
      <c r="C668" s="25"/>
      <c r="D668" s="59"/>
      <c r="E668" s="59"/>
      <c r="F668" s="59"/>
      <c r="G668" s="25"/>
      <c r="H668" s="92"/>
      <c r="I668" s="92"/>
      <c r="J668" s="93"/>
    </row>
    <row r="669">
      <c r="A669" s="87"/>
      <c r="B669" s="88"/>
      <c r="C669" s="18"/>
      <c r="D669" s="88"/>
      <c r="E669" s="88"/>
      <c r="F669" s="88"/>
      <c r="G669" s="18"/>
      <c r="H669" s="89"/>
      <c r="I669" s="89"/>
      <c r="J669" s="90"/>
    </row>
    <row r="670">
      <c r="A670" s="91"/>
      <c r="B670" s="59"/>
      <c r="C670" s="25"/>
      <c r="D670" s="59"/>
      <c r="E670" s="59"/>
      <c r="F670" s="59"/>
      <c r="G670" s="25"/>
      <c r="H670" s="92"/>
      <c r="I670" s="92"/>
      <c r="J670" s="93"/>
    </row>
    <row r="671">
      <c r="A671" s="87"/>
      <c r="B671" s="88"/>
      <c r="C671" s="18"/>
      <c r="D671" s="88"/>
      <c r="E671" s="88"/>
      <c r="F671" s="88"/>
      <c r="G671" s="18"/>
      <c r="H671" s="89"/>
      <c r="I671" s="89"/>
      <c r="J671" s="90"/>
    </row>
    <row r="672">
      <c r="A672" s="91"/>
      <c r="B672" s="59"/>
      <c r="C672" s="25"/>
      <c r="D672" s="59"/>
      <c r="E672" s="59"/>
      <c r="F672" s="59"/>
      <c r="G672" s="25"/>
      <c r="H672" s="92"/>
      <c r="I672" s="92"/>
      <c r="J672" s="93"/>
    </row>
    <row r="673">
      <c r="A673" s="87"/>
      <c r="B673" s="88"/>
      <c r="C673" s="18"/>
      <c r="D673" s="88"/>
      <c r="E673" s="88"/>
      <c r="F673" s="88"/>
      <c r="G673" s="18"/>
      <c r="H673" s="89"/>
      <c r="I673" s="89"/>
      <c r="J673" s="90"/>
    </row>
    <row r="674">
      <c r="A674" s="91"/>
      <c r="B674" s="59"/>
      <c r="C674" s="25"/>
      <c r="D674" s="59"/>
      <c r="E674" s="59"/>
      <c r="F674" s="59"/>
      <c r="G674" s="25"/>
      <c r="H674" s="92"/>
      <c r="I674" s="92"/>
      <c r="J674" s="93"/>
    </row>
    <row r="675">
      <c r="A675" s="87"/>
      <c r="B675" s="88"/>
      <c r="C675" s="18"/>
      <c r="D675" s="88"/>
      <c r="E675" s="88"/>
      <c r="F675" s="88"/>
      <c r="G675" s="18"/>
      <c r="H675" s="89"/>
      <c r="I675" s="89"/>
      <c r="J675" s="90"/>
    </row>
    <row r="676">
      <c r="A676" s="91"/>
      <c r="B676" s="59"/>
      <c r="C676" s="25"/>
      <c r="D676" s="59"/>
      <c r="E676" s="59"/>
      <c r="F676" s="59"/>
      <c r="G676" s="25"/>
      <c r="H676" s="92"/>
      <c r="I676" s="92"/>
      <c r="J676" s="93"/>
    </row>
    <row r="677">
      <c r="A677" s="87"/>
      <c r="B677" s="88"/>
      <c r="C677" s="18"/>
      <c r="D677" s="88"/>
      <c r="E677" s="88"/>
      <c r="F677" s="88"/>
      <c r="G677" s="18"/>
      <c r="H677" s="89"/>
      <c r="I677" s="89"/>
      <c r="J677" s="90"/>
    </row>
    <row r="678">
      <c r="A678" s="91"/>
      <c r="B678" s="59"/>
      <c r="C678" s="25"/>
      <c r="D678" s="59"/>
      <c r="E678" s="59"/>
      <c r="F678" s="59"/>
      <c r="G678" s="25"/>
      <c r="H678" s="92"/>
      <c r="I678" s="92"/>
      <c r="J678" s="93"/>
    </row>
    <row r="679">
      <c r="A679" s="87"/>
      <c r="B679" s="88"/>
      <c r="C679" s="18"/>
      <c r="D679" s="88"/>
      <c r="E679" s="88"/>
      <c r="F679" s="88"/>
      <c r="G679" s="18"/>
      <c r="H679" s="89"/>
      <c r="I679" s="89"/>
      <c r="J679" s="90"/>
    </row>
    <row r="680">
      <c r="A680" s="91"/>
      <c r="B680" s="59"/>
      <c r="C680" s="25"/>
      <c r="D680" s="59"/>
      <c r="E680" s="59"/>
      <c r="F680" s="59"/>
      <c r="G680" s="25"/>
      <c r="H680" s="92"/>
      <c r="I680" s="92"/>
      <c r="J680" s="93"/>
    </row>
    <row r="681">
      <c r="A681" s="87"/>
      <c r="B681" s="88"/>
      <c r="C681" s="18"/>
      <c r="D681" s="88"/>
      <c r="E681" s="88"/>
      <c r="F681" s="88"/>
      <c r="G681" s="18"/>
      <c r="H681" s="89"/>
      <c r="I681" s="89"/>
      <c r="J681" s="90"/>
    </row>
    <row r="682">
      <c r="A682" s="91"/>
      <c r="B682" s="59"/>
      <c r="C682" s="25"/>
      <c r="D682" s="59"/>
      <c r="E682" s="59"/>
      <c r="F682" s="59"/>
      <c r="G682" s="25"/>
      <c r="H682" s="92"/>
      <c r="I682" s="92"/>
      <c r="J682" s="93"/>
    </row>
    <row r="683">
      <c r="A683" s="87"/>
      <c r="B683" s="88"/>
      <c r="C683" s="18"/>
      <c r="D683" s="88"/>
      <c r="E683" s="88"/>
      <c r="F683" s="88"/>
      <c r="G683" s="18"/>
      <c r="H683" s="89"/>
      <c r="I683" s="89"/>
      <c r="J683" s="90"/>
    </row>
    <row r="684">
      <c r="A684" s="91"/>
      <c r="B684" s="59"/>
      <c r="C684" s="25"/>
      <c r="D684" s="59"/>
      <c r="E684" s="59"/>
      <c r="F684" s="59"/>
      <c r="G684" s="25"/>
      <c r="H684" s="92"/>
      <c r="I684" s="92"/>
      <c r="J684" s="93"/>
    </row>
    <row r="685">
      <c r="A685" s="87"/>
      <c r="B685" s="88"/>
      <c r="C685" s="18"/>
      <c r="D685" s="88"/>
      <c r="E685" s="88"/>
      <c r="F685" s="88"/>
      <c r="G685" s="18"/>
      <c r="H685" s="89"/>
      <c r="I685" s="89"/>
      <c r="J685" s="90"/>
    </row>
    <row r="686">
      <c r="A686" s="91"/>
      <c r="B686" s="59"/>
      <c r="C686" s="25"/>
      <c r="D686" s="59"/>
      <c r="E686" s="59"/>
      <c r="F686" s="59"/>
      <c r="G686" s="25"/>
      <c r="H686" s="92"/>
      <c r="I686" s="92"/>
      <c r="J686" s="93"/>
    </row>
    <row r="687">
      <c r="A687" s="87"/>
      <c r="B687" s="88"/>
      <c r="C687" s="18"/>
      <c r="D687" s="88"/>
      <c r="E687" s="88"/>
      <c r="F687" s="88"/>
      <c r="G687" s="18"/>
      <c r="H687" s="89"/>
      <c r="I687" s="89"/>
      <c r="J687" s="90"/>
    </row>
    <row r="688">
      <c r="A688" s="91"/>
      <c r="B688" s="59"/>
      <c r="C688" s="25"/>
      <c r="D688" s="59"/>
      <c r="E688" s="59"/>
      <c r="F688" s="59"/>
      <c r="G688" s="25"/>
      <c r="H688" s="92"/>
      <c r="I688" s="92"/>
      <c r="J688" s="93"/>
    </row>
    <row r="689">
      <c r="A689" s="87"/>
      <c r="B689" s="88"/>
      <c r="C689" s="18"/>
      <c r="D689" s="88"/>
      <c r="E689" s="88"/>
      <c r="F689" s="88"/>
      <c r="G689" s="18"/>
      <c r="H689" s="89"/>
      <c r="I689" s="89"/>
      <c r="J689" s="90"/>
    </row>
    <row r="690">
      <c r="A690" s="91"/>
      <c r="B690" s="59"/>
      <c r="C690" s="25"/>
      <c r="D690" s="59"/>
      <c r="E690" s="59"/>
      <c r="F690" s="59"/>
      <c r="G690" s="25"/>
      <c r="H690" s="92"/>
      <c r="I690" s="92"/>
      <c r="J690" s="93"/>
    </row>
    <row r="691">
      <c r="A691" s="87"/>
      <c r="B691" s="88"/>
      <c r="C691" s="18"/>
      <c r="D691" s="88"/>
      <c r="E691" s="88"/>
      <c r="F691" s="88"/>
      <c r="G691" s="18"/>
      <c r="H691" s="89"/>
      <c r="I691" s="89"/>
      <c r="J691" s="90"/>
    </row>
    <row r="692">
      <c r="A692" s="91"/>
      <c r="B692" s="59"/>
      <c r="C692" s="25"/>
      <c r="D692" s="59"/>
      <c r="E692" s="59"/>
      <c r="F692" s="59"/>
      <c r="G692" s="25"/>
      <c r="H692" s="92"/>
      <c r="I692" s="92"/>
      <c r="J692" s="93"/>
    </row>
    <row r="693">
      <c r="A693" s="87"/>
      <c r="B693" s="88"/>
      <c r="C693" s="18"/>
      <c r="D693" s="88"/>
      <c r="E693" s="88"/>
      <c r="F693" s="88"/>
      <c r="G693" s="18"/>
      <c r="H693" s="89"/>
      <c r="I693" s="89"/>
      <c r="J693" s="90"/>
    </row>
    <row r="694">
      <c r="A694" s="91"/>
      <c r="B694" s="59"/>
      <c r="C694" s="25"/>
      <c r="D694" s="59"/>
      <c r="E694" s="59"/>
      <c r="F694" s="59"/>
      <c r="G694" s="25"/>
      <c r="H694" s="92"/>
      <c r="I694" s="92"/>
      <c r="J694" s="93"/>
    </row>
    <row r="695">
      <c r="A695" s="87"/>
      <c r="B695" s="88"/>
      <c r="C695" s="18"/>
      <c r="D695" s="88"/>
      <c r="E695" s="88"/>
      <c r="F695" s="88"/>
      <c r="G695" s="18"/>
      <c r="H695" s="89"/>
      <c r="I695" s="89"/>
      <c r="J695" s="90"/>
    </row>
    <row r="696">
      <c r="A696" s="91"/>
      <c r="B696" s="59"/>
      <c r="C696" s="25"/>
      <c r="D696" s="59"/>
      <c r="E696" s="59"/>
      <c r="F696" s="59"/>
      <c r="G696" s="25"/>
      <c r="H696" s="92"/>
      <c r="I696" s="92"/>
      <c r="J696" s="93"/>
    </row>
    <row r="697">
      <c r="A697" s="87"/>
      <c r="B697" s="88"/>
      <c r="C697" s="18"/>
      <c r="D697" s="88"/>
      <c r="E697" s="88"/>
      <c r="F697" s="88"/>
      <c r="G697" s="18"/>
      <c r="H697" s="89"/>
      <c r="I697" s="89"/>
      <c r="J697" s="90"/>
    </row>
    <row r="698">
      <c r="A698" s="91"/>
      <c r="B698" s="59"/>
      <c r="C698" s="25"/>
      <c r="D698" s="59"/>
      <c r="E698" s="59"/>
      <c r="F698" s="59"/>
      <c r="G698" s="25"/>
      <c r="H698" s="92"/>
      <c r="I698" s="92"/>
      <c r="J698" s="93"/>
    </row>
    <row r="699">
      <c r="A699" s="87"/>
      <c r="B699" s="88"/>
      <c r="C699" s="18"/>
      <c r="D699" s="88"/>
      <c r="E699" s="88"/>
      <c r="F699" s="88"/>
      <c r="G699" s="18"/>
      <c r="H699" s="89"/>
      <c r="I699" s="89"/>
      <c r="J699" s="90"/>
    </row>
    <row r="700">
      <c r="A700" s="91"/>
      <c r="B700" s="59"/>
      <c r="C700" s="25"/>
      <c r="D700" s="59"/>
      <c r="E700" s="59"/>
      <c r="F700" s="59"/>
      <c r="G700" s="25"/>
      <c r="H700" s="92"/>
      <c r="I700" s="92"/>
      <c r="J700" s="93"/>
    </row>
    <row r="701">
      <c r="A701" s="87"/>
      <c r="B701" s="88"/>
      <c r="C701" s="18"/>
      <c r="D701" s="88"/>
      <c r="E701" s="88"/>
      <c r="F701" s="88"/>
      <c r="G701" s="18"/>
      <c r="H701" s="89"/>
      <c r="I701" s="89"/>
      <c r="J701" s="90"/>
    </row>
    <row r="702">
      <c r="A702" s="91"/>
      <c r="B702" s="59"/>
      <c r="C702" s="25"/>
      <c r="D702" s="59"/>
      <c r="E702" s="59"/>
      <c r="F702" s="59"/>
      <c r="G702" s="25"/>
      <c r="H702" s="92"/>
      <c r="I702" s="92"/>
      <c r="J702" s="93"/>
    </row>
    <row r="703">
      <c r="A703" s="87"/>
      <c r="B703" s="88"/>
      <c r="C703" s="18"/>
      <c r="D703" s="88"/>
      <c r="E703" s="88"/>
      <c r="F703" s="88"/>
      <c r="G703" s="18"/>
      <c r="H703" s="89"/>
      <c r="I703" s="89"/>
      <c r="J703" s="90"/>
    </row>
    <row r="704">
      <c r="A704" s="91"/>
      <c r="B704" s="59"/>
      <c r="C704" s="25"/>
      <c r="D704" s="59"/>
      <c r="E704" s="59"/>
      <c r="F704" s="59"/>
      <c r="G704" s="25"/>
      <c r="H704" s="92"/>
      <c r="I704" s="92"/>
      <c r="J704" s="93"/>
    </row>
    <row r="705">
      <c r="A705" s="87"/>
      <c r="B705" s="88"/>
      <c r="C705" s="18"/>
      <c r="D705" s="88"/>
      <c r="E705" s="88"/>
      <c r="F705" s="88"/>
      <c r="G705" s="18"/>
      <c r="H705" s="89"/>
      <c r="I705" s="89"/>
      <c r="J705" s="90"/>
    </row>
    <row r="706">
      <c r="A706" s="91"/>
      <c r="B706" s="59"/>
      <c r="C706" s="25"/>
      <c r="D706" s="59"/>
      <c r="E706" s="59"/>
      <c r="F706" s="59"/>
      <c r="G706" s="25"/>
      <c r="H706" s="92"/>
      <c r="I706" s="92"/>
      <c r="J706" s="93"/>
    </row>
    <row r="707">
      <c r="A707" s="87"/>
      <c r="B707" s="88"/>
      <c r="C707" s="18"/>
      <c r="D707" s="88"/>
      <c r="E707" s="88"/>
      <c r="F707" s="88"/>
      <c r="G707" s="18"/>
      <c r="H707" s="89"/>
      <c r="I707" s="89"/>
      <c r="J707" s="90"/>
    </row>
    <row r="708">
      <c r="A708" s="91"/>
      <c r="B708" s="59"/>
      <c r="C708" s="25"/>
      <c r="D708" s="59"/>
      <c r="E708" s="59"/>
      <c r="F708" s="59"/>
      <c r="G708" s="25"/>
      <c r="H708" s="92"/>
      <c r="I708" s="92"/>
      <c r="J708" s="93"/>
    </row>
    <row r="709">
      <c r="A709" s="87"/>
      <c r="B709" s="88"/>
      <c r="C709" s="18"/>
      <c r="D709" s="88"/>
      <c r="E709" s="88"/>
      <c r="F709" s="88"/>
      <c r="G709" s="18"/>
      <c r="H709" s="89"/>
      <c r="I709" s="89"/>
      <c r="J709" s="90"/>
    </row>
    <row r="710">
      <c r="A710" s="91"/>
      <c r="B710" s="59"/>
      <c r="C710" s="25"/>
      <c r="D710" s="59"/>
      <c r="E710" s="59"/>
      <c r="F710" s="59"/>
      <c r="G710" s="25"/>
      <c r="H710" s="92"/>
      <c r="I710" s="92"/>
      <c r="J710" s="93"/>
    </row>
    <row r="711">
      <c r="A711" s="87"/>
      <c r="B711" s="88"/>
      <c r="C711" s="18"/>
      <c r="D711" s="88"/>
      <c r="E711" s="88"/>
      <c r="F711" s="88"/>
      <c r="G711" s="18"/>
      <c r="H711" s="89"/>
      <c r="I711" s="89"/>
      <c r="J711" s="90"/>
    </row>
    <row r="712">
      <c r="A712" s="91"/>
      <c r="B712" s="59"/>
      <c r="C712" s="25"/>
      <c r="D712" s="59"/>
      <c r="E712" s="59"/>
      <c r="F712" s="59"/>
      <c r="G712" s="25"/>
      <c r="H712" s="92"/>
      <c r="I712" s="92"/>
      <c r="J712" s="93"/>
    </row>
    <row r="713">
      <c r="A713" s="87"/>
      <c r="B713" s="88"/>
      <c r="C713" s="18"/>
      <c r="D713" s="88"/>
      <c r="E713" s="88"/>
      <c r="F713" s="88"/>
      <c r="G713" s="18"/>
      <c r="H713" s="89"/>
      <c r="I713" s="89"/>
      <c r="J713" s="90"/>
    </row>
    <row r="714">
      <c r="A714" s="91"/>
      <c r="B714" s="59"/>
      <c r="C714" s="25"/>
      <c r="D714" s="59"/>
      <c r="E714" s="59"/>
      <c r="F714" s="59"/>
      <c r="G714" s="25"/>
      <c r="H714" s="92"/>
      <c r="I714" s="92"/>
      <c r="J714" s="93"/>
    </row>
    <row r="715">
      <c r="A715" s="87"/>
      <c r="B715" s="88"/>
      <c r="C715" s="18"/>
      <c r="D715" s="88"/>
      <c r="E715" s="88"/>
      <c r="F715" s="88"/>
      <c r="G715" s="18"/>
      <c r="H715" s="89"/>
      <c r="I715" s="89"/>
      <c r="J715" s="90"/>
    </row>
    <row r="716">
      <c r="A716" s="91"/>
      <c r="B716" s="59"/>
      <c r="C716" s="25"/>
      <c r="D716" s="59"/>
      <c r="E716" s="59"/>
      <c r="F716" s="59"/>
      <c r="G716" s="25"/>
      <c r="H716" s="92"/>
      <c r="I716" s="92"/>
      <c r="J716" s="93"/>
    </row>
    <row r="717">
      <c r="A717" s="87"/>
      <c r="B717" s="88"/>
      <c r="C717" s="18"/>
      <c r="D717" s="88"/>
      <c r="E717" s="88"/>
      <c r="F717" s="88"/>
      <c r="G717" s="18"/>
      <c r="H717" s="89"/>
      <c r="I717" s="89"/>
      <c r="J717" s="90"/>
    </row>
    <row r="718">
      <c r="A718" s="91"/>
      <c r="B718" s="59"/>
      <c r="C718" s="25"/>
      <c r="D718" s="59"/>
      <c r="E718" s="59"/>
      <c r="F718" s="59"/>
      <c r="G718" s="25"/>
      <c r="H718" s="92"/>
      <c r="I718" s="92"/>
      <c r="J718" s="93"/>
    </row>
    <row r="719">
      <c r="A719" s="87"/>
      <c r="B719" s="88"/>
      <c r="C719" s="18"/>
      <c r="D719" s="88"/>
      <c r="E719" s="88"/>
      <c r="F719" s="88"/>
      <c r="G719" s="18"/>
      <c r="H719" s="89"/>
      <c r="I719" s="89"/>
      <c r="J719" s="90"/>
    </row>
    <row r="720">
      <c r="A720" s="91"/>
      <c r="B720" s="59"/>
      <c r="C720" s="25"/>
      <c r="D720" s="59"/>
      <c r="E720" s="59"/>
      <c r="F720" s="59"/>
      <c r="G720" s="25"/>
      <c r="H720" s="92"/>
      <c r="I720" s="92"/>
      <c r="J720" s="93"/>
    </row>
    <row r="721">
      <c r="A721" s="87"/>
      <c r="B721" s="88"/>
      <c r="C721" s="18"/>
      <c r="D721" s="88"/>
      <c r="E721" s="88"/>
      <c r="F721" s="88"/>
      <c r="G721" s="18"/>
      <c r="H721" s="89"/>
      <c r="I721" s="89"/>
      <c r="J721" s="90"/>
    </row>
    <row r="722">
      <c r="A722" s="91"/>
      <c r="B722" s="59"/>
      <c r="C722" s="25"/>
      <c r="D722" s="59"/>
      <c r="E722" s="59"/>
      <c r="F722" s="59"/>
      <c r="G722" s="25"/>
      <c r="H722" s="92"/>
      <c r="I722" s="92"/>
      <c r="J722" s="93"/>
    </row>
    <row r="723">
      <c r="A723" s="87"/>
      <c r="B723" s="88"/>
      <c r="C723" s="18"/>
      <c r="D723" s="88"/>
      <c r="E723" s="88"/>
      <c r="F723" s="88"/>
      <c r="G723" s="18"/>
      <c r="H723" s="89"/>
      <c r="I723" s="89"/>
      <c r="J723" s="90"/>
    </row>
    <row r="724">
      <c r="A724" s="91"/>
      <c r="B724" s="59"/>
      <c r="C724" s="25"/>
      <c r="D724" s="59"/>
      <c r="E724" s="59"/>
      <c r="F724" s="59"/>
      <c r="G724" s="25"/>
      <c r="H724" s="92"/>
      <c r="I724" s="92"/>
      <c r="J724" s="93"/>
    </row>
    <row r="725">
      <c r="A725" s="87"/>
      <c r="B725" s="88"/>
      <c r="C725" s="18"/>
      <c r="D725" s="88"/>
      <c r="E725" s="88"/>
      <c r="F725" s="88"/>
      <c r="G725" s="18"/>
      <c r="H725" s="89"/>
      <c r="I725" s="89"/>
      <c r="J725" s="90"/>
    </row>
    <row r="726">
      <c r="A726" s="91"/>
      <c r="B726" s="59"/>
      <c r="C726" s="25"/>
      <c r="D726" s="59"/>
      <c r="E726" s="59"/>
      <c r="F726" s="59"/>
      <c r="G726" s="25"/>
      <c r="H726" s="92"/>
      <c r="I726" s="92"/>
      <c r="J726" s="93"/>
    </row>
    <row r="727">
      <c r="A727" s="87"/>
      <c r="B727" s="88"/>
      <c r="C727" s="18"/>
      <c r="D727" s="88"/>
      <c r="E727" s="88"/>
      <c r="F727" s="88"/>
      <c r="G727" s="18"/>
      <c r="H727" s="89"/>
      <c r="I727" s="89"/>
      <c r="J727" s="90"/>
    </row>
    <row r="728">
      <c r="A728" s="91"/>
      <c r="B728" s="59"/>
      <c r="C728" s="25"/>
      <c r="D728" s="59"/>
      <c r="E728" s="59"/>
      <c r="F728" s="59"/>
      <c r="G728" s="25"/>
      <c r="H728" s="92"/>
      <c r="I728" s="92"/>
      <c r="J728" s="93"/>
    </row>
    <row r="729">
      <c r="A729" s="87"/>
      <c r="B729" s="88"/>
      <c r="C729" s="18"/>
      <c r="D729" s="88"/>
      <c r="E729" s="88"/>
      <c r="F729" s="88"/>
      <c r="G729" s="18"/>
      <c r="H729" s="89"/>
      <c r="I729" s="89"/>
      <c r="J729" s="90"/>
    </row>
    <row r="730">
      <c r="A730" s="91"/>
      <c r="B730" s="59"/>
      <c r="C730" s="25"/>
      <c r="D730" s="59"/>
      <c r="E730" s="59"/>
      <c r="F730" s="59"/>
      <c r="G730" s="25"/>
      <c r="H730" s="92"/>
      <c r="I730" s="92"/>
      <c r="J730" s="93"/>
    </row>
    <row r="731">
      <c r="A731" s="87"/>
      <c r="B731" s="88"/>
      <c r="C731" s="18"/>
      <c r="D731" s="88"/>
      <c r="E731" s="88"/>
      <c r="F731" s="88"/>
      <c r="G731" s="18"/>
      <c r="H731" s="89"/>
      <c r="I731" s="89"/>
      <c r="J731" s="90"/>
    </row>
    <row r="732">
      <c r="A732" s="91"/>
      <c r="B732" s="59"/>
      <c r="C732" s="25"/>
      <c r="D732" s="59"/>
      <c r="E732" s="59"/>
      <c r="F732" s="59"/>
      <c r="G732" s="25"/>
      <c r="H732" s="92"/>
      <c r="I732" s="92"/>
      <c r="J732" s="93"/>
    </row>
    <row r="733">
      <c r="A733" s="87"/>
      <c r="B733" s="88"/>
      <c r="C733" s="18"/>
      <c r="D733" s="88"/>
      <c r="E733" s="88"/>
      <c r="F733" s="88"/>
      <c r="G733" s="18"/>
      <c r="H733" s="89"/>
      <c r="I733" s="89"/>
      <c r="J733" s="90"/>
    </row>
    <row r="734">
      <c r="A734" s="91"/>
      <c r="B734" s="59"/>
      <c r="C734" s="25"/>
      <c r="D734" s="59"/>
      <c r="E734" s="59"/>
      <c r="F734" s="59"/>
      <c r="G734" s="25"/>
      <c r="H734" s="92"/>
      <c r="I734" s="92"/>
      <c r="J734" s="93"/>
    </row>
    <row r="735">
      <c r="A735" s="87"/>
      <c r="B735" s="88"/>
      <c r="C735" s="18"/>
      <c r="D735" s="88"/>
      <c r="E735" s="88"/>
      <c r="F735" s="88"/>
      <c r="G735" s="18"/>
      <c r="H735" s="89"/>
      <c r="I735" s="89"/>
      <c r="J735" s="90"/>
    </row>
    <row r="736">
      <c r="A736" s="91"/>
      <c r="B736" s="59"/>
      <c r="C736" s="25"/>
      <c r="D736" s="59"/>
      <c r="E736" s="59"/>
      <c r="F736" s="59"/>
      <c r="G736" s="25"/>
      <c r="H736" s="92"/>
      <c r="I736" s="92"/>
      <c r="J736" s="93"/>
    </row>
    <row r="737">
      <c r="A737" s="87"/>
      <c r="B737" s="88"/>
      <c r="C737" s="18"/>
      <c r="D737" s="88"/>
      <c r="E737" s="88"/>
      <c r="F737" s="88"/>
      <c r="G737" s="18"/>
      <c r="H737" s="89"/>
      <c r="I737" s="89"/>
      <c r="J737" s="90"/>
    </row>
    <row r="738">
      <c r="A738" s="91"/>
      <c r="B738" s="59"/>
      <c r="C738" s="25"/>
      <c r="D738" s="59"/>
      <c r="E738" s="59"/>
      <c r="F738" s="59"/>
      <c r="G738" s="25"/>
      <c r="H738" s="92"/>
      <c r="I738" s="92"/>
      <c r="J738" s="93"/>
    </row>
    <row r="739">
      <c r="A739" s="87"/>
      <c r="B739" s="88"/>
      <c r="C739" s="18"/>
      <c r="D739" s="88"/>
      <c r="E739" s="88"/>
      <c r="F739" s="88"/>
      <c r="G739" s="18"/>
      <c r="H739" s="89"/>
      <c r="I739" s="89"/>
      <c r="J739" s="90"/>
    </row>
    <row r="740">
      <c r="A740" s="91"/>
      <c r="B740" s="59"/>
      <c r="C740" s="25"/>
      <c r="D740" s="59"/>
      <c r="E740" s="59"/>
      <c r="F740" s="59"/>
      <c r="G740" s="25"/>
      <c r="H740" s="92"/>
      <c r="I740" s="92"/>
      <c r="J740" s="93"/>
    </row>
    <row r="741">
      <c r="A741" s="87"/>
      <c r="B741" s="88"/>
      <c r="C741" s="18"/>
      <c r="D741" s="88"/>
      <c r="E741" s="88"/>
      <c r="F741" s="88"/>
      <c r="G741" s="18"/>
      <c r="H741" s="89"/>
      <c r="I741" s="89"/>
      <c r="J741" s="90"/>
    </row>
    <row r="742">
      <c r="A742" s="91"/>
      <c r="B742" s="59"/>
      <c r="C742" s="25"/>
      <c r="D742" s="59"/>
      <c r="E742" s="59"/>
      <c r="F742" s="59"/>
      <c r="G742" s="25"/>
      <c r="H742" s="92"/>
      <c r="I742" s="92"/>
      <c r="J742" s="93"/>
    </row>
    <row r="743">
      <c r="A743" s="87"/>
      <c r="B743" s="88"/>
      <c r="C743" s="18"/>
      <c r="D743" s="88"/>
      <c r="E743" s="88"/>
      <c r="F743" s="88"/>
      <c r="G743" s="18"/>
      <c r="H743" s="89"/>
      <c r="I743" s="89"/>
      <c r="J743" s="90"/>
    </row>
    <row r="744">
      <c r="A744" s="91"/>
      <c r="B744" s="59"/>
      <c r="C744" s="25"/>
      <c r="D744" s="59"/>
      <c r="E744" s="59"/>
      <c r="F744" s="59"/>
      <c r="G744" s="25"/>
      <c r="H744" s="92"/>
      <c r="I744" s="92"/>
      <c r="J744" s="93"/>
    </row>
    <row r="745">
      <c r="A745" s="87"/>
      <c r="B745" s="88"/>
      <c r="C745" s="18"/>
      <c r="D745" s="88"/>
      <c r="E745" s="88"/>
      <c r="F745" s="88"/>
      <c r="G745" s="18"/>
      <c r="H745" s="89"/>
      <c r="I745" s="89"/>
      <c r="J745" s="90"/>
    </row>
    <row r="746">
      <c r="A746" s="91"/>
      <c r="B746" s="59"/>
      <c r="C746" s="25"/>
      <c r="D746" s="59"/>
      <c r="E746" s="59"/>
      <c r="F746" s="59"/>
      <c r="G746" s="25"/>
      <c r="H746" s="92"/>
      <c r="I746" s="92"/>
      <c r="J746" s="93"/>
    </row>
    <row r="747">
      <c r="A747" s="87"/>
      <c r="B747" s="88"/>
      <c r="C747" s="18"/>
      <c r="D747" s="88"/>
      <c r="E747" s="88"/>
      <c r="F747" s="88"/>
      <c r="G747" s="18"/>
      <c r="H747" s="89"/>
      <c r="I747" s="89"/>
      <c r="J747" s="90"/>
    </row>
    <row r="748">
      <c r="A748" s="91"/>
      <c r="B748" s="59"/>
      <c r="C748" s="25"/>
      <c r="D748" s="59"/>
      <c r="E748" s="59"/>
      <c r="F748" s="59"/>
      <c r="G748" s="25"/>
      <c r="H748" s="92"/>
      <c r="I748" s="92"/>
      <c r="J748" s="93"/>
    </row>
    <row r="749">
      <c r="A749" s="87"/>
      <c r="B749" s="88"/>
      <c r="C749" s="18"/>
      <c r="D749" s="88"/>
      <c r="E749" s="88"/>
      <c r="F749" s="88"/>
      <c r="G749" s="18"/>
      <c r="H749" s="89"/>
      <c r="I749" s="89"/>
      <c r="J749" s="90"/>
    </row>
    <row r="750">
      <c r="A750" s="91"/>
      <c r="B750" s="59"/>
      <c r="C750" s="25"/>
      <c r="D750" s="59"/>
      <c r="E750" s="59"/>
      <c r="F750" s="59"/>
      <c r="G750" s="25"/>
      <c r="H750" s="92"/>
      <c r="I750" s="92"/>
      <c r="J750" s="93"/>
    </row>
    <row r="751">
      <c r="A751" s="87"/>
      <c r="B751" s="88"/>
      <c r="C751" s="18"/>
      <c r="D751" s="88"/>
      <c r="E751" s="88"/>
      <c r="F751" s="88"/>
      <c r="G751" s="18"/>
      <c r="H751" s="89"/>
      <c r="I751" s="89"/>
      <c r="J751" s="90"/>
    </row>
    <row r="752">
      <c r="A752" s="91"/>
      <c r="B752" s="59"/>
      <c r="C752" s="25"/>
      <c r="D752" s="59"/>
      <c r="E752" s="59"/>
      <c r="F752" s="59"/>
      <c r="G752" s="25"/>
      <c r="H752" s="92"/>
      <c r="I752" s="92"/>
      <c r="J752" s="93"/>
    </row>
    <row r="753">
      <c r="A753" s="87"/>
      <c r="B753" s="88"/>
      <c r="C753" s="18"/>
      <c r="D753" s="88"/>
      <c r="E753" s="88"/>
      <c r="F753" s="88"/>
      <c r="G753" s="18"/>
      <c r="H753" s="89"/>
      <c r="I753" s="89"/>
      <c r="J753" s="90"/>
    </row>
    <row r="754">
      <c r="A754" s="91"/>
      <c r="B754" s="59"/>
      <c r="C754" s="25"/>
      <c r="D754" s="59"/>
      <c r="E754" s="59"/>
      <c r="F754" s="59"/>
      <c r="G754" s="25"/>
      <c r="H754" s="92"/>
      <c r="I754" s="92"/>
      <c r="J754" s="93"/>
    </row>
    <row r="755">
      <c r="A755" s="87"/>
      <c r="B755" s="88"/>
      <c r="C755" s="18"/>
      <c r="D755" s="88"/>
      <c r="E755" s="88"/>
      <c r="F755" s="88"/>
      <c r="G755" s="18"/>
      <c r="H755" s="89"/>
      <c r="I755" s="89"/>
      <c r="J755" s="90"/>
    </row>
    <row r="756">
      <c r="A756" s="91"/>
      <c r="B756" s="59"/>
      <c r="C756" s="25"/>
      <c r="D756" s="59"/>
      <c r="E756" s="59"/>
      <c r="F756" s="59"/>
      <c r="G756" s="25"/>
      <c r="H756" s="92"/>
      <c r="I756" s="92"/>
      <c r="J756" s="93"/>
    </row>
    <row r="757">
      <c r="A757" s="87"/>
      <c r="B757" s="88"/>
      <c r="C757" s="18"/>
      <c r="D757" s="88"/>
      <c r="E757" s="88"/>
      <c r="F757" s="88"/>
      <c r="G757" s="18"/>
      <c r="H757" s="89"/>
      <c r="I757" s="89"/>
      <c r="J757" s="90"/>
    </row>
    <row r="758">
      <c r="A758" s="91"/>
      <c r="B758" s="59"/>
      <c r="C758" s="25"/>
      <c r="D758" s="59"/>
      <c r="E758" s="59"/>
      <c r="F758" s="59"/>
      <c r="G758" s="25"/>
      <c r="H758" s="92"/>
      <c r="I758" s="92"/>
      <c r="J758" s="93"/>
    </row>
    <row r="759">
      <c r="A759" s="87"/>
      <c r="B759" s="88"/>
      <c r="C759" s="18"/>
      <c r="D759" s="88"/>
      <c r="E759" s="88"/>
      <c r="F759" s="88"/>
      <c r="G759" s="18"/>
      <c r="H759" s="89"/>
      <c r="I759" s="89"/>
      <c r="J759" s="90"/>
    </row>
    <row r="760">
      <c r="A760" s="91"/>
      <c r="B760" s="59"/>
      <c r="C760" s="25"/>
      <c r="D760" s="59"/>
      <c r="E760" s="59"/>
      <c r="F760" s="59"/>
      <c r="G760" s="25"/>
      <c r="H760" s="92"/>
      <c r="I760" s="92"/>
      <c r="J760" s="93"/>
    </row>
    <row r="761">
      <c r="A761" s="87"/>
      <c r="B761" s="88"/>
      <c r="C761" s="18"/>
      <c r="D761" s="88"/>
      <c r="E761" s="88"/>
      <c r="F761" s="88"/>
      <c r="G761" s="18"/>
      <c r="H761" s="89"/>
      <c r="I761" s="89"/>
      <c r="J761" s="90"/>
    </row>
    <row r="762">
      <c r="A762" s="91"/>
      <c r="B762" s="59"/>
      <c r="C762" s="25"/>
      <c r="D762" s="59"/>
      <c r="E762" s="59"/>
      <c r="F762" s="59"/>
      <c r="G762" s="25"/>
      <c r="H762" s="92"/>
      <c r="I762" s="92"/>
      <c r="J762" s="93"/>
    </row>
    <row r="763">
      <c r="A763" s="87"/>
      <c r="B763" s="88"/>
      <c r="C763" s="18"/>
      <c r="D763" s="88"/>
      <c r="E763" s="88"/>
      <c r="F763" s="88"/>
      <c r="G763" s="18"/>
      <c r="H763" s="89"/>
      <c r="I763" s="89"/>
      <c r="J763" s="90"/>
    </row>
    <row r="764">
      <c r="A764" s="91"/>
      <c r="B764" s="59"/>
      <c r="C764" s="25"/>
      <c r="D764" s="59"/>
      <c r="E764" s="59"/>
      <c r="F764" s="59"/>
      <c r="G764" s="25"/>
      <c r="H764" s="92"/>
      <c r="I764" s="92"/>
      <c r="J764" s="93"/>
    </row>
    <row r="765">
      <c r="A765" s="87"/>
      <c r="B765" s="88"/>
      <c r="C765" s="18"/>
      <c r="D765" s="88"/>
      <c r="E765" s="88"/>
      <c r="F765" s="88"/>
      <c r="G765" s="18"/>
      <c r="H765" s="89"/>
      <c r="I765" s="89"/>
      <c r="J765" s="90"/>
    </row>
    <row r="766">
      <c r="A766" s="91"/>
      <c r="B766" s="59"/>
      <c r="C766" s="25"/>
      <c r="D766" s="59"/>
      <c r="E766" s="59"/>
      <c r="F766" s="59"/>
      <c r="G766" s="25"/>
      <c r="H766" s="92"/>
      <c r="I766" s="92"/>
      <c r="J766" s="93"/>
    </row>
    <row r="767">
      <c r="A767" s="87"/>
      <c r="B767" s="88"/>
      <c r="C767" s="18"/>
      <c r="D767" s="88"/>
      <c r="E767" s="88"/>
      <c r="F767" s="88"/>
      <c r="G767" s="18"/>
      <c r="H767" s="89"/>
      <c r="I767" s="89"/>
      <c r="J767" s="90"/>
    </row>
    <row r="768">
      <c r="A768" s="91"/>
      <c r="B768" s="59"/>
      <c r="C768" s="25"/>
      <c r="D768" s="59"/>
      <c r="E768" s="59"/>
      <c r="F768" s="59"/>
      <c r="G768" s="25"/>
      <c r="H768" s="92"/>
      <c r="I768" s="92"/>
      <c r="J768" s="93"/>
    </row>
    <row r="769">
      <c r="A769" s="87"/>
      <c r="B769" s="88"/>
      <c r="C769" s="18"/>
      <c r="D769" s="88"/>
      <c r="E769" s="88"/>
      <c r="F769" s="88"/>
      <c r="G769" s="18"/>
      <c r="H769" s="89"/>
      <c r="I769" s="89"/>
      <c r="J769" s="90"/>
    </row>
    <row r="770">
      <c r="A770" s="91"/>
      <c r="B770" s="59"/>
      <c r="C770" s="25"/>
      <c r="D770" s="59"/>
      <c r="E770" s="59"/>
      <c r="F770" s="59"/>
      <c r="G770" s="25"/>
      <c r="H770" s="92"/>
      <c r="I770" s="92"/>
      <c r="J770" s="93"/>
    </row>
    <row r="771">
      <c r="A771" s="87"/>
      <c r="B771" s="88"/>
      <c r="C771" s="18"/>
      <c r="D771" s="88"/>
      <c r="E771" s="88"/>
      <c r="F771" s="88"/>
      <c r="G771" s="18"/>
      <c r="H771" s="89"/>
      <c r="I771" s="89"/>
      <c r="J771" s="90"/>
    </row>
    <row r="772">
      <c r="A772" s="91"/>
      <c r="B772" s="59"/>
      <c r="C772" s="25"/>
      <c r="D772" s="59"/>
      <c r="E772" s="59"/>
      <c r="F772" s="59"/>
      <c r="G772" s="25"/>
      <c r="H772" s="92"/>
      <c r="I772" s="92"/>
      <c r="J772" s="93"/>
    </row>
    <row r="773">
      <c r="A773" s="87"/>
      <c r="B773" s="88"/>
      <c r="C773" s="18"/>
      <c r="D773" s="88"/>
      <c r="E773" s="88"/>
      <c r="F773" s="88"/>
      <c r="G773" s="18"/>
      <c r="H773" s="89"/>
      <c r="I773" s="89"/>
      <c r="J773" s="90"/>
    </row>
    <row r="774">
      <c r="A774" s="91"/>
      <c r="B774" s="59"/>
      <c r="C774" s="25"/>
      <c r="D774" s="59"/>
      <c r="E774" s="59"/>
      <c r="F774" s="59"/>
      <c r="G774" s="25"/>
      <c r="H774" s="92"/>
      <c r="I774" s="92"/>
      <c r="J774" s="93"/>
    </row>
    <row r="775">
      <c r="A775" s="87"/>
      <c r="B775" s="88"/>
      <c r="C775" s="18"/>
      <c r="D775" s="88"/>
      <c r="E775" s="88"/>
      <c r="F775" s="88"/>
      <c r="G775" s="18"/>
      <c r="H775" s="89"/>
      <c r="I775" s="89"/>
      <c r="J775" s="90"/>
    </row>
    <row r="776">
      <c r="A776" s="91"/>
      <c r="B776" s="59"/>
      <c r="C776" s="25"/>
      <c r="D776" s="59"/>
      <c r="E776" s="59"/>
      <c r="F776" s="59"/>
      <c r="G776" s="25"/>
      <c r="H776" s="92"/>
      <c r="I776" s="92"/>
      <c r="J776" s="93"/>
    </row>
    <row r="777">
      <c r="A777" s="87"/>
      <c r="B777" s="88"/>
      <c r="C777" s="18"/>
      <c r="D777" s="88"/>
      <c r="E777" s="88"/>
      <c r="F777" s="88"/>
      <c r="G777" s="18"/>
      <c r="H777" s="89"/>
      <c r="I777" s="89"/>
      <c r="J777" s="90"/>
    </row>
    <row r="778">
      <c r="A778" s="91"/>
      <c r="B778" s="59"/>
      <c r="C778" s="25"/>
      <c r="D778" s="59"/>
      <c r="E778" s="59"/>
      <c r="F778" s="59"/>
      <c r="G778" s="25"/>
      <c r="H778" s="92"/>
      <c r="I778" s="92"/>
      <c r="J778" s="93"/>
    </row>
    <row r="779">
      <c r="A779" s="87"/>
      <c r="B779" s="88"/>
      <c r="C779" s="18"/>
      <c r="D779" s="88"/>
      <c r="E779" s="88"/>
      <c r="F779" s="88"/>
      <c r="G779" s="18"/>
      <c r="H779" s="89"/>
      <c r="I779" s="89"/>
      <c r="J779" s="90"/>
    </row>
    <row r="780">
      <c r="A780" s="91"/>
      <c r="B780" s="59"/>
      <c r="C780" s="25"/>
      <c r="D780" s="59"/>
      <c r="E780" s="59"/>
      <c r="F780" s="59"/>
      <c r="G780" s="25"/>
      <c r="H780" s="92"/>
      <c r="I780" s="92"/>
      <c r="J780" s="93"/>
    </row>
    <row r="781">
      <c r="A781" s="87"/>
      <c r="B781" s="88"/>
      <c r="C781" s="18"/>
      <c r="D781" s="88"/>
      <c r="E781" s="88"/>
      <c r="F781" s="88"/>
      <c r="G781" s="18"/>
      <c r="H781" s="89"/>
      <c r="I781" s="89"/>
      <c r="J781" s="90"/>
    </row>
    <row r="782">
      <c r="A782" s="91"/>
      <c r="B782" s="59"/>
      <c r="C782" s="25"/>
      <c r="D782" s="59"/>
      <c r="E782" s="59"/>
      <c r="F782" s="59"/>
      <c r="G782" s="25"/>
      <c r="H782" s="92"/>
      <c r="I782" s="92"/>
      <c r="J782" s="93"/>
    </row>
    <row r="783">
      <c r="A783" s="87"/>
      <c r="B783" s="88"/>
      <c r="C783" s="18"/>
      <c r="D783" s="88"/>
      <c r="E783" s="88"/>
      <c r="F783" s="88"/>
      <c r="G783" s="18"/>
      <c r="H783" s="89"/>
      <c r="I783" s="89"/>
      <c r="J783" s="90"/>
    </row>
    <row r="784">
      <c r="A784" s="91"/>
      <c r="B784" s="59"/>
      <c r="C784" s="25"/>
      <c r="D784" s="59"/>
      <c r="E784" s="59"/>
      <c r="F784" s="59"/>
      <c r="G784" s="25"/>
      <c r="H784" s="92"/>
      <c r="I784" s="92"/>
      <c r="J784" s="93"/>
    </row>
    <row r="785">
      <c r="A785" s="87"/>
      <c r="B785" s="88"/>
      <c r="C785" s="18"/>
      <c r="D785" s="88"/>
      <c r="E785" s="88"/>
      <c r="F785" s="88"/>
      <c r="G785" s="18"/>
      <c r="H785" s="89"/>
      <c r="I785" s="89"/>
      <c r="J785" s="90"/>
    </row>
    <row r="786">
      <c r="A786" s="91"/>
      <c r="B786" s="59"/>
      <c r="C786" s="25"/>
      <c r="D786" s="59"/>
      <c r="E786" s="59"/>
      <c r="F786" s="59"/>
      <c r="G786" s="25"/>
      <c r="H786" s="92"/>
      <c r="I786" s="92"/>
      <c r="J786" s="93"/>
    </row>
    <row r="787">
      <c r="A787" s="87"/>
      <c r="B787" s="88"/>
      <c r="C787" s="18"/>
      <c r="D787" s="88"/>
      <c r="E787" s="88"/>
      <c r="F787" s="88"/>
      <c r="G787" s="18"/>
      <c r="H787" s="89"/>
      <c r="I787" s="89"/>
      <c r="J787" s="90"/>
    </row>
    <row r="788">
      <c r="A788" s="91"/>
      <c r="B788" s="59"/>
      <c r="C788" s="25"/>
      <c r="D788" s="59"/>
      <c r="E788" s="59"/>
      <c r="F788" s="59"/>
      <c r="G788" s="25"/>
      <c r="H788" s="92"/>
      <c r="I788" s="92"/>
      <c r="J788" s="93"/>
    </row>
    <row r="789">
      <c r="A789" s="87"/>
      <c r="B789" s="88"/>
      <c r="C789" s="18"/>
      <c r="D789" s="88"/>
      <c r="E789" s="88"/>
      <c r="F789" s="88"/>
      <c r="G789" s="18"/>
      <c r="H789" s="89"/>
      <c r="I789" s="89"/>
      <c r="J789" s="90"/>
    </row>
    <row r="790">
      <c r="A790" s="91"/>
      <c r="B790" s="59"/>
      <c r="C790" s="25"/>
      <c r="D790" s="59"/>
      <c r="E790" s="59"/>
      <c r="F790" s="59"/>
      <c r="G790" s="25"/>
      <c r="H790" s="92"/>
      <c r="I790" s="92"/>
      <c r="J790" s="93"/>
    </row>
    <row r="791">
      <c r="A791" s="87"/>
      <c r="B791" s="88"/>
      <c r="C791" s="18"/>
      <c r="D791" s="88"/>
      <c r="E791" s="88"/>
      <c r="F791" s="88"/>
      <c r="G791" s="18"/>
      <c r="H791" s="89"/>
      <c r="I791" s="89"/>
      <c r="J791" s="90"/>
    </row>
    <row r="792">
      <c r="A792" s="91"/>
      <c r="B792" s="59"/>
      <c r="C792" s="25"/>
      <c r="D792" s="59"/>
      <c r="E792" s="59"/>
      <c r="F792" s="59"/>
      <c r="G792" s="25"/>
      <c r="H792" s="92"/>
      <c r="I792" s="92"/>
      <c r="J792" s="93"/>
    </row>
    <row r="793">
      <c r="A793" s="87"/>
      <c r="B793" s="88"/>
      <c r="C793" s="18"/>
      <c r="D793" s="88"/>
      <c r="E793" s="88"/>
      <c r="F793" s="88"/>
      <c r="G793" s="18"/>
      <c r="H793" s="89"/>
      <c r="I793" s="89"/>
      <c r="J793" s="90"/>
    </row>
    <row r="794">
      <c r="A794" s="91"/>
      <c r="B794" s="59"/>
      <c r="C794" s="25"/>
      <c r="D794" s="59"/>
      <c r="E794" s="59"/>
      <c r="F794" s="59"/>
      <c r="G794" s="25"/>
      <c r="H794" s="92"/>
      <c r="I794" s="92"/>
      <c r="J794" s="93"/>
    </row>
    <row r="795">
      <c r="A795" s="87"/>
      <c r="B795" s="88"/>
      <c r="C795" s="18"/>
      <c r="D795" s="88"/>
      <c r="E795" s="88"/>
      <c r="F795" s="88"/>
      <c r="G795" s="18"/>
      <c r="H795" s="89"/>
      <c r="I795" s="89"/>
      <c r="J795" s="90"/>
    </row>
    <row r="796">
      <c r="A796" s="91"/>
      <c r="B796" s="59"/>
      <c r="C796" s="25"/>
      <c r="D796" s="59"/>
      <c r="E796" s="59"/>
      <c r="F796" s="59"/>
      <c r="G796" s="25"/>
      <c r="H796" s="92"/>
      <c r="I796" s="92"/>
      <c r="J796" s="93"/>
    </row>
    <row r="797">
      <c r="A797" s="87"/>
      <c r="B797" s="88"/>
      <c r="C797" s="18"/>
      <c r="D797" s="88"/>
      <c r="E797" s="88"/>
      <c r="F797" s="88"/>
      <c r="G797" s="18"/>
      <c r="H797" s="89"/>
      <c r="I797" s="89"/>
      <c r="J797" s="90"/>
    </row>
    <row r="798">
      <c r="A798" s="91"/>
      <c r="B798" s="59"/>
      <c r="C798" s="25"/>
      <c r="D798" s="59"/>
      <c r="E798" s="59"/>
      <c r="F798" s="59"/>
      <c r="G798" s="25"/>
      <c r="H798" s="92"/>
      <c r="I798" s="92"/>
      <c r="J798" s="93"/>
    </row>
    <row r="799">
      <c r="A799" s="87"/>
      <c r="B799" s="88"/>
      <c r="C799" s="18"/>
      <c r="D799" s="88"/>
      <c r="E799" s="88"/>
      <c r="F799" s="88"/>
      <c r="G799" s="18"/>
      <c r="H799" s="89"/>
      <c r="I799" s="89"/>
      <c r="J799" s="90"/>
    </row>
    <row r="800">
      <c r="A800" s="91"/>
      <c r="B800" s="59"/>
      <c r="C800" s="25"/>
      <c r="D800" s="59"/>
      <c r="E800" s="59"/>
      <c r="F800" s="59"/>
      <c r="G800" s="25"/>
      <c r="H800" s="92"/>
      <c r="I800" s="92"/>
      <c r="J800" s="93"/>
    </row>
    <row r="801">
      <c r="A801" s="87"/>
      <c r="B801" s="88"/>
      <c r="C801" s="18"/>
      <c r="D801" s="88"/>
      <c r="E801" s="88"/>
      <c r="F801" s="88"/>
      <c r="G801" s="18"/>
      <c r="H801" s="89"/>
      <c r="I801" s="89"/>
      <c r="J801" s="90"/>
    </row>
    <row r="802">
      <c r="A802" s="91"/>
      <c r="B802" s="59"/>
      <c r="C802" s="25"/>
      <c r="D802" s="59"/>
      <c r="E802" s="59"/>
      <c r="F802" s="59"/>
      <c r="G802" s="25"/>
      <c r="H802" s="92"/>
      <c r="I802" s="92"/>
      <c r="J802" s="93"/>
    </row>
    <row r="803">
      <c r="A803" s="87"/>
      <c r="B803" s="88"/>
      <c r="C803" s="18"/>
      <c r="D803" s="88"/>
      <c r="E803" s="88"/>
      <c r="F803" s="88"/>
      <c r="G803" s="18"/>
      <c r="H803" s="89"/>
      <c r="I803" s="89"/>
      <c r="J803" s="90"/>
    </row>
    <row r="804">
      <c r="A804" s="91"/>
      <c r="B804" s="59"/>
      <c r="C804" s="25"/>
      <c r="D804" s="59"/>
      <c r="E804" s="59"/>
      <c r="F804" s="59"/>
      <c r="G804" s="25"/>
      <c r="H804" s="92"/>
      <c r="I804" s="92"/>
      <c r="J804" s="93"/>
    </row>
    <row r="805">
      <c r="A805" s="87"/>
      <c r="B805" s="88"/>
      <c r="C805" s="18"/>
      <c r="D805" s="88"/>
      <c r="E805" s="88"/>
      <c r="F805" s="88"/>
      <c r="G805" s="18"/>
      <c r="H805" s="89"/>
      <c r="I805" s="89"/>
      <c r="J805" s="90"/>
    </row>
    <row r="806">
      <c r="A806" s="91"/>
      <c r="B806" s="59"/>
      <c r="C806" s="25"/>
      <c r="D806" s="59"/>
      <c r="E806" s="59"/>
      <c r="F806" s="59"/>
      <c r="G806" s="25"/>
      <c r="H806" s="92"/>
      <c r="I806" s="92"/>
      <c r="J806" s="93"/>
    </row>
    <row r="807">
      <c r="A807" s="87"/>
      <c r="B807" s="88"/>
      <c r="C807" s="18"/>
      <c r="D807" s="88"/>
      <c r="E807" s="88"/>
      <c r="F807" s="88"/>
      <c r="G807" s="18"/>
      <c r="H807" s="89"/>
      <c r="I807" s="89"/>
      <c r="J807" s="90"/>
    </row>
    <row r="808">
      <c r="A808" s="91"/>
      <c r="B808" s="59"/>
      <c r="C808" s="25"/>
      <c r="D808" s="59"/>
      <c r="E808" s="59"/>
      <c r="F808" s="59"/>
      <c r="G808" s="25"/>
      <c r="H808" s="92"/>
      <c r="I808" s="92"/>
      <c r="J808" s="93"/>
    </row>
    <row r="809">
      <c r="A809" s="87"/>
      <c r="B809" s="88"/>
      <c r="C809" s="18"/>
      <c r="D809" s="88"/>
      <c r="E809" s="88"/>
      <c r="F809" s="88"/>
      <c r="G809" s="18"/>
      <c r="H809" s="89"/>
      <c r="I809" s="89"/>
      <c r="J809" s="90"/>
    </row>
    <row r="810">
      <c r="A810" s="91"/>
      <c r="B810" s="59"/>
      <c r="C810" s="25"/>
      <c r="D810" s="59"/>
      <c r="E810" s="59"/>
      <c r="F810" s="59"/>
      <c r="G810" s="25"/>
      <c r="H810" s="92"/>
      <c r="I810" s="92"/>
      <c r="J810" s="93"/>
    </row>
    <row r="811">
      <c r="A811" s="87"/>
      <c r="B811" s="88"/>
      <c r="C811" s="18"/>
      <c r="D811" s="88"/>
      <c r="E811" s="88"/>
      <c r="F811" s="88"/>
      <c r="G811" s="18"/>
      <c r="H811" s="89"/>
      <c r="I811" s="89"/>
      <c r="J811" s="90"/>
    </row>
    <row r="812">
      <c r="A812" s="91"/>
      <c r="B812" s="59"/>
      <c r="C812" s="25"/>
      <c r="D812" s="59"/>
      <c r="E812" s="59"/>
      <c r="F812" s="59"/>
      <c r="G812" s="25"/>
      <c r="H812" s="92"/>
      <c r="I812" s="92"/>
      <c r="J812" s="93"/>
    </row>
    <row r="813">
      <c r="A813" s="87"/>
      <c r="B813" s="88"/>
      <c r="C813" s="18"/>
      <c r="D813" s="88"/>
      <c r="E813" s="88"/>
      <c r="F813" s="88"/>
      <c r="G813" s="18"/>
      <c r="H813" s="89"/>
      <c r="I813" s="89"/>
      <c r="J813" s="90"/>
    </row>
    <row r="814">
      <c r="A814" s="91"/>
      <c r="B814" s="59"/>
      <c r="C814" s="25"/>
      <c r="D814" s="59"/>
      <c r="E814" s="59"/>
      <c r="F814" s="59"/>
      <c r="G814" s="25"/>
      <c r="H814" s="92"/>
      <c r="I814" s="92"/>
      <c r="J814" s="93"/>
    </row>
    <row r="815">
      <c r="A815" s="87"/>
      <c r="B815" s="88"/>
      <c r="C815" s="18"/>
      <c r="D815" s="88"/>
      <c r="E815" s="88"/>
      <c r="F815" s="88"/>
      <c r="G815" s="18"/>
      <c r="H815" s="89"/>
      <c r="I815" s="89"/>
      <c r="J815" s="90"/>
    </row>
    <row r="816">
      <c r="A816" s="91"/>
      <c r="B816" s="59"/>
      <c r="C816" s="25"/>
      <c r="D816" s="59"/>
      <c r="E816" s="59"/>
      <c r="F816" s="59"/>
      <c r="G816" s="25"/>
      <c r="H816" s="92"/>
      <c r="I816" s="92"/>
      <c r="J816" s="93"/>
    </row>
    <row r="817">
      <c r="A817" s="87"/>
      <c r="B817" s="88"/>
      <c r="C817" s="18"/>
      <c r="D817" s="88"/>
      <c r="E817" s="88"/>
      <c r="F817" s="88"/>
      <c r="G817" s="18"/>
      <c r="H817" s="89"/>
      <c r="I817" s="89"/>
      <c r="J817" s="90"/>
    </row>
    <row r="818">
      <c r="A818" s="91"/>
      <c r="B818" s="59"/>
      <c r="C818" s="25"/>
      <c r="D818" s="59"/>
      <c r="E818" s="59"/>
      <c r="F818" s="59"/>
      <c r="G818" s="25"/>
      <c r="H818" s="92"/>
      <c r="I818" s="92"/>
      <c r="J818" s="93"/>
    </row>
    <row r="819">
      <c r="A819" s="87"/>
      <c r="B819" s="88"/>
      <c r="C819" s="18"/>
      <c r="D819" s="88"/>
      <c r="E819" s="88"/>
      <c r="F819" s="88"/>
      <c r="G819" s="18"/>
      <c r="H819" s="89"/>
      <c r="I819" s="89"/>
      <c r="J819" s="90"/>
    </row>
    <row r="820">
      <c r="A820" s="91"/>
      <c r="B820" s="59"/>
      <c r="C820" s="25"/>
      <c r="D820" s="59"/>
      <c r="E820" s="59"/>
      <c r="F820" s="59"/>
      <c r="G820" s="25"/>
      <c r="H820" s="92"/>
      <c r="I820" s="92"/>
      <c r="J820" s="93"/>
    </row>
    <row r="821">
      <c r="A821" s="87"/>
      <c r="B821" s="88"/>
      <c r="C821" s="18"/>
      <c r="D821" s="88"/>
      <c r="E821" s="88"/>
      <c r="F821" s="88"/>
      <c r="G821" s="18"/>
      <c r="H821" s="89"/>
      <c r="I821" s="89"/>
      <c r="J821" s="90"/>
    </row>
    <row r="822">
      <c r="A822" s="91"/>
      <c r="B822" s="59"/>
      <c r="C822" s="25"/>
      <c r="D822" s="59"/>
      <c r="E822" s="59"/>
      <c r="F822" s="59"/>
      <c r="G822" s="25"/>
      <c r="H822" s="92"/>
      <c r="I822" s="92"/>
      <c r="J822" s="93"/>
    </row>
    <row r="823">
      <c r="A823" s="87"/>
      <c r="B823" s="88"/>
      <c r="C823" s="18"/>
      <c r="D823" s="88"/>
      <c r="E823" s="88"/>
      <c r="F823" s="88"/>
      <c r="G823" s="18"/>
      <c r="H823" s="89"/>
      <c r="I823" s="89"/>
      <c r="J823" s="90"/>
    </row>
    <row r="824">
      <c r="A824" s="91"/>
      <c r="B824" s="59"/>
      <c r="C824" s="25"/>
      <c r="D824" s="59"/>
      <c r="E824" s="59"/>
      <c r="F824" s="59"/>
      <c r="G824" s="25"/>
      <c r="H824" s="92"/>
      <c r="I824" s="92"/>
      <c r="J824" s="93"/>
    </row>
    <row r="825">
      <c r="A825" s="87"/>
      <c r="B825" s="88"/>
      <c r="C825" s="18"/>
      <c r="D825" s="88"/>
      <c r="E825" s="88"/>
      <c r="F825" s="88"/>
      <c r="G825" s="18"/>
      <c r="H825" s="89"/>
      <c r="I825" s="89"/>
      <c r="J825" s="90"/>
    </row>
    <row r="826">
      <c r="A826" s="91"/>
      <c r="B826" s="59"/>
      <c r="C826" s="25"/>
      <c r="D826" s="59"/>
      <c r="E826" s="59"/>
      <c r="F826" s="59"/>
      <c r="G826" s="25"/>
      <c r="H826" s="92"/>
      <c r="I826" s="92"/>
      <c r="J826" s="93"/>
    </row>
    <row r="827">
      <c r="A827" s="87"/>
      <c r="B827" s="88"/>
      <c r="C827" s="18"/>
      <c r="D827" s="88"/>
      <c r="E827" s="88"/>
      <c r="F827" s="88"/>
      <c r="G827" s="18"/>
      <c r="H827" s="89"/>
      <c r="I827" s="89"/>
      <c r="J827" s="90"/>
    </row>
    <row r="828">
      <c r="A828" s="91"/>
      <c r="B828" s="59"/>
      <c r="C828" s="25"/>
      <c r="D828" s="59"/>
      <c r="E828" s="59"/>
      <c r="F828" s="59"/>
      <c r="G828" s="25"/>
      <c r="H828" s="92"/>
      <c r="I828" s="92"/>
      <c r="J828" s="93"/>
    </row>
    <row r="829">
      <c r="A829" s="87"/>
      <c r="B829" s="88"/>
      <c r="C829" s="18"/>
      <c r="D829" s="88"/>
      <c r="E829" s="88"/>
      <c r="F829" s="88"/>
      <c r="G829" s="18"/>
      <c r="H829" s="89"/>
      <c r="I829" s="89"/>
      <c r="J829" s="90"/>
    </row>
    <row r="830">
      <c r="A830" s="91"/>
      <c r="B830" s="59"/>
      <c r="C830" s="25"/>
      <c r="D830" s="59"/>
      <c r="E830" s="59"/>
      <c r="F830" s="59"/>
      <c r="G830" s="25"/>
      <c r="H830" s="92"/>
      <c r="I830" s="92"/>
      <c r="J830" s="93"/>
    </row>
    <row r="831">
      <c r="A831" s="87"/>
      <c r="B831" s="88"/>
      <c r="C831" s="18"/>
      <c r="D831" s="88"/>
      <c r="E831" s="88"/>
      <c r="F831" s="88"/>
      <c r="G831" s="18"/>
      <c r="H831" s="89"/>
      <c r="I831" s="89"/>
      <c r="J831" s="90"/>
    </row>
    <row r="832">
      <c r="A832" s="91"/>
      <c r="B832" s="59"/>
      <c r="C832" s="25"/>
      <c r="D832" s="59"/>
      <c r="E832" s="59"/>
      <c r="F832" s="59"/>
      <c r="G832" s="25"/>
      <c r="H832" s="92"/>
      <c r="I832" s="92"/>
      <c r="J832" s="93"/>
    </row>
    <row r="833">
      <c r="A833" s="87"/>
      <c r="B833" s="88"/>
      <c r="C833" s="18"/>
      <c r="D833" s="88"/>
      <c r="E833" s="88"/>
      <c r="F833" s="88"/>
      <c r="G833" s="18"/>
      <c r="H833" s="89"/>
      <c r="I833" s="89"/>
      <c r="J833" s="90"/>
    </row>
    <row r="834">
      <c r="A834" s="91"/>
      <c r="B834" s="59"/>
      <c r="C834" s="25"/>
      <c r="D834" s="59"/>
      <c r="E834" s="59"/>
      <c r="F834" s="59"/>
      <c r="G834" s="25"/>
      <c r="H834" s="92"/>
      <c r="I834" s="92"/>
      <c r="J834" s="93"/>
    </row>
    <row r="835">
      <c r="A835" s="87"/>
      <c r="B835" s="88"/>
      <c r="C835" s="18"/>
      <c r="D835" s="88"/>
      <c r="E835" s="88"/>
      <c r="F835" s="88"/>
      <c r="G835" s="18"/>
      <c r="H835" s="89"/>
      <c r="I835" s="89"/>
      <c r="J835" s="90"/>
    </row>
    <row r="836">
      <c r="A836" s="91"/>
      <c r="B836" s="59"/>
      <c r="C836" s="25"/>
      <c r="D836" s="59"/>
      <c r="E836" s="59"/>
      <c r="F836" s="59"/>
      <c r="G836" s="25"/>
      <c r="H836" s="92"/>
      <c r="I836" s="92"/>
      <c r="J836" s="93"/>
    </row>
    <row r="837">
      <c r="A837" s="87"/>
      <c r="B837" s="88"/>
      <c r="C837" s="18"/>
      <c r="D837" s="88"/>
      <c r="E837" s="88"/>
      <c r="F837" s="88"/>
      <c r="G837" s="18"/>
      <c r="H837" s="89"/>
      <c r="I837" s="89"/>
      <c r="J837" s="90"/>
    </row>
    <row r="838">
      <c r="A838" s="91"/>
      <c r="B838" s="59"/>
      <c r="C838" s="25"/>
      <c r="D838" s="59"/>
      <c r="E838" s="59"/>
      <c r="F838" s="59"/>
      <c r="G838" s="25"/>
      <c r="H838" s="92"/>
      <c r="I838" s="92"/>
      <c r="J838" s="93"/>
    </row>
    <row r="839">
      <c r="A839" s="87"/>
      <c r="B839" s="88"/>
      <c r="C839" s="18"/>
      <c r="D839" s="88"/>
      <c r="E839" s="88"/>
      <c r="F839" s="88"/>
      <c r="G839" s="18"/>
      <c r="H839" s="89"/>
      <c r="I839" s="89"/>
      <c r="J839" s="90"/>
    </row>
    <row r="840">
      <c r="A840" s="91"/>
      <c r="B840" s="59"/>
      <c r="C840" s="25"/>
      <c r="D840" s="59"/>
      <c r="E840" s="59"/>
      <c r="F840" s="59"/>
      <c r="G840" s="25"/>
      <c r="H840" s="92"/>
      <c r="I840" s="92"/>
      <c r="J840" s="93"/>
    </row>
    <row r="841">
      <c r="A841" s="87"/>
      <c r="B841" s="88"/>
      <c r="C841" s="18"/>
      <c r="D841" s="88"/>
      <c r="E841" s="88"/>
      <c r="F841" s="88"/>
      <c r="G841" s="18"/>
      <c r="H841" s="89"/>
      <c r="I841" s="89"/>
      <c r="J841" s="90"/>
    </row>
    <row r="842">
      <c r="A842" s="91"/>
      <c r="B842" s="59"/>
      <c r="C842" s="25"/>
      <c r="D842" s="59"/>
      <c r="E842" s="59"/>
      <c r="F842" s="59"/>
      <c r="G842" s="25"/>
      <c r="H842" s="92"/>
      <c r="I842" s="92"/>
      <c r="J842" s="93"/>
    </row>
    <row r="843">
      <c r="A843" s="87"/>
      <c r="B843" s="88"/>
      <c r="C843" s="18"/>
      <c r="D843" s="88"/>
      <c r="E843" s="88"/>
      <c r="F843" s="88"/>
      <c r="G843" s="18"/>
      <c r="H843" s="89"/>
      <c r="I843" s="89"/>
      <c r="J843" s="90"/>
    </row>
    <row r="844">
      <c r="A844" s="91"/>
      <c r="B844" s="59"/>
      <c r="C844" s="25"/>
      <c r="D844" s="59"/>
      <c r="E844" s="59"/>
      <c r="F844" s="59"/>
      <c r="G844" s="25"/>
      <c r="H844" s="92"/>
      <c r="I844" s="92"/>
      <c r="J844" s="93"/>
    </row>
    <row r="845">
      <c r="A845" s="87"/>
      <c r="B845" s="88"/>
      <c r="C845" s="18"/>
      <c r="D845" s="88"/>
      <c r="E845" s="88"/>
      <c r="F845" s="88"/>
      <c r="G845" s="18"/>
      <c r="H845" s="89"/>
      <c r="I845" s="89"/>
      <c r="J845" s="90"/>
    </row>
    <row r="846">
      <c r="A846" s="91"/>
      <c r="B846" s="59"/>
      <c r="C846" s="25"/>
      <c r="D846" s="59"/>
      <c r="E846" s="59"/>
      <c r="F846" s="59"/>
      <c r="G846" s="25"/>
      <c r="H846" s="92"/>
      <c r="I846" s="92"/>
      <c r="J846" s="93"/>
    </row>
    <row r="847">
      <c r="A847" s="87"/>
      <c r="B847" s="88"/>
      <c r="C847" s="18"/>
      <c r="D847" s="88"/>
      <c r="E847" s="88"/>
      <c r="F847" s="88"/>
      <c r="G847" s="18"/>
      <c r="H847" s="89"/>
      <c r="I847" s="89"/>
      <c r="J847" s="90"/>
    </row>
    <row r="848">
      <c r="A848" s="91"/>
      <c r="B848" s="59"/>
      <c r="C848" s="25"/>
      <c r="D848" s="59"/>
      <c r="E848" s="59"/>
      <c r="F848" s="59"/>
      <c r="G848" s="25"/>
      <c r="H848" s="92"/>
      <c r="I848" s="92"/>
      <c r="J848" s="93"/>
    </row>
    <row r="849">
      <c r="A849" s="87"/>
      <c r="B849" s="88"/>
      <c r="C849" s="18"/>
      <c r="D849" s="88"/>
      <c r="E849" s="88"/>
      <c r="F849" s="88"/>
      <c r="G849" s="18"/>
      <c r="H849" s="89"/>
      <c r="I849" s="89"/>
      <c r="J849" s="90"/>
    </row>
    <row r="850">
      <c r="A850" s="91"/>
      <c r="B850" s="59"/>
      <c r="C850" s="25"/>
      <c r="D850" s="59"/>
      <c r="E850" s="59"/>
      <c r="F850" s="59"/>
      <c r="G850" s="25"/>
      <c r="H850" s="92"/>
      <c r="I850" s="92"/>
      <c r="J850" s="93"/>
    </row>
    <row r="851">
      <c r="A851" s="87"/>
      <c r="B851" s="88"/>
      <c r="C851" s="18"/>
      <c r="D851" s="88"/>
      <c r="E851" s="88"/>
      <c r="F851" s="88"/>
      <c r="G851" s="18"/>
      <c r="H851" s="89"/>
      <c r="I851" s="89"/>
      <c r="J851" s="90"/>
    </row>
    <row r="852">
      <c r="A852" s="91"/>
      <c r="B852" s="59"/>
      <c r="C852" s="25"/>
      <c r="D852" s="59"/>
      <c r="E852" s="59"/>
      <c r="F852" s="59"/>
      <c r="G852" s="25"/>
      <c r="H852" s="92"/>
      <c r="I852" s="92"/>
      <c r="J852" s="93"/>
    </row>
    <row r="853">
      <c r="A853" s="87"/>
      <c r="B853" s="88"/>
      <c r="C853" s="18"/>
      <c r="D853" s="88"/>
      <c r="E853" s="88"/>
      <c r="F853" s="88"/>
      <c r="G853" s="18"/>
      <c r="H853" s="89"/>
      <c r="I853" s="89"/>
      <c r="J853" s="90"/>
    </row>
    <row r="854">
      <c r="A854" s="91"/>
      <c r="B854" s="59"/>
      <c r="C854" s="25"/>
      <c r="D854" s="59"/>
      <c r="E854" s="59"/>
      <c r="F854" s="59"/>
      <c r="G854" s="25"/>
      <c r="H854" s="92"/>
      <c r="I854" s="92"/>
      <c r="J854" s="93"/>
    </row>
    <row r="855">
      <c r="A855" s="87"/>
      <c r="B855" s="88"/>
      <c r="C855" s="18"/>
      <c r="D855" s="88"/>
      <c r="E855" s="88"/>
      <c r="F855" s="88"/>
      <c r="G855" s="18"/>
      <c r="H855" s="89"/>
      <c r="I855" s="89"/>
      <c r="J855" s="90"/>
    </row>
    <row r="856">
      <c r="A856" s="91"/>
      <c r="B856" s="59"/>
      <c r="C856" s="25"/>
      <c r="D856" s="59"/>
      <c r="E856" s="59"/>
      <c r="F856" s="59"/>
      <c r="G856" s="25"/>
      <c r="H856" s="92"/>
      <c r="I856" s="92"/>
      <c r="J856" s="93"/>
    </row>
    <row r="857">
      <c r="A857" s="87"/>
      <c r="B857" s="88"/>
      <c r="C857" s="18"/>
      <c r="D857" s="88"/>
      <c r="E857" s="88"/>
      <c r="F857" s="88"/>
      <c r="G857" s="18"/>
      <c r="H857" s="89"/>
      <c r="I857" s="89"/>
      <c r="J857" s="90"/>
    </row>
    <row r="858">
      <c r="A858" s="91"/>
      <c r="B858" s="59"/>
      <c r="C858" s="25"/>
      <c r="D858" s="59"/>
      <c r="E858" s="59"/>
      <c r="F858" s="59"/>
      <c r="G858" s="25"/>
      <c r="H858" s="92"/>
      <c r="I858" s="92"/>
      <c r="J858" s="93"/>
    </row>
    <row r="859">
      <c r="A859" s="87"/>
      <c r="B859" s="88"/>
      <c r="C859" s="18"/>
      <c r="D859" s="88"/>
      <c r="E859" s="88"/>
      <c r="F859" s="88"/>
      <c r="G859" s="18"/>
      <c r="H859" s="89"/>
      <c r="I859" s="89"/>
      <c r="J859" s="90"/>
    </row>
    <row r="860">
      <c r="A860" s="91"/>
      <c r="B860" s="59"/>
      <c r="C860" s="25"/>
      <c r="D860" s="59"/>
      <c r="E860" s="59"/>
      <c r="F860" s="59"/>
      <c r="G860" s="25"/>
      <c r="H860" s="92"/>
      <c r="I860" s="92"/>
      <c r="J860" s="93"/>
    </row>
    <row r="861">
      <c r="A861" s="87"/>
      <c r="B861" s="88"/>
      <c r="C861" s="18"/>
      <c r="D861" s="88"/>
      <c r="E861" s="88"/>
      <c r="F861" s="88"/>
      <c r="G861" s="18"/>
      <c r="H861" s="89"/>
      <c r="I861" s="89"/>
      <c r="J861" s="90"/>
    </row>
    <row r="862">
      <c r="A862" s="91"/>
      <c r="B862" s="59"/>
      <c r="C862" s="25"/>
      <c r="D862" s="59"/>
      <c r="E862" s="59"/>
      <c r="F862" s="59"/>
      <c r="G862" s="25"/>
      <c r="H862" s="92"/>
      <c r="I862" s="92"/>
      <c r="J862" s="93"/>
    </row>
    <row r="863">
      <c r="A863" s="87"/>
      <c r="B863" s="88"/>
      <c r="C863" s="18"/>
      <c r="D863" s="88"/>
      <c r="E863" s="88"/>
      <c r="F863" s="88"/>
      <c r="G863" s="18"/>
      <c r="H863" s="89"/>
      <c r="I863" s="89"/>
      <c r="J863" s="90"/>
    </row>
    <row r="864">
      <c r="A864" s="91"/>
      <c r="B864" s="59"/>
      <c r="C864" s="25"/>
      <c r="D864" s="59"/>
      <c r="E864" s="59"/>
      <c r="F864" s="59"/>
      <c r="G864" s="25"/>
      <c r="H864" s="92"/>
      <c r="I864" s="92"/>
      <c r="J864" s="93"/>
    </row>
    <row r="865">
      <c r="A865" s="87"/>
      <c r="B865" s="88"/>
      <c r="C865" s="18"/>
      <c r="D865" s="88"/>
      <c r="E865" s="88"/>
      <c r="F865" s="88"/>
      <c r="G865" s="18"/>
      <c r="H865" s="89"/>
      <c r="I865" s="89"/>
      <c r="J865" s="90"/>
    </row>
    <row r="866">
      <c r="A866" s="91"/>
      <c r="B866" s="59"/>
      <c r="C866" s="25"/>
      <c r="D866" s="59"/>
      <c r="E866" s="59"/>
      <c r="F866" s="59"/>
      <c r="G866" s="25"/>
      <c r="H866" s="92"/>
      <c r="I866" s="92"/>
      <c r="J866" s="93"/>
    </row>
    <row r="867">
      <c r="A867" s="87"/>
      <c r="B867" s="88"/>
      <c r="C867" s="18"/>
      <c r="D867" s="88"/>
      <c r="E867" s="88"/>
      <c r="F867" s="88"/>
      <c r="G867" s="18"/>
      <c r="H867" s="89"/>
      <c r="I867" s="89"/>
      <c r="J867" s="90"/>
    </row>
    <row r="868">
      <c r="A868" s="91"/>
      <c r="B868" s="59"/>
      <c r="C868" s="25"/>
      <c r="D868" s="59"/>
      <c r="E868" s="59"/>
      <c r="F868" s="59"/>
      <c r="G868" s="25"/>
      <c r="H868" s="92"/>
      <c r="I868" s="92"/>
      <c r="J868" s="93"/>
    </row>
    <row r="869">
      <c r="A869" s="87"/>
      <c r="B869" s="88"/>
      <c r="C869" s="18"/>
      <c r="D869" s="88"/>
      <c r="E869" s="88"/>
      <c r="F869" s="88"/>
      <c r="G869" s="18"/>
      <c r="H869" s="89"/>
      <c r="I869" s="89"/>
      <c r="J869" s="90"/>
    </row>
    <row r="870">
      <c r="A870" s="91"/>
      <c r="B870" s="59"/>
      <c r="C870" s="25"/>
      <c r="D870" s="59"/>
      <c r="E870" s="59"/>
      <c r="F870" s="59"/>
      <c r="G870" s="25"/>
      <c r="H870" s="92"/>
      <c r="I870" s="92"/>
      <c r="J870" s="93"/>
    </row>
    <row r="871">
      <c r="A871" s="87"/>
      <c r="B871" s="88"/>
      <c r="C871" s="18"/>
      <c r="D871" s="88"/>
      <c r="E871" s="88"/>
      <c r="F871" s="88"/>
      <c r="G871" s="18"/>
      <c r="H871" s="89"/>
      <c r="I871" s="89"/>
      <c r="J871" s="90"/>
    </row>
    <row r="872">
      <c r="A872" s="91"/>
      <c r="B872" s="59"/>
      <c r="C872" s="25"/>
      <c r="D872" s="59"/>
      <c r="E872" s="59"/>
      <c r="F872" s="59"/>
      <c r="G872" s="25"/>
      <c r="H872" s="92"/>
      <c r="I872" s="92"/>
      <c r="J872" s="93"/>
    </row>
    <row r="873">
      <c r="A873" s="87"/>
      <c r="B873" s="88"/>
      <c r="C873" s="18"/>
      <c r="D873" s="88"/>
      <c r="E873" s="88"/>
      <c r="F873" s="88"/>
      <c r="G873" s="18"/>
      <c r="H873" s="89"/>
      <c r="I873" s="89"/>
      <c r="J873" s="90"/>
    </row>
    <row r="874">
      <c r="A874" s="91"/>
      <c r="B874" s="59"/>
      <c r="C874" s="25"/>
      <c r="D874" s="59"/>
      <c r="E874" s="59"/>
      <c r="F874" s="59"/>
      <c r="G874" s="25"/>
      <c r="H874" s="92"/>
      <c r="I874" s="92"/>
      <c r="J874" s="93"/>
    </row>
    <row r="875">
      <c r="A875" s="87"/>
      <c r="B875" s="88"/>
      <c r="C875" s="18"/>
      <c r="D875" s="88"/>
      <c r="E875" s="88"/>
      <c r="F875" s="88"/>
      <c r="G875" s="18"/>
      <c r="H875" s="89"/>
      <c r="I875" s="89"/>
      <c r="J875" s="90"/>
    </row>
    <row r="876">
      <c r="A876" s="91"/>
      <c r="B876" s="59"/>
      <c r="C876" s="25"/>
      <c r="D876" s="59"/>
      <c r="E876" s="59"/>
      <c r="F876" s="59"/>
      <c r="G876" s="25"/>
      <c r="H876" s="92"/>
      <c r="I876" s="92"/>
      <c r="J876" s="93"/>
    </row>
    <row r="877">
      <c r="A877" s="87"/>
      <c r="B877" s="88"/>
      <c r="C877" s="18"/>
      <c r="D877" s="88"/>
      <c r="E877" s="88"/>
      <c r="F877" s="88"/>
      <c r="G877" s="18"/>
      <c r="H877" s="89"/>
      <c r="I877" s="89"/>
      <c r="J877" s="90"/>
    </row>
    <row r="878">
      <c r="A878" s="91"/>
      <c r="B878" s="59"/>
      <c r="C878" s="25"/>
      <c r="D878" s="59"/>
      <c r="E878" s="59"/>
      <c r="F878" s="59"/>
      <c r="G878" s="25"/>
      <c r="H878" s="92"/>
      <c r="I878" s="92"/>
      <c r="J878" s="93"/>
    </row>
    <row r="879">
      <c r="A879" s="87"/>
      <c r="B879" s="88"/>
      <c r="C879" s="18"/>
      <c r="D879" s="88"/>
      <c r="E879" s="88"/>
      <c r="F879" s="88"/>
      <c r="G879" s="18"/>
      <c r="H879" s="89"/>
      <c r="I879" s="89"/>
      <c r="J879" s="90"/>
    </row>
    <row r="880">
      <c r="A880" s="91"/>
      <c r="B880" s="59"/>
      <c r="C880" s="25"/>
      <c r="D880" s="59"/>
      <c r="E880" s="59"/>
      <c r="F880" s="59"/>
      <c r="G880" s="25"/>
      <c r="H880" s="92"/>
      <c r="I880" s="92"/>
      <c r="J880" s="93"/>
    </row>
    <row r="881">
      <c r="A881" s="87"/>
      <c r="B881" s="88"/>
      <c r="C881" s="18"/>
      <c r="D881" s="88"/>
      <c r="E881" s="88"/>
      <c r="F881" s="88"/>
      <c r="G881" s="18"/>
      <c r="H881" s="89"/>
      <c r="I881" s="89"/>
      <c r="J881" s="90"/>
    </row>
    <row r="882">
      <c r="A882" s="91"/>
      <c r="B882" s="59"/>
      <c r="C882" s="25"/>
      <c r="D882" s="59"/>
      <c r="E882" s="59"/>
      <c r="F882" s="59"/>
      <c r="G882" s="25"/>
      <c r="H882" s="92"/>
      <c r="I882" s="92"/>
      <c r="J882" s="93"/>
    </row>
    <row r="883">
      <c r="A883" s="87"/>
      <c r="B883" s="88"/>
      <c r="C883" s="18"/>
      <c r="D883" s="88"/>
      <c r="E883" s="88"/>
      <c r="F883" s="88"/>
      <c r="G883" s="18"/>
      <c r="H883" s="89"/>
      <c r="I883" s="89"/>
      <c r="J883" s="90"/>
    </row>
    <row r="884">
      <c r="A884" s="91"/>
      <c r="B884" s="59"/>
      <c r="C884" s="25"/>
      <c r="D884" s="59"/>
      <c r="E884" s="59"/>
      <c r="F884" s="59"/>
      <c r="G884" s="25"/>
      <c r="H884" s="92"/>
      <c r="I884" s="92"/>
      <c r="J884" s="93"/>
    </row>
    <row r="885">
      <c r="A885" s="87"/>
      <c r="B885" s="88"/>
      <c r="C885" s="18"/>
      <c r="D885" s="88"/>
      <c r="E885" s="88"/>
      <c r="F885" s="88"/>
      <c r="G885" s="18"/>
      <c r="H885" s="89"/>
      <c r="I885" s="89"/>
      <c r="J885" s="90"/>
    </row>
    <row r="886">
      <c r="A886" s="91"/>
      <c r="B886" s="59"/>
      <c r="C886" s="25"/>
      <c r="D886" s="59"/>
      <c r="E886" s="59"/>
      <c r="F886" s="59"/>
      <c r="G886" s="25"/>
      <c r="H886" s="92"/>
      <c r="I886" s="92"/>
      <c r="J886" s="93"/>
    </row>
    <row r="887">
      <c r="A887" s="87"/>
      <c r="B887" s="88"/>
      <c r="C887" s="18"/>
      <c r="D887" s="88"/>
      <c r="E887" s="88"/>
      <c r="F887" s="88"/>
      <c r="G887" s="18"/>
      <c r="H887" s="89"/>
      <c r="I887" s="89"/>
      <c r="J887" s="90"/>
    </row>
    <row r="888">
      <c r="A888" s="91"/>
      <c r="B888" s="59"/>
      <c r="C888" s="25"/>
      <c r="D888" s="59"/>
      <c r="E888" s="59"/>
      <c r="F888" s="59"/>
      <c r="G888" s="25"/>
      <c r="H888" s="92"/>
      <c r="I888" s="92"/>
      <c r="J888" s="93"/>
    </row>
    <row r="889">
      <c r="A889" s="87"/>
      <c r="B889" s="88"/>
      <c r="C889" s="18"/>
      <c r="D889" s="88"/>
      <c r="E889" s="88"/>
      <c r="F889" s="88"/>
      <c r="G889" s="18"/>
      <c r="H889" s="89"/>
      <c r="I889" s="89"/>
      <c r="J889" s="90"/>
    </row>
    <row r="890">
      <c r="A890" s="91"/>
      <c r="B890" s="59"/>
      <c r="C890" s="25"/>
      <c r="D890" s="59"/>
      <c r="E890" s="59"/>
      <c r="F890" s="59"/>
      <c r="G890" s="25"/>
      <c r="H890" s="92"/>
      <c r="I890" s="92"/>
      <c r="J890" s="93"/>
    </row>
    <row r="891">
      <c r="A891" s="87"/>
      <c r="B891" s="88"/>
      <c r="C891" s="18"/>
      <c r="D891" s="88"/>
      <c r="E891" s="88"/>
      <c r="F891" s="88"/>
      <c r="G891" s="18"/>
      <c r="H891" s="89"/>
      <c r="I891" s="89"/>
      <c r="J891" s="90"/>
    </row>
    <row r="892">
      <c r="A892" s="91"/>
      <c r="B892" s="59"/>
      <c r="C892" s="25"/>
      <c r="D892" s="59"/>
      <c r="E892" s="59"/>
      <c r="F892" s="59"/>
      <c r="G892" s="25"/>
      <c r="H892" s="92"/>
      <c r="I892" s="92"/>
      <c r="J892" s="93"/>
    </row>
    <row r="893">
      <c r="A893" s="87"/>
      <c r="B893" s="88"/>
      <c r="C893" s="18"/>
      <c r="D893" s="88"/>
      <c r="E893" s="88"/>
      <c r="F893" s="88"/>
      <c r="G893" s="18"/>
      <c r="H893" s="89"/>
      <c r="I893" s="89"/>
      <c r="J893" s="90"/>
    </row>
    <row r="894">
      <c r="A894" s="91"/>
      <c r="B894" s="59"/>
      <c r="C894" s="25"/>
      <c r="D894" s="59"/>
      <c r="E894" s="59"/>
      <c r="F894" s="59"/>
      <c r="G894" s="25"/>
      <c r="H894" s="92"/>
      <c r="I894" s="92"/>
      <c r="J894" s="93"/>
    </row>
    <row r="895">
      <c r="A895" s="87"/>
      <c r="B895" s="88"/>
      <c r="C895" s="18"/>
      <c r="D895" s="88"/>
      <c r="E895" s="88"/>
      <c r="F895" s="88"/>
      <c r="G895" s="18"/>
      <c r="H895" s="89"/>
      <c r="I895" s="89"/>
      <c r="J895" s="90"/>
    </row>
    <row r="896">
      <c r="A896" s="91"/>
      <c r="B896" s="59"/>
      <c r="C896" s="25"/>
      <c r="D896" s="59"/>
      <c r="E896" s="59"/>
      <c r="F896" s="59"/>
      <c r="G896" s="25"/>
      <c r="H896" s="92"/>
      <c r="I896" s="92"/>
      <c r="J896" s="93"/>
    </row>
    <row r="897">
      <c r="A897" s="87"/>
      <c r="B897" s="88"/>
      <c r="C897" s="18"/>
      <c r="D897" s="88"/>
      <c r="E897" s="88"/>
      <c r="F897" s="88"/>
      <c r="G897" s="18"/>
      <c r="H897" s="89"/>
      <c r="I897" s="89"/>
      <c r="J897" s="90"/>
    </row>
    <row r="898">
      <c r="A898" s="91"/>
      <c r="B898" s="59"/>
      <c r="C898" s="25"/>
      <c r="D898" s="59"/>
      <c r="E898" s="59"/>
      <c r="F898" s="59"/>
      <c r="G898" s="25"/>
      <c r="H898" s="92"/>
      <c r="I898" s="92"/>
      <c r="J898" s="93"/>
    </row>
    <row r="899">
      <c r="A899" s="87"/>
      <c r="B899" s="88"/>
      <c r="C899" s="18"/>
      <c r="D899" s="88"/>
      <c r="E899" s="88"/>
      <c r="F899" s="88"/>
      <c r="G899" s="18"/>
      <c r="H899" s="89"/>
      <c r="I899" s="89"/>
      <c r="J899" s="90"/>
    </row>
    <row r="900">
      <c r="A900" s="91"/>
      <c r="B900" s="59"/>
      <c r="C900" s="25"/>
      <c r="D900" s="59"/>
      <c r="E900" s="59"/>
      <c r="F900" s="59"/>
      <c r="G900" s="25"/>
      <c r="H900" s="92"/>
      <c r="I900" s="92"/>
      <c r="J900" s="93"/>
    </row>
    <row r="901">
      <c r="A901" s="87"/>
      <c r="B901" s="88"/>
      <c r="C901" s="18"/>
      <c r="D901" s="88"/>
      <c r="E901" s="88"/>
      <c r="F901" s="88"/>
      <c r="G901" s="18"/>
      <c r="H901" s="89"/>
      <c r="I901" s="89"/>
      <c r="J901" s="90"/>
    </row>
    <row r="902">
      <c r="A902" s="91"/>
      <c r="B902" s="59"/>
      <c r="C902" s="25"/>
      <c r="D902" s="59"/>
      <c r="E902" s="59"/>
      <c r="F902" s="59"/>
      <c r="G902" s="25"/>
      <c r="H902" s="92"/>
      <c r="I902" s="92"/>
      <c r="J902" s="93"/>
    </row>
    <row r="903">
      <c r="A903" s="87"/>
      <c r="B903" s="88"/>
      <c r="C903" s="18"/>
      <c r="D903" s="88"/>
      <c r="E903" s="88"/>
      <c r="F903" s="88"/>
      <c r="G903" s="18"/>
      <c r="H903" s="89"/>
      <c r="I903" s="89"/>
      <c r="J903" s="90"/>
    </row>
    <row r="904">
      <c r="A904" s="91"/>
      <c r="B904" s="59"/>
      <c r="C904" s="25"/>
      <c r="D904" s="59"/>
      <c r="E904" s="59"/>
      <c r="F904" s="59"/>
      <c r="G904" s="25"/>
      <c r="H904" s="92"/>
      <c r="I904" s="92"/>
      <c r="J904" s="93"/>
    </row>
    <row r="905">
      <c r="A905" s="87"/>
      <c r="B905" s="88"/>
      <c r="C905" s="18"/>
      <c r="D905" s="88"/>
      <c r="E905" s="88"/>
      <c r="F905" s="88"/>
      <c r="G905" s="18"/>
      <c r="H905" s="89"/>
      <c r="I905" s="89"/>
      <c r="J905" s="90"/>
    </row>
    <row r="906">
      <c r="A906" s="91"/>
      <c r="B906" s="59"/>
      <c r="C906" s="25"/>
      <c r="D906" s="59"/>
      <c r="E906" s="59"/>
      <c r="F906" s="59"/>
      <c r="G906" s="25"/>
      <c r="H906" s="92"/>
      <c r="I906" s="92"/>
      <c r="J906" s="93"/>
    </row>
    <row r="907">
      <c r="A907" s="87"/>
      <c r="B907" s="88"/>
      <c r="C907" s="18"/>
      <c r="D907" s="88"/>
      <c r="E907" s="88"/>
      <c r="F907" s="88"/>
      <c r="G907" s="18"/>
      <c r="H907" s="89"/>
      <c r="I907" s="89"/>
      <c r="J907" s="90"/>
    </row>
    <row r="908">
      <c r="A908" s="91"/>
      <c r="B908" s="59"/>
      <c r="C908" s="25"/>
      <c r="D908" s="59"/>
      <c r="E908" s="59"/>
      <c r="F908" s="59"/>
      <c r="G908" s="25"/>
      <c r="H908" s="92"/>
      <c r="I908" s="92"/>
      <c r="J908" s="93"/>
    </row>
    <row r="909">
      <c r="A909" s="87"/>
      <c r="B909" s="88"/>
      <c r="C909" s="18"/>
      <c r="D909" s="88"/>
      <c r="E909" s="88"/>
      <c r="F909" s="88"/>
      <c r="G909" s="18"/>
      <c r="H909" s="89"/>
      <c r="I909" s="89"/>
      <c r="J909" s="90"/>
    </row>
    <row r="910">
      <c r="A910" s="91"/>
      <c r="B910" s="59"/>
      <c r="C910" s="25"/>
      <c r="D910" s="59"/>
      <c r="E910" s="59"/>
      <c r="F910" s="59"/>
      <c r="G910" s="25"/>
      <c r="H910" s="92"/>
      <c r="I910" s="92"/>
      <c r="J910" s="93"/>
    </row>
    <row r="911">
      <c r="A911" s="87"/>
      <c r="B911" s="88"/>
      <c r="C911" s="18"/>
      <c r="D911" s="88"/>
      <c r="E911" s="88"/>
      <c r="F911" s="88"/>
      <c r="G911" s="18"/>
      <c r="H911" s="89"/>
      <c r="I911" s="89"/>
      <c r="J911" s="90"/>
    </row>
    <row r="912">
      <c r="A912" s="91"/>
      <c r="B912" s="59"/>
      <c r="C912" s="25"/>
      <c r="D912" s="59"/>
      <c r="E912" s="59"/>
      <c r="F912" s="59"/>
      <c r="G912" s="25"/>
      <c r="H912" s="92"/>
      <c r="I912" s="92"/>
      <c r="J912" s="93"/>
    </row>
    <row r="913">
      <c r="A913" s="87"/>
      <c r="B913" s="88"/>
      <c r="C913" s="18"/>
      <c r="D913" s="88"/>
      <c r="E913" s="88"/>
      <c r="F913" s="88"/>
      <c r="G913" s="18"/>
      <c r="H913" s="89"/>
      <c r="I913" s="89"/>
      <c r="J913" s="90"/>
    </row>
    <row r="914">
      <c r="A914" s="91"/>
      <c r="B914" s="59"/>
      <c r="C914" s="25"/>
      <c r="D914" s="59"/>
      <c r="E914" s="59"/>
      <c r="F914" s="59"/>
      <c r="G914" s="25"/>
      <c r="H914" s="92"/>
      <c r="I914" s="92"/>
      <c r="J914" s="93"/>
    </row>
    <row r="915">
      <c r="A915" s="87"/>
      <c r="B915" s="88"/>
      <c r="C915" s="18"/>
      <c r="D915" s="88"/>
      <c r="E915" s="88"/>
      <c r="F915" s="88"/>
      <c r="G915" s="18"/>
      <c r="H915" s="89"/>
      <c r="I915" s="89"/>
      <c r="J915" s="90"/>
    </row>
    <row r="916">
      <c r="A916" s="91"/>
      <c r="B916" s="59"/>
      <c r="C916" s="25"/>
      <c r="D916" s="59"/>
      <c r="E916" s="59"/>
      <c r="F916" s="59"/>
      <c r="G916" s="25"/>
      <c r="H916" s="92"/>
      <c r="I916" s="92"/>
      <c r="J916" s="93"/>
    </row>
    <row r="917">
      <c r="A917" s="87"/>
      <c r="B917" s="88"/>
      <c r="C917" s="18"/>
      <c r="D917" s="88"/>
      <c r="E917" s="88"/>
      <c r="F917" s="88"/>
      <c r="G917" s="18"/>
      <c r="H917" s="89"/>
      <c r="I917" s="89"/>
      <c r="J917" s="90"/>
    </row>
    <row r="918">
      <c r="A918" s="91"/>
      <c r="B918" s="59"/>
      <c r="C918" s="25"/>
      <c r="D918" s="59"/>
      <c r="E918" s="59"/>
      <c r="F918" s="59"/>
      <c r="G918" s="25"/>
      <c r="H918" s="92"/>
      <c r="I918" s="92"/>
      <c r="J918" s="93"/>
    </row>
    <row r="919">
      <c r="A919" s="87"/>
      <c r="B919" s="88"/>
      <c r="C919" s="18"/>
      <c r="D919" s="88"/>
      <c r="E919" s="88"/>
      <c r="F919" s="88"/>
      <c r="G919" s="18"/>
      <c r="H919" s="89"/>
      <c r="I919" s="89"/>
      <c r="J919" s="90"/>
    </row>
    <row r="920">
      <c r="A920" s="91"/>
      <c r="B920" s="59"/>
      <c r="C920" s="25"/>
      <c r="D920" s="59"/>
      <c r="E920" s="59"/>
      <c r="F920" s="59"/>
      <c r="G920" s="25"/>
      <c r="H920" s="92"/>
      <c r="I920" s="92"/>
      <c r="J920" s="93"/>
    </row>
    <row r="921">
      <c r="A921" s="87"/>
      <c r="B921" s="88"/>
      <c r="C921" s="18"/>
      <c r="D921" s="88"/>
      <c r="E921" s="88"/>
      <c r="F921" s="88"/>
      <c r="G921" s="18"/>
      <c r="H921" s="89"/>
      <c r="I921" s="89"/>
      <c r="J921" s="90"/>
    </row>
    <row r="922">
      <c r="A922" s="91"/>
      <c r="B922" s="59"/>
      <c r="C922" s="25"/>
      <c r="D922" s="59"/>
      <c r="E922" s="59"/>
      <c r="F922" s="59"/>
      <c r="G922" s="25"/>
      <c r="H922" s="92"/>
      <c r="I922" s="92"/>
      <c r="J922" s="93"/>
    </row>
    <row r="923">
      <c r="A923" s="87"/>
      <c r="B923" s="88"/>
      <c r="C923" s="18"/>
      <c r="D923" s="88"/>
      <c r="E923" s="88"/>
      <c r="F923" s="88"/>
      <c r="G923" s="18"/>
      <c r="H923" s="89"/>
      <c r="I923" s="89"/>
      <c r="J923" s="90"/>
    </row>
    <row r="924">
      <c r="A924" s="91"/>
      <c r="B924" s="59"/>
      <c r="C924" s="25"/>
      <c r="D924" s="59"/>
      <c r="E924" s="59"/>
      <c r="F924" s="59"/>
      <c r="G924" s="25"/>
      <c r="H924" s="92"/>
      <c r="I924" s="92"/>
      <c r="J924" s="93"/>
    </row>
    <row r="925">
      <c r="A925" s="87"/>
      <c r="B925" s="88"/>
      <c r="C925" s="18"/>
      <c r="D925" s="88"/>
      <c r="E925" s="88"/>
      <c r="F925" s="88"/>
      <c r="G925" s="18"/>
      <c r="H925" s="89"/>
      <c r="I925" s="89"/>
      <c r="J925" s="90"/>
    </row>
    <row r="926">
      <c r="A926" s="91"/>
      <c r="B926" s="59"/>
      <c r="C926" s="25"/>
      <c r="D926" s="59"/>
      <c r="E926" s="59"/>
      <c r="F926" s="59"/>
      <c r="G926" s="25"/>
      <c r="H926" s="92"/>
      <c r="I926" s="92"/>
      <c r="J926" s="93"/>
    </row>
    <row r="927">
      <c r="A927" s="87"/>
      <c r="B927" s="88"/>
      <c r="C927" s="18"/>
      <c r="D927" s="88"/>
      <c r="E927" s="88"/>
      <c r="F927" s="88"/>
      <c r="G927" s="18"/>
      <c r="H927" s="89"/>
      <c r="I927" s="89"/>
      <c r="J927" s="90"/>
    </row>
    <row r="928">
      <c r="A928" s="91"/>
      <c r="B928" s="59"/>
      <c r="C928" s="25"/>
      <c r="D928" s="59"/>
      <c r="E928" s="59"/>
      <c r="F928" s="59"/>
      <c r="G928" s="25"/>
      <c r="H928" s="92"/>
      <c r="I928" s="92"/>
      <c r="J928" s="93"/>
    </row>
    <row r="929">
      <c r="A929" s="87"/>
      <c r="B929" s="88"/>
      <c r="C929" s="18"/>
      <c r="D929" s="88"/>
      <c r="E929" s="88"/>
      <c r="F929" s="88"/>
      <c r="G929" s="18"/>
      <c r="H929" s="89"/>
      <c r="I929" s="89"/>
      <c r="J929" s="90"/>
    </row>
    <row r="930">
      <c r="A930" s="91"/>
      <c r="B930" s="59"/>
      <c r="C930" s="25"/>
      <c r="D930" s="59"/>
      <c r="E930" s="59"/>
      <c r="F930" s="59"/>
      <c r="G930" s="25"/>
      <c r="H930" s="92"/>
      <c r="I930" s="92"/>
      <c r="J930" s="93"/>
    </row>
    <row r="931">
      <c r="A931" s="87"/>
      <c r="B931" s="88"/>
      <c r="C931" s="18"/>
      <c r="D931" s="88"/>
      <c r="E931" s="88"/>
      <c r="F931" s="88"/>
      <c r="G931" s="18"/>
      <c r="H931" s="89"/>
      <c r="I931" s="89"/>
      <c r="J931" s="90"/>
    </row>
    <row r="932">
      <c r="A932" s="91"/>
      <c r="B932" s="59"/>
      <c r="C932" s="25"/>
      <c r="D932" s="59"/>
      <c r="E932" s="59"/>
      <c r="F932" s="59"/>
      <c r="G932" s="25"/>
      <c r="H932" s="92"/>
      <c r="I932" s="92"/>
      <c r="J932" s="93"/>
    </row>
    <row r="933">
      <c r="A933" s="87"/>
      <c r="B933" s="88"/>
      <c r="C933" s="18"/>
      <c r="D933" s="88"/>
      <c r="E933" s="88"/>
      <c r="F933" s="88"/>
      <c r="G933" s="18"/>
      <c r="H933" s="89"/>
      <c r="I933" s="89"/>
      <c r="J933" s="90"/>
    </row>
    <row r="934">
      <c r="A934" s="91"/>
      <c r="B934" s="59"/>
      <c r="C934" s="25"/>
      <c r="D934" s="59"/>
      <c r="E934" s="59"/>
      <c r="F934" s="59"/>
      <c r="G934" s="25"/>
      <c r="H934" s="92"/>
      <c r="I934" s="92"/>
      <c r="J934" s="93"/>
    </row>
    <row r="935">
      <c r="A935" s="87"/>
      <c r="B935" s="88"/>
      <c r="C935" s="18"/>
      <c r="D935" s="88"/>
      <c r="E935" s="88"/>
      <c r="F935" s="88"/>
      <c r="G935" s="18"/>
      <c r="H935" s="89"/>
      <c r="I935" s="89"/>
      <c r="J935" s="90"/>
    </row>
    <row r="936">
      <c r="A936" s="91"/>
      <c r="B936" s="59"/>
      <c r="C936" s="25"/>
      <c r="D936" s="59"/>
      <c r="E936" s="59"/>
      <c r="F936" s="59"/>
      <c r="G936" s="25"/>
      <c r="H936" s="92"/>
      <c r="I936" s="92"/>
      <c r="J936" s="93"/>
    </row>
    <row r="937">
      <c r="A937" s="87"/>
      <c r="B937" s="88"/>
      <c r="C937" s="18"/>
      <c r="D937" s="88"/>
      <c r="E937" s="88"/>
      <c r="F937" s="88"/>
      <c r="G937" s="18"/>
      <c r="H937" s="89"/>
      <c r="I937" s="89"/>
      <c r="J937" s="90"/>
    </row>
    <row r="938">
      <c r="A938" s="91"/>
      <c r="B938" s="59"/>
      <c r="C938" s="25"/>
      <c r="D938" s="59"/>
      <c r="E938" s="59"/>
      <c r="F938" s="59"/>
      <c r="G938" s="25"/>
      <c r="H938" s="92"/>
      <c r="I938" s="92"/>
      <c r="J938" s="93"/>
    </row>
    <row r="939">
      <c r="A939" s="87"/>
      <c r="B939" s="88"/>
      <c r="C939" s="18"/>
      <c r="D939" s="88"/>
      <c r="E939" s="88"/>
      <c r="F939" s="88"/>
      <c r="G939" s="18"/>
      <c r="H939" s="89"/>
      <c r="I939" s="89"/>
      <c r="J939" s="90"/>
    </row>
    <row r="940">
      <c r="A940" s="91"/>
      <c r="B940" s="59"/>
      <c r="C940" s="25"/>
      <c r="D940" s="59"/>
      <c r="E940" s="59"/>
      <c r="F940" s="59"/>
      <c r="G940" s="25"/>
      <c r="H940" s="92"/>
      <c r="I940" s="92"/>
      <c r="J940" s="93"/>
    </row>
    <row r="941">
      <c r="A941" s="87"/>
      <c r="B941" s="88"/>
      <c r="C941" s="18"/>
      <c r="D941" s="88"/>
      <c r="E941" s="88"/>
      <c r="F941" s="88"/>
      <c r="G941" s="18"/>
      <c r="H941" s="89"/>
      <c r="I941" s="89"/>
      <c r="J941" s="90"/>
    </row>
    <row r="942">
      <c r="A942" s="91"/>
      <c r="B942" s="59"/>
      <c r="C942" s="25"/>
      <c r="D942" s="59"/>
      <c r="E942" s="59"/>
      <c r="F942" s="59"/>
      <c r="G942" s="25"/>
      <c r="H942" s="92"/>
      <c r="I942" s="92"/>
      <c r="J942" s="93"/>
    </row>
    <row r="943">
      <c r="A943" s="87"/>
      <c r="B943" s="88"/>
      <c r="C943" s="18"/>
      <c r="D943" s="88"/>
      <c r="E943" s="88"/>
      <c r="F943" s="88"/>
      <c r="G943" s="18"/>
      <c r="H943" s="89"/>
      <c r="I943" s="89"/>
      <c r="J943" s="90"/>
    </row>
    <row r="944">
      <c r="A944" s="91"/>
      <c r="B944" s="59"/>
      <c r="C944" s="25"/>
      <c r="D944" s="59"/>
      <c r="E944" s="59"/>
      <c r="F944" s="59"/>
      <c r="G944" s="25"/>
      <c r="H944" s="92"/>
      <c r="I944" s="92"/>
      <c r="J944" s="93"/>
    </row>
    <row r="945">
      <c r="A945" s="87"/>
      <c r="B945" s="88"/>
      <c r="C945" s="18"/>
      <c r="D945" s="88"/>
      <c r="E945" s="88"/>
      <c r="F945" s="88"/>
      <c r="G945" s="18"/>
      <c r="H945" s="89"/>
      <c r="I945" s="89"/>
      <c r="J945" s="90"/>
    </row>
    <row r="946">
      <c r="A946" s="91"/>
      <c r="B946" s="59"/>
      <c r="C946" s="25"/>
      <c r="D946" s="59"/>
      <c r="E946" s="59"/>
      <c r="F946" s="59"/>
      <c r="G946" s="25"/>
      <c r="H946" s="92"/>
      <c r="I946" s="92"/>
      <c r="J946" s="93"/>
    </row>
    <row r="947">
      <c r="A947" s="87"/>
      <c r="B947" s="88"/>
      <c r="C947" s="18"/>
      <c r="D947" s="88"/>
      <c r="E947" s="88"/>
      <c r="F947" s="88"/>
      <c r="G947" s="18"/>
      <c r="H947" s="89"/>
      <c r="I947" s="89"/>
      <c r="J947" s="90"/>
    </row>
    <row r="948">
      <c r="A948" s="91"/>
      <c r="B948" s="59"/>
      <c r="C948" s="25"/>
      <c r="D948" s="59"/>
      <c r="E948" s="59"/>
      <c r="F948" s="59"/>
      <c r="G948" s="25"/>
      <c r="H948" s="92"/>
      <c r="I948" s="92"/>
      <c r="J948" s="93"/>
    </row>
    <row r="949">
      <c r="A949" s="87"/>
      <c r="B949" s="88"/>
      <c r="C949" s="18"/>
      <c r="D949" s="88"/>
      <c r="E949" s="88"/>
      <c r="F949" s="88"/>
      <c r="G949" s="18"/>
      <c r="H949" s="89"/>
      <c r="I949" s="89"/>
      <c r="J949" s="90"/>
    </row>
    <row r="950">
      <c r="A950" s="91"/>
      <c r="B950" s="59"/>
      <c r="C950" s="25"/>
      <c r="D950" s="59"/>
      <c r="E950" s="59"/>
      <c r="F950" s="59"/>
      <c r="G950" s="25"/>
      <c r="H950" s="92"/>
      <c r="I950" s="92"/>
      <c r="J950" s="93"/>
    </row>
    <row r="951">
      <c r="A951" s="87"/>
      <c r="B951" s="88"/>
      <c r="C951" s="18"/>
      <c r="D951" s="88"/>
      <c r="E951" s="88"/>
      <c r="F951" s="88"/>
      <c r="G951" s="18"/>
      <c r="H951" s="89"/>
      <c r="I951" s="89"/>
      <c r="J951" s="90"/>
    </row>
    <row r="952">
      <c r="A952" s="91"/>
      <c r="B952" s="59"/>
      <c r="C952" s="25"/>
      <c r="D952" s="59"/>
      <c r="E952" s="59"/>
      <c r="F952" s="59"/>
      <c r="G952" s="25"/>
      <c r="H952" s="92"/>
      <c r="I952" s="92"/>
      <c r="J952" s="93"/>
    </row>
    <row r="953">
      <c r="A953" s="87"/>
      <c r="B953" s="88"/>
      <c r="C953" s="18"/>
      <c r="D953" s="88"/>
      <c r="E953" s="88"/>
      <c r="F953" s="88"/>
      <c r="G953" s="18"/>
      <c r="H953" s="89"/>
      <c r="I953" s="89"/>
      <c r="J953" s="90"/>
    </row>
    <row r="954">
      <c r="A954" s="91"/>
      <c r="B954" s="59"/>
      <c r="C954" s="25"/>
      <c r="D954" s="59"/>
      <c r="E954" s="59"/>
      <c r="F954" s="59"/>
      <c r="G954" s="25"/>
      <c r="H954" s="92"/>
      <c r="I954" s="92"/>
      <c r="J954" s="93"/>
    </row>
    <row r="955">
      <c r="A955" s="87"/>
      <c r="B955" s="88"/>
      <c r="C955" s="18"/>
      <c r="D955" s="88"/>
      <c r="E955" s="88"/>
      <c r="F955" s="88"/>
      <c r="G955" s="18"/>
      <c r="H955" s="89"/>
      <c r="I955" s="89"/>
      <c r="J955" s="90"/>
    </row>
    <row r="956">
      <c r="A956" s="91"/>
      <c r="B956" s="59"/>
      <c r="C956" s="25"/>
      <c r="D956" s="59"/>
      <c r="E956" s="59"/>
      <c r="F956" s="59"/>
      <c r="G956" s="25"/>
      <c r="H956" s="92"/>
      <c r="I956" s="92"/>
      <c r="J956" s="93"/>
    </row>
    <row r="957">
      <c r="A957" s="87"/>
      <c r="B957" s="88"/>
      <c r="C957" s="18"/>
      <c r="D957" s="88"/>
      <c r="E957" s="88"/>
      <c r="F957" s="88"/>
      <c r="G957" s="18"/>
      <c r="H957" s="89"/>
      <c r="I957" s="89"/>
      <c r="J957" s="90"/>
    </row>
    <row r="958">
      <c r="A958" s="91"/>
      <c r="B958" s="59"/>
      <c r="C958" s="25"/>
      <c r="D958" s="59"/>
      <c r="E958" s="59"/>
      <c r="F958" s="59"/>
      <c r="G958" s="25"/>
      <c r="H958" s="92"/>
      <c r="I958" s="92"/>
      <c r="J958" s="93"/>
    </row>
    <row r="959">
      <c r="A959" s="87"/>
      <c r="B959" s="88"/>
      <c r="C959" s="18"/>
      <c r="D959" s="88"/>
      <c r="E959" s="88"/>
      <c r="F959" s="88"/>
      <c r="G959" s="18"/>
      <c r="H959" s="89"/>
      <c r="I959" s="89"/>
      <c r="J959" s="90"/>
    </row>
    <row r="960">
      <c r="A960" s="91"/>
      <c r="B960" s="59"/>
      <c r="C960" s="25"/>
      <c r="D960" s="59"/>
      <c r="E960" s="59"/>
      <c r="F960" s="59"/>
      <c r="G960" s="25"/>
      <c r="H960" s="92"/>
      <c r="I960" s="92"/>
      <c r="J960" s="93"/>
    </row>
    <row r="961">
      <c r="A961" s="87"/>
      <c r="B961" s="88"/>
      <c r="C961" s="18"/>
      <c r="D961" s="88"/>
      <c r="E961" s="88"/>
      <c r="F961" s="88"/>
      <c r="G961" s="18"/>
      <c r="H961" s="89"/>
      <c r="I961" s="89"/>
      <c r="J961" s="90"/>
    </row>
    <row r="962">
      <c r="A962" s="91"/>
      <c r="B962" s="59"/>
      <c r="C962" s="25"/>
      <c r="D962" s="59"/>
      <c r="E962" s="59"/>
      <c r="F962" s="59"/>
      <c r="G962" s="25"/>
      <c r="H962" s="92"/>
      <c r="I962" s="92"/>
      <c r="J962" s="93"/>
    </row>
    <row r="963">
      <c r="A963" s="87"/>
      <c r="B963" s="88"/>
      <c r="C963" s="18"/>
      <c r="D963" s="88"/>
      <c r="E963" s="88"/>
      <c r="F963" s="88"/>
      <c r="G963" s="18"/>
      <c r="H963" s="89"/>
      <c r="I963" s="89"/>
      <c r="J963" s="90"/>
    </row>
    <row r="964">
      <c r="A964" s="91"/>
      <c r="B964" s="59"/>
      <c r="C964" s="25"/>
      <c r="D964" s="59"/>
      <c r="E964" s="59"/>
      <c r="F964" s="59"/>
      <c r="G964" s="25"/>
      <c r="H964" s="92"/>
      <c r="I964" s="92"/>
      <c r="J964" s="93"/>
    </row>
    <row r="965">
      <c r="A965" s="87"/>
      <c r="B965" s="88"/>
      <c r="C965" s="18"/>
      <c r="D965" s="88"/>
      <c r="E965" s="88"/>
      <c r="F965" s="88"/>
      <c r="G965" s="18"/>
      <c r="H965" s="89"/>
      <c r="I965" s="89"/>
      <c r="J965" s="90"/>
    </row>
    <row r="966">
      <c r="A966" s="91"/>
      <c r="B966" s="59"/>
      <c r="C966" s="25"/>
      <c r="D966" s="59"/>
      <c r="E966" s="59"/>
      <c r="F966" s="59"/>
      <c r="G966" s="25"/>
      <c r="H966" s="92"/>
      <c r="I966" s="92"/>
      <c r="J966" s="93"/>
    </row>
    <row r="967">
      <c r="A967" s="87"/>
      <c r="B967" s="88"/>
      <c r="C967" s="18"/>
      <c r="D967" s="88"/>
      <c r="E967" s="88"/>
      <c r="F967" s="88"/>
      <c r="G967" s="18"/>
      <c r="H967" s="89"/>
      <c r="I967" s="89"/>
      <c r="J967" s="90"/>
    </row>
    <row r="968">
      <c r="A968" s="91"/>
      <c r="B968" s="59"/>
      <c r="C968" s="25"/>
      <c r="D968" s="59"/>
      <c r="E968" s="59"/>
      <c r="F968" s="59"/>
      <c r="G968" s="25"/>
      <c r="H968" s="92"/>
      <c r="I968" s="92"/>
      <c r="J968" s="93"/>
    </row>
    <row r="969">
      <c r="A969" s="87"/>
      <c r="B969" s="88"/>
      <c r="C969" s="18"/>
      <c r="D969" s="88"/>
      <c r="E969" s="88"/>
      <c r="F969" s="88"/>
      <c r="G969" s="18"/>
      <c r="H969" s="89"/>
      <c r="I969" s="89"/>
      <c r="J969" s="90"/>
    </row>
    <row r="970">
      <c r="A970" s="91"/>
      <c r="B970" s="59"/>
      <c r="C970" s="25"/>
      <c r="D970" s="59"/>
      <c r="E970" s="59"/>
      <c r="F970" s="59"/>
      <c r="G970" s="25"/>
      <c r="H970" s="92"/>
      <c r="I970" s="92"/>
      <c r="J970" s="93"/>
    </row>
    <row r="971">
      <c r="A971" s="87"/>
      <c r="B971" s="88"/>
      <c r="C971" s="18"/>
      <c r="D971" s="88"/>
      <c r="E971" s="88"/>
      <c r="F971" s="88"/>
      <c r="G971" s="18"/>
      <c r="H971" s="89"/>
      <c r="I971" s="89"/>
      <c r="J971" s="90"/>
    </row>
    <row r="972">
      <c r="A972" s="91"/>
      <c r="B972" s="59"/>
      <c r="C972" s="25"/>
      <c r="D972" s="59"/>
      <c r="E972" s="59"/>
      <c r="F972" s="59"/>
      <c r="G972" s="25"/>
      <c r="H972" s="92"/>
      <c r="I972" s="92"/>
      <c r="J972" s="93"/>
    </row>
    <row r="973">
      <c r="A973" s="87"/>
      <c r="B973" s="88"/>
      <c r="C973" s="18"/>
      <c r="D973" s="88"/>
      <c r="E973" s="88"/>
      <c r="F973" s="88"/>
      <c r="G973" s="18"/>
      <c r="H973" s="89"/>
      <c r="I973" s="89"/>
      <c r="J973" s="90"/>
    </row>
    <row r="974">
      <c r="A974" s="91"/>
      <c r="B974" s="59"/>
      <c r="C974" s="25"/>
      <c r="D974" s="59"/>
      <c r="E974" s="59"/>
      <c r="F974" s="59"/>
      <c r="G974" s="25"/>
      <c r="H974" s="92"/>
      <c r="I974" s="92"/>
      <c r="J974" s="93"/>
    </row>
    <row r="975">
      <c r="A975" s="87"/>
      <c r="B975" s="88"/>
      <c r="C975" s="18"/>
      <c r="D975" s="88"/>
      <c r="E975" s="88"/>
      <c r="F975" s="88"/>
      <c r="G975" s="18"/>
      <c r="H975" s="89"/>
      <c r="I975" s="89"/>
      <c r="J975" s="90"/>
    </row>
    <row r="976">
      <c r="A976" s="91"/>
      <c r="B976" s="59"/>
      <c r="C976" s="25"/>
      <c r="D976" s="59"/>
      <c r="E976" s="59"/>
      <c r="F976" s="59"/>
      <c r="G976" s="25"/>
      <c r="H976" s="92"/>
      <c r="I976" s="92"/>
      <c r="J976" s="93"/>
    </row>
    <row r="977">
      <c r="A977" s="87"/>
      <c r="B977" s="88"/>
      <c r="C977" s="18"/>
      <c r="D977" s="88"/>
      <c r="E977" s="88"/>
      <c r="F977" s="88"/>
      <c r="G977" s="18"/>
      <c r="H977" s="89"/>
      <c r="I977" s="89"/>
      <c r="J977" s="90"/>
    </row>
    <row r="978">
      <c r="A978" s="91"/>
      <c r="B978" s="59"/>
      <c r="C978" s="25"/>
      <c r="D978" s="59"/>
      <c r="E978" s="59"/>
      <c r="F978" s="59"/>
      <c r="G978" s="25"/>
      <c r="H978" s="92"/>
      <c r="I978" s="92"/>
      <c r="J978" s="93"/>
    </row>
    <row r="979">
      <c r="A979" s="87"/>
      <c r="B979" s="88"/>
      <c r="C979" s="18"/>
      <c r="D979" s="88"/>
      <c r="E979" s="88"/>
      <c r="F979" s="88"/>
      <c r="G979" s="18"/>
      <c r="H979" s="89"/>
      <c r="I979" s="89"/>
      <c r="J979" s="90"/>
    </row>
    <row r="980">
      <c r="A980" s="91"/>
      <c r="B980" s="59"/>
      <c r="C980" s="25"/>
      <c r="D980" s="59"/>
      <c r="E980" s="59"/>
      <c r="F980" s="59"/>
      <c r="G980" s="25"/>
      <c r="H980" s="92"/>
      <c r="I980" s="92"/>
      <c r="J980" s="93"/>
    </row>
    <row r="981">
      <c r="A981" s="87"/>
      <c r="B981" s="88"/>
      <c r="C981" s="18"/>
      <c r="D981" s="88"/>
      <c r="E981" s="88"/>
      <c r="F981" s="88"/>
      <c r="G981" s="18"/>
      <c r="H981" s="89"/>
      <c r="I981" s="89"/>
      <c r="J981" s="90"/>
    </row>
    <row r="982">
      <c r="A982" s="91"/>
      <c r="B982" s="59"/>
      <c r="C982" s="25"/>
      <c r="D982" s="59"/>
      <c r="E982" s="59"/>
      <c r="F982" s="59"/>
      <c r="G982" s="25"/>
      <c r="H982" s="92"/>
      <c r="I982" s="92"/>
      <c r="J982" s="93"/>
    </row>
    <row r="983">
      <c r="A983" s="87"/>
      <c r="B983" s="88"/>
      <c r="C983" s="18"/>
      <c r="D983" s="88"/>
      <c r="E983" s="88"/>
      <c r="F983" s="88"/>
      <c r="G983" s="18"/>
      <c r="H983" s="89"/>
      <c r="I983" s="89"/>
      <c r="J983" s="90"/>
    </row>
    <row r="984">
      <c r="A984" s="91"/>
      <c r="B984" s="59"/>
      <c r="C984" s="25"/>
      <c r="D984" s="59"/>
      <c r="E984" s="59"/>
      <c r="F984" s="59"/>
      <c r="G984" s="25"/>
      <c r="H984" s="92"/>
      <c r="I984" s="92"/>
      <c r="J984" s="93"/>
    </row>
    <row r="985">
      <c r="A985" s="87"/>
      <c r="B985" s="88"/>
      <c r="C985" s="18"/>
      <c r="D985" s="88"/>
      <c r="E985" s="88"/>
      <c r="F985" s="88"/>
      <c r="G985" s="18"/>
      <c r="H985" s="89"/>
      <c r="I985" s="89"/>
      <c r="J985" s="90"/>
    </row>
    <row r="986">
      <c r="A986" s="91"/>
      <c r="B986" s="59"/>
      <c r="C986" s="25"/>
      <c r="D986" s="59"/>
      <c r="E986" s="59"/>
      <c r="F986" s="59"/>
      <c r="G986" s="25"/>
      <c r="H986" s="92"/>
      <c r="I986" s="92"/>
      <c r="J986" s="93"/>
    </row>
    <row r="987">
      <c r="A987" s="87"/>
      <c r="B987" s="88"/>
      <c r="C987" s="18"/>
      <c r="D987" s="88"/>
      <c r="E987" s="88"/>
      <c r="F987" s="88"/>
      <c r="G987" s="18"/>
      <c r="H987" s="89"/>
      <c r="I987" s="89"/>
      <c r="J987" s="90"/>
    </row>
    <row r="988">
      <c r="A988" s="91"/>
      <c r="B988" s="59"/>
      <c r="C988" s="25"/>
      <c r="D988" s="59"/>
      <c r="E988" s="59"/>
      <c r="F988" s="59"/>
      <c r="G988" s="25"/>
      <c r="H988" s="92"/>
      <c r="I988" s="92"/>
      <c r="J988" s="93"/>
    </row>
    <row r="989">
      <c r="A989" s="87"/>
      <c r="B989" s="88"/>
      <c r="C989" s="18"/>
      <c r="D989" s="88"/>
      <c r="E989" s="88"/>
      <c r="F989" s="88"/>
      <c r="G989" s="18"/>
      <c r="H989" s="89"/>
      <c r="I989" s="89"/>
      <c r="J989" s="90"/>
    </row>
    <row r="990">
      <c r="A990" s="91"/>
      <c r="B990" s="59"/>
      <c r="C990" s="25"/>
      <c r="D990" s="59"/>
      <c r="E990" s="59"/>
      <c r="F990" s="59"/>
      <c r="G990" s="25"/>
      <c r="H990" s="92"/>
      <c r="I990" s="92"/>
      <c r="J990" s="93"/>
    </row>
    <row r="991">
      <c r="A991" s="87"/>
      <c r="B991" s="88"/>
      <c r="C991" s="18"/>
      <c r="D991" s="88"/>
      <c r="E991" s="88"/>
      <c r="F991" s="88"/>
      <c r="G991" s="18"/>
      <c r="H991" s="89"/>
      <c r="I991" s="89"/>
      <c r="J991" s="90"/>
    </row>
    <row r="992">
      <c r="A992" s="91"/>
      <c r="B992" s="59"/>
      <c r="C992" s="25"/>
      <c r="D992" s="59"/>
      <c r="E992" s="59"/>
      <c r="F992" s="59"/>
      <c r="G992" s="25"/>
      <c r="H992" s="92"/>
      <c r="I992" s="92"/>
      <c r="J992" s="93"/>
    </row>
    <row r="993">
      <c r="A993" s="87"/>
      <c r="B993" s="88"/>
      <c r="C993" s="18"/>
      <c r="D993" s="88"/>
      <c r="E993" s="88"/>
      <c r="F993" s="88"/>
      <c r="G993" s="18"/>
      <c r="H993" s="89"/>
      <c r="I993" s="89"/>
      <c r="J993" s="90"/>
    </row>
    <row r="994">
      <c r="A994" s="91"/>
      <c r="B994" s="59"/>
      <c r="C994" s="25"/>
      <c r="D994" s="59"/>
      <c r="E994" s="59"/>
      <c r="F994" s="59"/>
      <c r="G994" s="25"/>
      <c r="H994" s="92"/>
      <c r="I994" s="92"/>
      <c r="J994" s="93"/>
    </row>
    <row r="995">
      <c r="A995" s="87"/>
      <c r="B995" s="88"/>
      <c r="C995" s="18"/>
      <c r="D995" s="88"/>
      <c r="E995" s="88"/>
      <c r="F995" s="88"/>
      <c r="G995" s="18"/>
      <c r="H995" s="89"/>
      <c r="I995" s="89"/>
      <c r="J995" s="90"/>
    </row>
    <row r="996">
      <c r="A996" s="91"/>
      <c r="B996" s="59"/>
      <c r="C996" s="25"/>
      <c r="D996" s="59"/>
      <c r="E996" s="59"/>
      <c r="F996" s="59"/>
      <c r="G996" s="25"/>
      <c r="H996" s="92"/>
      <c r="I996" s="92"/>
      <c r="J996" s="93"/>
    </row>
    <row r="997">
      <c r="A997" s="87"/>
      <c r="B997" s="88"/>
      <c r="C997" s="18"/>
      <c r="D997" s="88"/>
      <c r="E997" s="88"/>
      <c r="F997" s="88"/>
      <c r="G997" s="18"/>
      <c r="H997" s="89"/>
      <c r="I997" s="89"/>
      <c r="J997" s="90"/>
    </row>
    <row r="998">
      <c r="A998" s="91"/>
      <c r="B998" s="59"/>
      <c r="C998" s="25"/>
      <c r="D998" s="59"/>
      <c r="E998" s="59"/>
      <c r="F998" s="59"/>
      <c r="G998" s="25"/>
      <c r="H998" s="92"/>
      <c r="I998" s="92"/>
      <c r="J998" s="93"/>
    </row>
  </sheetData>
  <autoFilter ref="$A$1:$G$96">
    <filterColumn colId="6">
      <filters>
        <filter val="Lolos Administrasi"/>
      </filters>
    </filterColumn>
  </autoFilter>
  <dataValidations>
    <dataValidation type="list" allowBlank="1" showErrorMessage="1" sqref="C2:C6 C8:C11 C13 C16 C18:C24 C26:C35 C37:C45 C47:C49 C51:C55 C57:C62 C64 C67:C68 C70 C72:C81 C84 C86:C88">
      <formula1>"Pak Idam,Bu Elvin,Bu Yayin,Bu Santi,Pak Fajar,Pak Imam,Bu Nurma,Pak Yuyun"</formula1>
    </dataValidation>
  </dataValidations>
  <hyperlinks>
    <hyperlink r:id="rId1" ref="J2"/>
    <hyperlink r:id="rId2" ref="J3"/>
    <hyperlink r:id="rId3" ref="J4"/>
    <hyperlink r:id="rId4" ref="J5"/>
    <hyperlink r:id="rId5" ref="J6"/>
    <hyperlink r:id="rId6" ref="J8"/>
    <hyperlink r:id="rId7" ref="J9"/>
    <hyperlink r:id="rId8" ref="J10"/>
    <hyperlink r:id="rId9" ref="J11"/>
    <hyperlink r:id="rId10" ref="J13"/>
    <hyperlink r:id="rId11" ref="J16"/>
    <hyperlink r:id="rId12" ref="J18"/>
    <hyperlink r:id="rId13" ref="J19"/>
    <hyperlink r:id="rId14" ref="J20"/>
    <hyperlink r:id="rId15" ref="J21"/>
    <hyperlink r:id="rId16" ref="J22"/>
    <hyperlink r:id="rId17" ref="J23"/>
    <hyperlink r:id="rId18" ref="J24"/>
    <hyperlink r:id="rId19" ref="J26"/>
    <hyperlink r:id="rId20" ref="J27"/>
    <hyperlink r:id="rId21" ref="J28"/>
    <hyperlink r:id="rId22" ref="J29"/>
    <hyperlink r:id="rId23" ref="J30"/>
    <hyperlink r:id="rId24" ref="J31"/>
    <hyperlink r:id="rId25" ref="J32"/>
    <hyperlink r:id="rId26" ref="J33"/>
    <hyperlink r:id="rId27" ref="J34"/>
    <hyperlink r:id="rId28" ref="J35"/>
    <hyperlink r:id="rId29" ref="J37"/>
    <hyperlink r:id="rId30" ref="J38"/>
    <hyperlink r:id="rId31" ref="J39"/>
    <hyperlink r:id="rId32" ref="J40"/>
    <hyperlink r:id="rId33" ref="J41"/>
    <hyperlink r:id="rId34" ref="J42"/>
    <hyperlink r:id="rId35" ref="J43"/>
    <hyperlink r:id="rId36" ref="J44"/>
    <hyperlink r:id="rId37" ref="J45"/>
    <hyperlink r:id="rId38" ref="J47"/>
    <hyperlink r:id="rId39" ref="J48"/>
    <hyperlink r:id="rId40" ref="J49"/>
    <hyperlink r:id="rId41" ref="J51"/>
    <hyperlink r:id="rId42" ref="J52"/>
    <hyperlink r:id="rId43" ref="J53"/>
    <hyperlink r:id="rId44" ref="J54"/>
    <hyperlink r:id="rId45" ref="J55"/>
    <hyperlink r:id="rId46" ref="J57"/>
    <hyperlink r:id="rId47" ref="J58"/>
    <hyperlink r:id="rId48" ref="J59"/>
    <hyperlink r:id="rId49" ref="J60"/>
    <hyperlink r:id="rId50" ref="J61"/>
    <hyperlink r:id="rId51" ref="J62"/>
    <hyperlink r:id="rId52" ref="J64"/>
    <hyperlink r:id="rId53" ref="J67"/>
    <hyperlink r:id="rId54" ref="J68"/>
    <hyperlink r:id="rId55" ref="J70"/>
    <hyperlink r:id="rId56" ref="J72"/>
    <hyperlink r:id="rId57" ref="J73"/>
    <hyperlink r:id="rId58" ref="J74"/>
    <hyperlink r:id="rId59" ref="J75"/>
    <hyperlink r:id="rId60" ref="J76"/>
    <hyperlink r:id="rId61" ref="J77"/>
    <hyperlink r:id="rId62" ref="J78"/>
    <hyperlink r:id="rId63" ref="J79"/>
    <hyperlink r:id="rId64" ref="J80"/>
    <hyperlink r:id="rId65" ref="J81"/>
    <hyperlink r:id="rId66" ref="J84"/>
    <hyperlink r:id="rId67" ref="J86"/>
    <hyperlink r:id="rId68" ref="J87"/>
    <hyperlink r:id="rId69" ref="J88"/>
  </hyperlinks>
  <drawing r:id="rId70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38"/>
    <col customWidth="1" min="3" max="3" width="117.13"/>
    <col customWidth="1" min="4" max="4" width="27.25"/>
  </cols>
  <sheetData>
    <row r="1">
      <c r="A1" s="10" t="s">
        <v>2822</v>
      </c>
      <c r="B1" s="10" t="s">
        <v>2703</v>
      </c>
    </row>
    <row r="2">
      <c r="A2" s="10">
        <v>1.0</v>
      </c>
      <c r="B2" s="94" t="s">
        <v>21</v>
      </c>
      <c r="C2" s="94" t="s">
        <v>22</v>
      </c>
      <c r="D2" s="94" t="s">
        <v>67</v>
      </c>
    </row>
    <row r="3">
      <c r="A3" s="10">
        <v>2.0</v>
      </c>
      <c r="B3" s="94" t="s">
        <v>21</v>
      </c>
      <c r="C3" s="95" t="s">
        <v>92</v>
      </c>
      <c r="D3" s="95" t="s">
        <v>2216</v>
      </c>
    </row>
    <row r="4">
      <c r="A4" s="10">
        <v>3.0</v>
      </c>
      <c r="B4" s="94" t="s">
        <v>21</v>
      </c>
      <c r="C4" s="94" t="s">
        <v>104</v>
      </c>
      <c r="D4" s="94" t="s">
        <v>669</v>
      </c>
    </row>
    <row r="5">
      <c r="A5" s="10">
        <v>4.0</v>
      </c>
      <c r="B5" s="94" t="s">
        <v>21</v>
      </c>
      <c r="C5" s="95" t="s">
        <v>119</v>
      </c>
      <c r="D5" s="95" t="s">
        <v>175</v>
      </c>
    </row>
    <row r="6">
      <c r="A6" s="10">
        <v>5.0</v>
      </c>
      <c r="B6" s="94" t="s">
        <v>21</v>
      </c>
      <c r="C6" s="94" t="s">
        <v>223</v>
      </c>
      <c r="D6" s="94" t="s">
        <v>1139</v>
      </c>
    </row>
    <row r="7">
      <c r="A7" s="10">
        <v>6.0</v>
      </c>
      <c r="B7" s="94" t="s">
        <v>21</v>
      </c>
      <c r="C7" s="95" t="s">
        <v>280</v>
      </c>
      <c r="D7" s="95" t="s">
        <v>379</v>
      </c>
    </row>
    <row r="8">
      <c r="A8" s="10">
        <v>7.0</v>
      </c>
      <c r="B8" s="94" t="s">
        <v>21</v>
      </c>
      <c r="C8" s="94" t="s">
        <v>2187</v>
      </c>
      <c r="D8" s="94" t="s">
        <v>2188</v>
      </c>
    </row>
    <row r="9">
      <c r="A9" s="10">
        <v>8.0</v>
      </c>
      <c r="B9" s="94" t="s">
        <v>21</v>
      </c>
      <c r="C9" s="95" t="s">
        <v>2194</v>
      </c>
      <c r="D9" s="96"/>
    </row>
    <row r="10">
      <c r="A10" s="10">
        <v>9.0</v>
      </c>
      <c r="B10" s="94" t="s">
        <v>21</v>
      </c>
      <c r="C10" s="94" t="s">
        <v>1578</v>
      </c>
      <c r="D10" s="94" t="s">
        <v>2037</v>
      </c>
    </row>
    <row r="11">
      <c r="A11" s="10">
        <v>10.0</v>
      </c>
      <c r="B11" s="94" t="s">
        <v>21</v>
      </c>
      <c r="C11" s="95" t="s">
        <v>74</v>
      </c>
      <c r="D11" s="95" t="s">
        <v>431</v>
      </c>
    </row>
    <row r="12">
      <c r="A12" s="10">
        <v>11.0</v>
      </c>
      <c r="B12" s="94" t="s">
        <v>21</v>
      </c>
      <c r="C12" s="94" t="s">
        <v>407</v>
      </c>
      <c r="D12" s="94" t="s">
        <v>2322</v>
      </c>
    </row>
    <row r="13">
      <c r="A13" s="10">
        <v>12.0</v>
      </c>
      <c r="B13" s="94" t="s">
        <v>21</v>
      </c>
      <c r="C13" s="95" t="s">
        <v>857</v>
      </c>
      <c r="D13" s="95" t="s">
        <v>2207</v>
      </c>
    </row>
    <row r="14">
      <c r="A14" s="10">
        <v>13.0</v>
      </c>
      <c r="B14" s="94" t="s">
        <v>75</v>
      </c>
      <c r="C14" s="94" t="s">
        <v>22</v>
      </c>
      <c r="D14" s="94" t="s">
        <v>517</v>
      </c>
    </row>
    <row r="15">
      <c r="A15" s="10">
        <v>14.0</v>
      </c>
      <c r="B15" s="94" t="s">
        <v>75</v>
      </c>
      <c r="C15" s="95" t="s">
        <v>92</v>
      </c>
      <c r="D15" s="95" t="s">
        <v>623</v>
      </c>
    </row>
    <row r="16">
      <c r="A16" s="10">
        <v>15.0</v>
      </c>
      <c r="B16" s="94" t="s">
        <v>75</v>
      </c>
      <c r="C16" s="94" t="s">
        <v>104</v>
      </c>
      <c r="D16" s="94" t="s">
        <v>2826</v>
      </c>
    </row>
    <row r="17">
      <c r="A17" s="10">
        <v>16.0</v>
      </c>
      <c r="B17" s="94" t="s">
        <v>75</v>
      </c>
      <c r="C17" s="95" t="s">
        <v>119</v>
      </c>
      <c r="D17" s="95" t="s">
        <v>875</v>
      </c>
    </row>
    <row r="18">
      <c r="A18" s="10">
        <v>17.0</v>
      </c>
      <c r="B18" s="94" t="s">
        <v>75</v>
      </c>
      <c r="C18" s="94" t="s">
        <v>223</v>
      </c>
      <c r="D18" s="94" t="s">
        <v>1323</v>
      </c>
    </row>
    <row r="19">
      <c r="A19" s="10">
        <v>18.0</v>
      </c>
      <c r="B19" s="94" t="s">
        <v>75</v>
      </c>
      <c r="C19" s="95" t="s">
        <v>280</v>
      </c>
      <c r="D19" s="95" t="s">
        <v>1446</v>
      </c>
    </row>
    <row r="20">
      <c r="A20" s="10">
        <v>19.0</v>
      </c>
      <c r="B20" s="94" t="s">
        <v>75</v>
      </c>
      <c r="C20" s="94" t="s">
        <v>2187</v>
      </c>
      <c r="D20" s="94" t="s">
        <v>1353</v>
      </c>
    </row>
    <row r="21">
      <c r="A21" s="10">
        <v>20.0</v>
      </c>
      <c r="B21" s="94" t="s">
        <v>75</v>
      </c>
      <c r="C21" s="95" t="s">
        <v>2196</v>
      </c>
      <c r="D21" s="95" t="s">
        <v>2197</v>
      </c>
    </row>
    <row r="22">
      <c r="A22" s="10">
        <v>21.0</v>
      </c>
      <c r="B22" s="94" t="s">
        <v>75</v>
      </c>
      <c r="C22" s="94" t="s">
        <v>1578</v>
      </c>
      <c r="D22" s="94" t="s">
        <v>1682</v>
      </c>
    </row>
    <row r="23">
      <c r="A23" s="10">
        <v>22.0</v>
      </c>
      <c r="B23" s="94" t="s">
        <v>75</v>
      </c>
      <c r="C23" s="95" t="s">
        <v>74</v>
      </c>
      <c r="D23" s="95" t="s">
        <v>1775</v>
      </c>
    </row>
    <row r="24">
      <c r="A24" s="10">
        <v>23.0</v>
      </c>
      <c r="B24" s="94" t="s">
        <v>75</v>
      </c>
      <c r="C24" s="94" t="s">
        <v>407</v>
      </c>
      <c r="D24" s="94" t="s">
        <v>1923</v>
      </c>
    </row>
    <row r="25">
      <c r="A25" s="10">
        <v>24.0</v>
      </c>
      <c r="B25" s="94" t="s">
        <v>75</v>
      </c>
      <c r="C25" s="95" t="s">
        <v>857</v>
      </c>
      <c r="D25" s="95" t="s">
        <v>2033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0"/>
    <col customWidth="1" min="2" max="3" width="33.0"/>
    <col customWidth="1" min="4" max="4" width="38.63"/>
    <col customWidth="1" min="5" max="5" width="19.5"/>
    <col customWidth="1" min="6" max="6" width="23.63"/>
    <col customWidth="1" min="7" max="7" width="117.13"/>
    <col customWidth="1" min="8" max="8" width="34.38"/>
    <col customWidth="1" min="9" max="9" width="43.88"/>
  </cols>
  <sheetData>
    <row r="1">
      <c r="A1" s="97" t="s">
        <v>3</v>
      </c>
      <c r="B1" s="97" t="s">
        <v>4</v>
      </c>
      <c r="C1" s="97" t="s">
        <v>2830</v>
      </c>
      <c r="D1" s="97" t="s">
        <v>2831</v>
      </c>
      <c r="E1" s="97" t="s">
        <v>2832</v>
      </c>
      <c r="F1" s="97" t="s">
        <v>2833</v>
      </c>
      <c r="G1" s="97" t="s">
        <v>2808</v>
      </c>
      <c r="H1" s="97" t="s">
        <v>2834</v>
      </c>
      <c r="I1" s="97" t="s">
        <v>2835</v>
      </c>
    </row>
    <row r="2" hidden="1">
      <c r="A2" s="98" t="s">
        <v>45</v>
      </c>
      <c r="B2" s="98" t="s">
        <v>50</v>
      </c>
      <c r="C2" s="99" t="s">
        <v>53</v>
      </c>
      <c r="D2" s="98" t="s">
        <v>2836</v>
      </c>
      <c r="E2" s="98" t="s">
        <v>44</v>
      </c>
      <c r="F2" s="98" t="s">
        <v>2837</v>
      </c>
      <c r="G2" s="98" t="s">
        <v>149</v>
      </c>
      <c r="H2" s="98" t="s">
        <v>149</v>
      </c>
      <c r="I2" s="98" t="s">
        <v>149</v>
      </c>
    </row>
    <row r="3" hidden="1">
      <c r="A3" s="98" t="s">
        <v>100</v>
      </c>
      <c r="B3" s="98" t="s">
        <v>101</v>
      </c>
      <c r="C3" s="99" t="s">
        <v>102</v>
      </c>
      <c r="D3" s="98" t="s">
        <v>2836</v>
      </c>
      <c r="E3" s="98" t="s">
        <v>44</v>
      </c>
      <c r="F3" s="98" t="s">
        <v>2837</v>
      </c>
      <c r="G3" s="98" t="s">
        <v>149</v>
      </c>
      <c r="H3" s="98" t="s">
        <v>149</v>
      </c>
      <c r="I3" s="98" t="s">
        <v>149</v>
      </c>
    </row>
    <row r="4" hidden="1">
      <c r="A4" s="98" t="s">
        <v>201</v>
      </c>
      <c r="B4" s="98" t="s">
        <v>2838</v>
      </c>
      <c r="C4" s="99" t="s">
        <v>214</v>
      </c>
      <c r="D4" s="98" t="s">
        <v>2836</v>
      </c>
      <c r="E4" s="98" t="s">
        <v>44</v>
      </c>
      <c r="F4" s="98" t="s">
        <v>2837</v>
      </c>
      <c r="G4" s="98" t="s">
        <v>149</v>
      </c>
      <c r="H4" s="98" t="s">
        <v>149</v>
      </c>
      <c r="I4" s="98" t="s">
        <v>149</v>
      </c>
    </row>
    <row r="5" hidden="1">
      <c r="A5" s="98" t="s">
        <v>385</v>
      </c>
      <c r="B5" s="98" t="s">
        <v>386</v>
      </c>
      <c r="C5" s="99" t="s">
        <v>387</v>
      </c>
      <c r="D5" s="98" t="s">
        <v>2836</v>
      </c>
      <c r="E5" s="98" t="s">
        <v>44</v>
      </c>
      <c r="F5" s="98" t="s">
        <v>2837</v>
      </c>
      <c r="G5" s="98" t="s">
        <v>149</v>
      </c>
      <c r="H5" s="98" t="s">
        <v>149</v>
      </c>
      <c r="I5" s="98" t="s">
        <v>149</v>
      </c>
    </row>
    <row r="6">
      <c r="A6" s="98" t="s">
        <v>474</v>
      </c>
      <c r="B6" s="100" t="s">
        <v>431</v>
      </c>
      <c r="C6" s="99" t="s">
        <v>441</v>
      </c>
      <c r="D6" s="98" t="s">
        <v>2839</v>
      </c>
      <c r="E6" s="98" t="s">
        <v>44</v>
      </c>
      <c r="F6" s="98" t="s">
        <v>2840</v>
      </c>
      <c r="G6" s="98" t="s">
        <v>74</v>
      </c>
      <c r="H6" s="98" t="s">
        <v>21</v>
      </c>
      <c r="I6" s="101" t="s">
        <v>2841</v>
      </c>
      <c r="K6" s="102"/>
    </row>
    <row r="7" hidden="1">
      <c r="A7" s="98" t="s">
        <v>578</v>
      </c>
      <c r="B7" s="98" t="s">
        <v>583</v>
      </c>
      <c r="C7" s="99" t="s">
        <v>589</v>
      </c>
      <c r="D7" s="98" t="s">
        <v>2836</v>
      </c>
      <c r="E7" s="98" t="s">
        <v>44</v>
      </c>
      <c r="F7" s="98" t="s">
        <v>2837</v>
      </c>
      <c r="G7" s="98" t="s">
        <v>149</v>
      </c>
      <c r="H7" s="98" t="s">
        <v>149</v>
      </c>
      <c r="I7" s="98" t="s">
        <v>149</v>
      </c>
    </row>
    <row r="8" hidden="1">
      <c r="A8" s="98" t="s">
        <v>662</v>
      </c>
      <c r="B8" s="98" t="s">
        <v>679</v>
      </c>
      <c r="C8" s="99" t="s">
        <v>684</v>
      </c>
      <c r="D8" s="98" t="s">
        <v>2836</v>
      </c>
      <c r="E8" s="98" t="s">
        <v>44</v>
      </c>
      <c r="F8" s="98" t="s">
        <v>2837</v>
      </c>
      <c r="G8" s="98" t="s">
        <v>149</v>
      </c>
      <c r="H8" s="98" t="s">
        <v>149</v>
      </c>
      <c r="I8" s="98" t="s">
        <v>149</v>
      </c>
    </row>
    <row r="9" hidden="1">
      <c r="A9" s="98" t="s">
        <v>813</v>
      </c>
      <c r="B9" s="98" t="s">
        <v>819</v>
      </c>
      <c r="C9" s="99" t="s">
        <v>825</v>
      </c>
      <c r="D9" s="98" t="s">
        <v>2836</v>
      </c>
      <c r="E9" s="98" t="s">
        <v>54</v>
      </c>
      <c r="F9" s="98" t="s">
        <v>149</v>
      </c>
      <c r="G9" s="98" t="s">
        <v>149</v>
      </c>
      <c r="H9" s="98" t="s">
        <v>149</v>
      </c>
      <c r="I9" s="98" t="s">
        <v>149</v>
      </c>
    </row>
    <row r="10">
      <c r="A10" s="98" t="s">
        <v>917</v>
      </c>
      <c r="B10" s="100" t="s">
        <v>379</v>
      </c>
      <c r="C10" s="99" t="s">
        <v>388</v>
      </c>
      <c r="D10" s="98" t="s">
        <v>2839</v>
      </c>
      <c r="E10" s="98" t="s">
        <v>44</v>
      </c>
      <c r="F10" s="98" t="s">
        <v>2840</v>
      </c>
      <c r="G10" s="98" t="s">
        <v>280</v>
      </c>
      <c r="H10" s="98" t="s">
        <v>21</v>
      </c>
      <c r="I10" s="101" t="s">
        <v>2841</v>
      </c>
      <c r="K10" s="102"/>
    </row>
    <row r="11" hidden="1">
      <c r="A11" s="98" t="s">
        <v>991</v>
      </c>
      <c r="B11" s="98" t="s">
        <v>995</v>
      </c>
      <c r="C11" s="99" t="s">
        <v>998</v>
      </c>
      <c r="D11" s="98" t="s">
        <v>2836</v>
      </c>
      <c r="E11" s="98" t="s">
        <v>44</v>
      </c>
      <c r="F11" s="98" t="s">
        <v>2837</v>
      </c>
      <c r="G11" s="98" t="s">
        <v>149</v>
      </c>
      <c r="H11" s="98" t="s">
        <v>149</v>
      </c>
      <c r="I11" s="98" t="s">
        <v>149</v>
      </c>
    </row>
    <row r="12" hidden="1">
      <c r="A12" s="98" t="s">
        <v>1087</v>
      </c>
      <c r="B12" s="98" t="s">
        <v>808</v>
      </c>
      <c r="C12" s="99" t="s">
        <v>834</v>
      </c>
      <c r="D12" s="98" t="s">
        <v>2836</v>
      </c>
      <c r="E12" s="98" t="s">
        <v>44</v>
      </c>
      <c r="F12" s="98" t="s">
        <v>2837</v>
      </c>
      <c r="G12" s="98" t="s">
        <v>149</v>
      </c>
      <c r="H12" s="98" t="s">
        <v>149</v>
      </c>
      <c r="I12" s="98" t="s">
        <v>149</v>
      </c>
    </row>
    <row r="13">
      <c r="A13" s="98" t="s">
        <v>1204</v>
      </c>
      <c r="B13" s="100" t="s">
        <v>2826</v>
      </c>
      <c r="C13" s="99" t="s">
        <v>664</v>
      </c>
      <c r="D13" s="98" t="s">
        <v>2839</v>
      </c>
      <c r="E13" s="98" t="s">
        <v>44</v>
      </c>
      <c r="F13" s="98" t="s">
        <v>2840</v>
      </c>
      <c r="G13" s="98" t="s">
        <v>104</v>
      </c>
      <c r="H13" s="98" t="s">
        <v>75</v>
      </c>
      <c r="I13" s="101" t="s">
        <v>2843</v>
      </c>
      <c r="K13" s="102"/>
    </row>
    <row r="14" hidden="1">
      <c r="A14" s="98" t="s">
        <v>1319</v>
      </c>
      <c r="B14" s="98" t="s">
        <v>1167</v>
      </c>
      <c r="C14" s="98">
        <v>6.281357514433E12</v>
      </c>
      <c r="D14" s="98" t="s">
        <v>2836</v>
      </c>
      <c r="E14" s="98" t="s">
        <v>44</v>
      </c>
      <c r="F14" s="98" t="s">
        <v>2837</v>
      </c>
      <c r="G14" s="98" t="s">
        <v>149</v>
      </c>
      <c r="H14" s="98" t="s">
        <v>149</v>
      </c>
      <c r="I14" s="98" t="s">
        <v>149</v>
      </c>
    </row>
    <row r="15" hidden="1">
      <c r="A15" s="98" t="s">
        <v>1403</v>
      </c>
      <c r="B15" s="98" t="s">
        <v>225</v>
      </c>
      <c r="C15" s="99" t="s">
        <v>250</v>
      </c>
      <c r="D15" s="98" t="s">
        <v>2836</v>
      </c>
      <c r="E15" s="98" t="s">
        <v>54</v>
      </c>
      <c r="F15" s="98" t="s">
        <v>149</v>
      </c>
      <c r="G15" s="98" t="s">
        <v>149</v>
      </c>
      <c r="H15" s="98" t="s">
        <v>149</v>
      </c>
      <c r="I15" s="98" t="s">
        <v>149</v>
      </c>
    </row>
    <row r="16" hidden="1">
      <c r="A16" s="98" t="s">
        <v>1477</v>
      </c>
      <c r="B16" s="98" t="s">
        <v>601</v>
      </c>
      <c r="C16" s="99" t="s">
        <v>618</v>
      </c>
      <c r="D16" s="98" t="s">
        <v>2836</v>
      </c>
      <c r="E16" s="98" t="s">
        <v>44</v>
      </c>
      <c r="F16" s="98" t="s">
        <v>2837</v>
      </c>
      <c r="G16" s="98" t="s">
        <v>149</v>
      </c>
      <c r="H16" s="98" t="s">
        <v>149</v>
      </c>
      <c r="I16" s="98" t="s">
        <v>149</v>
      </c>
    </row>
    <row r="17">
      <c r="A17" s="98" t="s">
        <v>1573</v>
      </c>
      <c r="B17" s="100" t="s">
        <v>67</v>
      </c>
      <c r="C17" s="99" t="s">
        <v>77</v>
      </c>
      <c r="D17" s="98" t="s">
        <v>2839</v>
      </c>
      <c r="E17" s="98" t="s">
        <v>44</v>
      </c>
      <c r="F17" s="98" t="s">
        <v>2840</v>
      </c>
      <c r="G17" s="98" t="s">
        <v>22</v>
      </c>
      <c r="H17" s="98" t="s">
        <v>21</v>
      </c>
      <c r="I17" s="101" t="s">
        <v>2841</v>
      </c>
      <c r="K17" s="103" t="s">
        <v>67</v>
      </c>
    </row>
    <row r="18" hidden="1">
      <c r="A18" s="98" t="s">
        <v>1678</v>
      </c>
      <c r="B18" s="98" t="s">
        <v>198</v>
      </c>
      <c r="C18" s="99" t="s">
        <v>217</v>
      </c>
      <c r="D18" s="98" t="s">
        <v>2836</v>
      </c>
      <c r="E18" s="98" t="s">
        <v>54</v>
      </c>
      <c r="F18" s="98" t="s">
        <v>149</v>
      </c>
      <c r="G18" s="98" t="s">
        <v>149</v>
      </c>
      <c r="H18" s="98" t="s">
        <v>149</v>
      </c>
      <c r="I18" s="98" t="s">
        <v>149</v>
      </c>
    </row>
    <row r="19" hidden="1">
      <c r="A19" s="98" t="s">
        <v>1761</v>
      </c>
      <c r="B19" s="98" t="s">
        <v>1071</v>
      </c>
      <c r="C19" s="99" t="s">
        <v>1088</v>
      </c>
      <c r="D19" s="98" t="s">
        <v>2836</v>
      </c>
      <c r="E19" s="98" t="s">
        <v>54</v>
      </c>
      <c r="F19" s="98" t="s">
        <v>149</v>
      </c>
      <c r="G19" s="98" t="s">
        <v>149</v>
      </c>
      <c r="H19" s="98" t="s">
        <v>149</v>
      </c>
      <c r="I19" s="98" t="s">
        <v>149</v>
      </c>
    </row>
    <row r="20">
      <c r="A20" s="98" t="s">
        <v>1872</v>
      </c>
      <c r="B20" s="100" t="s">
        <v>1775</v>
      </c>
      <c r="C20" s="99" t="s">
        <v>1794</v>
      </c>
      <c r="D20" s="98" t="s">
        <v>2839</v>
      </c>
      <c r="E20" s="98" t="s">
        <v>44</v>
      </c>
      <c r="F20" s="98" t="s">
        <v>2840</v>
      </c>
      <c r="G20" s="98" t="s">
        <v>74</v>
      </c>
      <c r="H20" s="98" t="s">
        <v>75</v>
      </c>
      <c r="I20" s="101" t="s">
        <v>2843</v>
      </c>
      <c r="K20" s="102"/>
    </row>
    <row r="21" hidden="1">
      <c r="A21" s="98" t="s">
        <v>1963</v>
      </c>
      <c r="B21" s="98" t="s">
        <v>1095</v>
      </c>
      <c r="C21" s="99" t="s">
        <v>1111</v>
      </c>
      <c r="D21" s="98" t="s">
        <v>2836</v>
      </c>
      <c r="E21" s="98" t="s">
        <v>44</v>
      </c>
      <c r="F21" s="98" t="s">
        <v>2837</v>
      </c>
      <c r="G21" s="98" t="s">
        <v>149</v>
      </c>
      <c r="H21" s="98" t="s">
        <v>149</v>
      </c>
      <c r="I21" s="98" t="s">
        <v>149</v>
      </c>
    </row>
    <row r="22" hidden="1">
      <c r="A22" s="98" t="s">
        <v>2043</v>
      </c>
      <c r="B22" s="98" t="s">
        <v>899</v>
      </c>
      <c r="C22" s="99" t="s">
        <v>914</v>
      </c>
      <c r="D22" s="98" t="s">
        <v>2836</v>
      </c>
      <c r="E22" s="98" t="s">
        <v>44</v>
      </c>
      <c r="F22" s="98" t="s">
        <v>2837</v>
      </c>
      <c r="G22" s="98" t="s">
        <v>149</v>
      </c>
      <c r="H22" s="98" t="s">
        <v>149</v>
      </c>
      <c r="I22" s="98" t="s">
        <v>149</v>
      </c>
    </row>
    <row r="23" hidden="1">
      <c r="A23" s="98" t="s">
        <v>2117</v>
      </c>
      <c r="B23" s="98" t="s">
        <v>2846</v>
      </c>
      <c r="C23" s="99" t="s">
        <v>967</v>
      </c>
      <c r="D23" s="98" t="s">
        <v>2836</v>
      </c>
      <c r="E23" s="98" t="s">
        <v>44</v>
      </c>
      <c r="F23" s="98" t="s">
        <v>2837</v>
      </c>
      <c r="G23" s="98" t="s">
        <v>149</v>
      </c>
      <c r="H23" s="98" t="s">
        <v>149</v>
      </c>
      <c r="I23" s="98" t="s">
        <v>149</v>
      </c>
    </row>
    <row r="24">
      <c r="A24" s="98" t="s">
        <v>2138</v>
      </c>
      <c r="B24" s="100" t="s">
        <v>1923</v>
      </c>
      <c r="C24" s="99" t="s">
        <v>1940</v>
      </c>
      <c r="D24" s="98" t="s">
        <v>2839</v>
      </c>
      <c r="E24" s="98" t="s">
        <v>44</v>
      </c>
      <c r="F24" s="98" t="s">
        <v>2840</v>
      </c>
      <c r="G24" s="98" t="s">
        <v>407</v>
      </c>
      <c r="H24" s="98" t="s">
        <v>75</v>
      </c>
      <c r="I24" s="101" t="s">
        <v>2843</v>
      </c>
      <c r="K24" s="102"/>
    </row>
    <row r="25" hidden="1">
      <c r="A25" s="98" t="s">
        <v>2164</v>
      </c>
      <c r="B25" s="98" t="s">
        <v>577</v>
      </c>
      <c r="C25" s="98" t="s">
        <v>594</v>
      </c>
      <c r="D25" s="98" t="s">
        <v>2836</v>
      </c>
      <c r="E25" s="98" t="s">
        <v>44</v>
      </c>
      <c r="F25" s="98" t="s">
        <v>2837</v>
      </c>
      <c r="G25" s="98" t="s">
        <v>149</v>
      </c>
      <c r="H25" s="98" t="s">
        <v>149</v>
      </c>
      <c r="I25" s="98" t="s">
        <v>149</v>
      </c>
    </row>
    <row r="26">
      <c r="A26" s="98" t="s">
        <v>2169</v>
      </c>
      <c r="B26" s="98" t="s">
        <v>623</v>
      </c>
      <c r="C26" s="99" t="s">
        <v>642</v>
      </c>
      <c r="D26" s="98" t="s">
        <v>2839</v>
      </c>
      <c r="E26" s="98" t="s">
        <v>44</v>
      </c>
      <c r="F26" s="98" t="s">
        <v>2840</v>
      </c>
      <c r="G26" s="98" t="s">
        <v>92</v>
      </c>
      <c r="H26" s="98" t="s">
        <v>75</v>
      </c>
      <c r="I26" s="101" t="s">
        <v>2843</v>
      </c>
    </row>
    <row r="27">
      <c r="A27" s="98" t="s">
        <v>2173</v>
      </c>
      <c r="B27" s="100" t="s">
        <v>875</v>
      </c>
      <c r="C27" s="99" t="s">
        <v>891</v>
      </c>
      <c r="D27" s="98" t="s">
        <v>2839</v>
      </c>
      <c r="E27" s="98" t="s">
        <v>44</v>
      </c>
      <c r="F27" s="98" t="s">
        <v>2840</v>
      </c>
      <c r="G27" s="98" t="s">
        <v>119</v>
      </c>
      <c r="H27" s="98" t="s">
        <v>75</v>
      </c>
      <c r="I27" s="101" t="s">
        <v>2843</v>
      </c>
      <c r="K27" s="102"/>
    </row>
    <row r="28" hidden="1">
      <c r="A28" s="98" t="s">
        <v>2179</v>
      </c>
      <c r="B28" s="98" t="s">
        <v>1232</v>
      </c>
      <c r="C28" s="99" t="s">
        <v>1278</v>
      </c>
      <c r="D28" s="98" t="s">
        <v>2836</v>
      </c>
      <c r="E28" s="98" t="s">
        <v>54</v>
      </c>
      <c r="F28" s="98" t="s">
        <v>149</v>
      </c>
      <c r="G28" s="98" t="s">
        <v>149</v>
      </c>
      <c r="H28" s="98" t="s">
        <v>149</v>
      </c>
      <c r="I28" s="98" t="s">
        <v>149</v>
      </c>
    </row>
    <row r="29">
      <c r="A29" s="98" t="s">
        <v>2182</v>
      </c>
      <c r="B29" s="100" t="s">
        <v>517</v>
      </c>
      <c r="C29" s="99" t="s">
        <v>540</v>
      </c>
      <c r="D29" s="98" t="s">
        <v>2839</v>
      </c>
      <c r="E29" s="98" t="s">
        <v>44</v>
      </c>
      <c r="F29" s="98" t="s">
        <v>2840</v>
      </c>
      <c r="G29" s="98" t="s">
        <v>22</v>
      </c>
      <c r="H29" s="98" t="s">
        <v>75</v>
      </c>
      <c r="I29" s="101" t="s">
        <v>2843</v>
      </c>
      <c r="K29" s="102"/>
    </row>
    <row r="30">
      <c r="A30" s="98" t="s">
        <v>2191</v>
      </c>
      <c r="B30" s="100" t="s">
        <v>2033</v>
      </c>
      <c r="C30" s="99" t="s">
        <v>2047</v>
      </c>
      <c r="D30" s="98" t="s">
        <v>2839</v>
      </c>
      <c r="E30" s="98" t="s">
        <v>44</v>
      </c>
      <c r="F30" s="98" t="s">
        <v>2840</v>
      </c>
      <c r="G30" s="98" t="s">
        <v>857</v>
      </c>
      <c r="H30" s="98" t="s">
        <v>75</v>
      </c>
      <c r="I30" s="101" t="s">
        <v>2843</v>
      </c>
      <c r="K30" s="102"/>
    </row>
    <row r="31" hidden="1">
      <c r="A31" s="98" t="s">
        <v>2214</v>
      </c>
      <c r="B31" s="98" t="s">
        <v>359</v>
      </c>
      <c r="C31" s="99" t="s">
        <v>374</v>
      </c>
      <c r="D31" s="98" t="s">
        <v>2836</v>
      </c>
      <c r="E31" s="98" t="s">
        <v>44</v>
      </c>
      <c r="F31" s="98" t="s">
        <v>2837</v>
      </c>
      <c r="G31" s="98" t="s">
        <v>149</v>
      </c>
      <c r="H31" s="98" t="s">
        <v>149</v>
      </c>
      <c r="I31" s="98" t="s">
        <v>149</v>
      </c>
    </row>
    <row r="32" hidden="1">
      <c r="A32" s="98" t="s">
        <v>2222</v>
      </c>
      <c r="B32" s="98" t="s">
        <v>391</v>
      </c>
      <c r="C32" s="99" t="s">
        <v>404</v>
      </c>
      <c r="D32" s="98" t="s">
        <v>2836</v>
      </c>
      <c r="E32" s="98" t="s">
        <v>44</v>
      </c>
      <c r="F32" s="98" t="s">
        <v>2837</v>
      </c>
      <c r="G32" s="98" t="s">
        <v>149</v>
      </c>
      <c r="H32" s="98" t="s">
        <v>149</v>
      </c>
      <c r="I32" s="98" t="s">
        <v>149</v>
      </c>
    </row>
    <row r="33" hidden="1">
      <c r="A33" s="98" t="s">
        <v>2226</v>
      </c>
      <c r="B33" s="98" t="s">
        <v>83</v>
      </c>
      <c r="C33" s="99" t="s">
        <v>89</v>
      </c>
      <c r="D33" s="98" t="s">
        <v>2836</v>
      </c>
      <c r="E33" s="98" t="s">
        <v>44</v>
      </c>
      <c r="F33" s="98" t="s">
        <v>2837</v>
      </c>
      <c r="G33" s="98" t="s">
        <v>149</v>
      </c>
      <c r="H33" s="98" t="s">
        <v>149</v>
      </c>
      <c r="I33" s="98" t="s">
        <v>149</v>
      </c>
    </row>
    <row r="34" hidden="1">
      <c r="A34" s="98" t="s">
        <v>2229</v>
      </c>
      <c r="B34" s="98" t="s">
        <v>46</v>
      </c>
      <c r="C34" s="99" t="s">
        <v>62</v>
      </c>
      <c r="D34" s="98" t="s">
        <v>2836</v>
      </c>
      <c r="E34" s="98" t="s">
        <v>44</v>
      </c>
      <c r="F34" s="98" t="s">
        <v>2837</v>
      </c>
      <c r="G34" s="98" t="s">
        <v>149</v>
      </c>
      <c r="H34" s="98" t="s">
        <v>149</v>
      </c>
      <c r="I34" s="98" t="s">
        <v>149</v>
      </c>
    </row>
    <row r="35" hidden="1">
      <c r="A35" s="98" t="s">
        <v>2232</v>
      </c>
      <c r="B35" s="98" t="s">
        <v>1581</v>
      </c>
      <c r="C35" s="99" t="s">
        <v>1604</v>
      </c>
      <c r="D35" s="98" t="s">
        <v>2836</v>
      </c>
      <c r="E35" s="98" t="s">
        <v>44</v>
      </c>
      <c r="F35" s="98" t="s">
        <v>2837</v>
      </c>
      <c r="G35" s="98" t="s">
        <v>149</v>
      </c>
      <c r="H35" s="98" t="s">
        <v>149</v>
      </c>
      <c r="I35" s="98" t="s">
        <v>149</v>
      </c>
    </row>
    <row r="36" hidden="1">
      <c r="A36" s="98" t="s">
        <v>2239</v>
      </c>
      <c r="B36" s="98" t="s">
        <v>1189</v>
      </c>
      <c r="C36" s="99" t="s">
        <v>1202</v>
      </c>
      <c r="D36" s="98" t="s">
        <v>2836</v>
      </c>
      <c r="E36" s="98" t="s">
        <v>44</v>
      </c>
      <c r="F36" s="98" t="s">
        <v>2837</v>
      </c>
      <c r="G36" s="98" t="s">
        <v>149</v>
      </c>
      <c r="H36" s="98" t="s">
        <v>149</v>
      </c>
      <c r="I36" s="98" t="s">
        <v>149</v>
      </c>
    </row>
    <row r="37" hidden="1">
      <c r="A37" s="98" t="s">
        <v>2246</v>
      </c>
      <c r="B37" s="98" t="s">
        <v>2003</v>
      </c>
      <c r="C37" s="99" t="s">
        <v>2011</v>
      </c>
      <c r="D37" s="98" t="s">
        <v>2836</v>
      </c>
      <c r="E37" s="98" t="s">
        <v>44</v>
      </c>
      <c r="F37" s="98" t="s">
        <v>2837</v>
      </c>
      <c r="G37" s="98" t="s">
        <v>149</v>
      </c>
      <c r="H37" s="98" t="s">
        <v>149</v>
      </c>
      <c r="I37" s="98" t="s">
        <v>149</v>
      </c>
    </row>
    <row r="38" hidden="1">
      <c r="A38" s="98" t="s">
        <v>2257</v>
      </c>
      <c r="B38" s="98" t="s">
        <v>1209</v>
      </c>
      <c r="C38" s="99" t="s">
        <v>1226</v>
      </c>
      <c r="D38" s="98" t="s">
        <v>2836</v>
      </c>
      <c r="E38" s="98" t="s">
        <v>44</v>
      </c>
      <c r="F38" s="98" t="s">
        <v>2837</v>
      </c>
      <c r="G38" s="98" t="s">
        <v>149</v>
      </c>
      <c r="H38" s="98" t="s">
        <v>149</v>
      </c>
      <c r="I38" s="98" t="s">
        <v>149</v>
      </c>
    </row>
    <row r="39" hidden="1">
      <c r="A39" s="98" t="s">
        <v>2269</v>
      </c>
      <c r="B39" s="98" t="s">
        <v>1945</v>
      </c>
      <c r="C39" s="99" t="s">
        <v>1962</v>
      </c>
      <c r="D39" s="98" t="s">
        <v>2836</v>
      </c>
      <c r="E39" s="98" t="s">
        <v>44</v>
      </c>
      <c r="F39" s="98" t="s">
        <v>2837</v>
      </c>
      <c r="G39" s="98" t="s">
        <v>149</v>
      </c>
      <c r="H39" s="98" t="s">
        <v>149</v>
      </c>
      <c r="I39" s="98" t="s">
        <v>149</v>
      </c>
    </row>
    <row r="40" hidden="1">
      <c r="A40" s="98" t="s">
        <v>2278</v>
      </c>
      <c r="B40" s="98" t="s">
        <v>1533</v>
      </c>
      <c r="C40" s="99" t="s">
        <v>1565</v>
      </c>
      <c r="D40" s="98" t="s">
        <v>2836</v>
      </c>
      <c r="E40" s="98" t="s">
        <v>54</v>
      </c>
      <c r="F40" s="98" t="s">
        <v>149</v>
      </c>
      <c r="G40" s="98" t="s">
        <v>149</v>
      </c>
      <c r="H40" s="98" t="s">
        <v>149</v>
      </c>
      <c r="I40" s="98" t="s">
        <v>149</v>
      </c>
    </row>
    <row r="41" hidden="1">
      <c r="A41" s="98" t="s">
        <v>2294</v>
      </c>
      <c r="B41" s="98" t="s">
        <v>1420</v>
      </c>
      <c r="C41" s="99" t="s">
        <v>1439</v>
      </c>
      <c r="D41" s="98" t="s">
        <v>2836</v>
      </c>
      <c r="E41" s="98" t="s">
        <v>44</v>
      </c>
      <c r="F41" s="98" t="s">
        <v>2837</v>
      </c>
      <c r="G41" s="98" t="s">
        <v>149</v>
      </c>
      <c r="H41" s="98" t="s">
        <v>149</v>
      </c>
      <c r="I41" s="98" t="s">
        <v>149</v>
      </c>
    </row>
    <row r="42" hidden="1">
      <c r="A42" s="98" t="s">
        <v>2303</v>
      </c>
      <c r="B42" s="98" t="s">
        <v>716</v>
      </c>
      <c r="C42" s="99" t="s">
        <v>734</v>
      </c>
      <c r="D42" s="98" t="s">
        <v>2836</v>
      </c>
      <c r="E42" s="98" t="s">
        <v>44</v>
      </c>
      <c r="F42" s="98" t="s">
        <v>2837</v>
      </c>
      <c r="G42" s="98" t="s">
        <v>149</v>
      </c>
      <c r="H42" s="98" t="s">
        <v>149</v>
      </c>
      <c r="I42" s="98" t="s">
        <v>149</v>
      </c>
    </row>
    <row r="43">
      <c r="A43" s="98" t="s">
        <v>2313</v>
      </c>
      <c r="B43" s="100" t="s">
        <v>1139</v>
      </c>
      <c r="C43" s="99" t="s">
        <v>998</v>
      </c>
      <c r="D43" s="98" t="s">
        <v>2839</v>
      </c>
      <c r="E43" s="98" t="s">
        <v>44</v>
      </c>
      <c r="F43" s="98" t="s">
        <v>2840</v>
      </c>
      <c r="G43" s="98" t="s">
        <v>223</v>
      </c>
      <c r="H43" s="98" t="s">
        <v>21</v>
      </c>
      <c r="I43" s="101" t="s">
        <v>2841</v>
      </c>
      <c r="K43" s="103" t="s">
        <v>1139</v>
      </c>
    </row>
    <row r="44" hidden="1">
      <c r="A44" s="98" t="s">
        <v>2323</v>
      </c>
      <c r="B44" s="98" t="s">
        <v>1967</v>
      </c>
      <c r="C44" s="99" t="s">
        <v>1984</v>
      </c>
      <c r="D44" s="98" t="s">
        <v>2836</v>
      </c>
      <c r="E44" s="98" t="s">
        <v>54</v>
      </c>
      <c r="F44" s="98" t="s">
        <v>149</v>
      </c>
      <c r="G44" s="98" t="s">
        <v>149</v>
      </c>
      <c r="H44" s="98" t="s">
        <v>149</v>
      </c>
      <c r="I44" s="98" t="s">
        <v>149</v>
      </c>
    </row>
    <row r="45" hidden="1">
      <c r="A45" s="98" t="s">
        <v>2330</v>
      </c>
      <c r="B45" s="98" t="s">
        <v>24</v>
      </c>
      <c r="C45" s="99" t="s">
        <v>39</v>
      </c>
      <c r="D45" s="98" t="s">
        <v>2836</v>
      </c>
      <c r="E45" s="98" t="s">
        <v>44</v>
      </c>
      <c r="F45" s="98" t="s">
        <v>2837</v>
      </c>
      <c r="G45" s="98" t="s">
        <v>149</v>
      </c>
      <c r="H45" s="98" t="s">
        <v>149</v>
      </c>
      <c r="I45" s="98" t="s">
        <v>149</v>
      </c>
    </row>
    <row r="46" hidden="1">
      <c r="A46" s="98" t="s">
        <v>2338</v>
      </c>
      <c r="B46" s="98" t="s">
        <v>2849</v>
      </c>
      <c r="C46" s="99" t="s">
        <v>1390</v>
      </c>
      <c r="D46" s="98" t="s">
        <v>2836</v>
      </c>
      <c r="E46" s="98" t="s">
        <v>44</v>
      </c>
      <c r="F46" s="98" t="s">
        <v>2837</v>
      </c>
      <c r="G46" s="98" t="s">
        <v>149</v>
      </c>
      <c r="H46" s="98" t="s">
        <v>149</v>
      </c>
      <c r="I46" s="98" t="s">
        <v>149</v>
      </c>
    </row>
    <row r="47" hidden="1">
      <c r="A47" s="98" t="s">
        <v>2346</v>
      </c>
      <c r="B47" s="98" t="s">
        <v>334</v>
      </c>
      <c r="C47" s="99" t="s">
        <v>353</v>
      </c>
      <c r="D47" s="98" t="s">
        <v>2836</v>
      </c>
      <c r="E47" s="98" t="s">
        <v>44</v>
      </c>
      <c r="F47" s="98" t="s">
        <v>2837</v>
      </c>
      <c r="G47" s="98" t="s">
        <v>149</v>
      </c>
      <c r="H47" s="98" t="s">
        <v>149</v>
      </c>
      <c r="I47" s="98" t="s">
        <v>149</v>
      </c>
    </row>
    <row r="48" hidden="1">
      <c r="A48" s="98" t="s">
        <v>2356</v>
      </c>
      <c r="B48" s="98" t="s">
        <v>2051</v>
      </c>
      <c r="C48" s="99" t="s">
        <v>2061</v>
      </c>
      <c r="D48" s="98" t="s">
        <v>2836</v>
      </c>
      <c r="E48" s="98" t="s">
        <v>44</v>
      </c>
      <c r="F48" s="98" t="s">
        <v>2837</v>
      </c>
      <c r="G48" s="98" t="s">
        <v>149</v>
      </c>
      <c r="H48" s="98" t="s">
        <v>149</v>
      </c>
      <c r="I48" s="98" t="s">
        <v>149</v>
      </c>
    </row>
    <row r="49" hidden="1">
      <c r="A49" s="98" t="s">
        <v>2371</v>
      </c>
      <c r="B49" s="98" t="s">
        <v>1617</v>
      </c>
      <c r="C49" s="99" t="s">
        <v>1642</v>
      </c>
      <c r="D49" s="98" t="s">
        <v>2836</v>
      </c>
      <c r="E49" s="98" t="s">
        <v>44</v>
      </c>
      <c r="F49" s="98" t="s">
        <v>2837</v>
      </c>
      <c r="G49" s="98" t="s">
        <v>149</v>
      </c>
      <c r="H49" s="98" t="s">
        <v>149</v>
      </c>
      <c r="I49" s="98" t="s">
        <v>149</v>
      </c>
    </row>
    <row r="50" hidden="1">
      <c r="A50" s="98" t="s">
        <v>2386</v>
      </c>
      <c r="B50" s="98" t="s">
        <v>1877</v>
      </c>
      <c r="C50" s="99" t="s">
        <v>1898</v>
      </c>
      <c r="D50" s="98" t="s">
        <v>2836</v>
      </c>
      <c r="E50" s="98" t="s">
        <v>44</v>
      </c>
      <c r="F50" s="98" t="s">
        <v>2837</v>
      </c>
      <c r="G50" s="98" t="s">
        <v>149</v>
      </c>
      <c r="H50" s="98" t="s">
        <v>149</v>
      </c>
      <c r="I50" s="98" t="s">
        <v>149</v>
      </c>
    </row>
    <row r="51" hidden="1">
      <c r="A51" s="98" t="s">
        <v>2401</v>
      </c>
      <c r="B51" s="98" t="s">
        <v>691</v>
      </c>
      <c r="C51" s="99" t="s">
        <v>710</v>
      </c>
      <c r="D51" s="98" t="s">
        <v>2836</v>
      </c>
      <c r="E51" s="98" t="s">
        <v>44</v>
      </c>
      <c r="F51" s="98" t="s">
        <v>2837</v>
      </c>
      <c r="G51" s="98" t="s">
        <v>149</v>
      </c>
      <c r="H51" s="98" t="s">
        <v>149</v>
      </c>
      <c r="I51" s="98" t="s">
        <v>149</v>
      </c>
    </row>
    <row r="52">
      <c r="A52" s="98" t="s">
        <v>2413</v>
      </c>
      <c r="B52" s="100" t="s">
        <v>1682</v>
      </c>
      <c r="C52" s="99" t="s">
        <v>1697</v>
      </c>
      <c r="D52" s="98" t="s">
        <v>2839</v>
      </c>
      <c r="E52" s="98" t="s">
        <v>44</v>
      </c>
      <c r="F52" s="98" t="s">
        <v>2840</v>
      </c>
      <c r="G52" s="98" t="s">
        <v>1578</v>
      </c>
      <c r="H52" s="98" t="s">
        <v>75</v>
      </c>
      <c r="I52" s="101" t="s">
        <v>2843</v>
      </c>
      <c r="K52" s="103" t="s">
        <v>1682</v>
      </c>
    </row>
    <row r="53">
      <c r="A53" s="98" t="s">
        <v>2424</v>
      </c>
      <c r="B53" s="100" t="s">
        <v>1353</v>
      </c>
      <c r="C53" s="99" t="s">
        <v>1365</v>
      </c>
      <c r="D53" s="98" t="s">
        <v>2839</v>
      </c>
      <c r="E53" s="98" t="s">
        <v>44</v>
      </c>
      <c r="F53" s="98" t="s">
        <v>2840</v>
      </c>
      <c r="G53" s="98" t="s">
        <v>2187</v>
      </c>
      <c r="H53" s="98" t="s">
        <v>75</v>
      </c>
      <c r="I53" s="101" t="s">
        <v>2843</v>
      </c>
      <c r="K53" s="103" t="s">
        <v>1353</v>
      </c>
    </row>
    <row r="54">
      <c r="A54" s="98" t="s">
        <v>2432</v>
      </c>
      <c r="B54" s="100" t="s">
        <v>1446</v>
      </c>
      <c r="C54" s="99" t="s">
        <v>1464</v>
      </c>
      <c r="D54" s="98" t="s">
        <v>2839</v>
      </c>
      <c r="E54" s="98" t="s">
        <v>44</v>
      </c>
      <c r="F54" s="98" t="s">
        <v>2840</v>
      </c>
      <c r="G54" s="98" t="s">
        <v>280</v>
      </c>
      <c r="H54" s="98" t="s">
        <v>75</v>
      </c>
      <c r="I54" s="101" t="s">
        <v>2843</v>
      </c>
      <c r="K54" s="102"/>
    </row>
    <row r="55" hidden="1">
      <c r="A55" s="98" t="s">
        <v>2443</v>
      </c>
      <c r="B55" s="98" t="s">
        <v>2850</v>
      </c>
      <c r="C55" s="99" t="s">
        <v>1415</v>
      </c>
      <c r="D55" s="98" t="s">
        <v>2836</v>
      </c>
      <c r="E55" s="98" t="s">
        <v>44</v>
      </c>
      <c r="F55" s="98" t="s">
        <v>2837</v>
      </c>
      <c r="G55" s="98" t="s">
        <v>149</v>
      </c>
      <c r="H55" s="98" t="s">
        <v>149</v>
      </c>
      <c r="I55" s="98" t="s">
        <v>149</v>
      </c>
    </row>
    <row r="56" hidden="1">
      <c r="A56" s="98" t="s">
        <v>2452</v>
      </c>
      <c r="B56" s="98" t="s">
        <v>987</v>
      </c>
      <c r="C56" s="99" t="s">
        <v>1009</v>
      </c>
      <c r="D56" s="98" t="s">
        <v>2836</v>
      </c>
      <c r="E56" s="98" t="s">
        <v>54</v>
      </c>
      <c r="F56" s="98" t="s">
        <v>149</v>
      </c>
      <c r="G56" s="98" t="s">
        <v>149</v>
      </c>
      <c r="H56" s="98" t="s">
        <v>149</v>
      </c>
      <c r="I56" s="98" t="s">
        <v>149</v>
      </c>
    </row>
    <row r="57" hidden="1">
      <c r="A57" s="98" t="s">
        <v>2458</v>
      </c>
      <c r="B57" s="98" t="s">
        <v>1752</v>
      </c>
      <c r="C57" s="99" t="s">
        <v>1768</v>
      </c>
      <c r="D57" s="98" t="s">
        <v>2836</v>
      </c>
      <c r="E57" s="98" t="s">
        <v>44</v>
      </c>
      <c r="F57" s="98" t="s">
        <v>2837</v>
      </c>
      <c r="G57" s="98" t="s">
        <v>149</v>
      </c>
      <c r="H57" s="98" t="s">
        <v>149</v>
      </c>
      <c r="I57" s="98" t="s">
        <v>149</v>
      </c>
    </row>
    <row r="58">
      <c r="A58" s="98" t="s">
        <v>2472</v>
      </c>
      <c r="B58" s="100" t="s">
        <v>669</v>
      </c>
      <c r="C58" s="99" t="s">
        <v>686</v>
      </c>
      <c r="D58" s="98" t="s">
        <v>2839</v>
      </c>
      <c r="E58" s="98" t="s">
        <v>44</v>
      </c>
      <c r="F58" s="98" t="s">
        <v>2840</v>
      </c>
      <c r="G58" s="98" t="s">
        <v>104</v>
      </c>
      <c r="H58" s="98" t="s">
        <v>21</v>
      </c>
      <c r="I58" s="98" t="s">
        <v>2841</v>
      </c>
      <c r="K58" s="102"/>
    </row>
    <row r="59" hidden="1">
      <c r="A59" s="98" t="s">
        <v>2481</v>
      </c>
      <c r="B59" s="98" t="s">
        <v>2066</v>
      </c>
      <c r="C59" s="99" t="s">
        <v>2086</v>
      </c>
      <c r="D59" s="98" t="s">
        <v>2836</v>
      </c>
      <c r="E59" s="98" t="s">
        <v>44</v>
      </c>
      <c r="F59" s="98" t="s">
        <v>2837</v>
      </c>
      <c r="G59" s="98" t="s">
        <v>149</v>
      </c>
      <c r="H59" s="98" t="s">
        <v>149</v>
      </c>
      <c r="I59" s="98" t="s">
        <v>149</v>
      </c>
    </row>
    <row r="60">
      <c r="A60" s="98" t="s">
        <v>2488</v>
      </c>
      <c r="B60" s="100" t="s">
        <v>1323</v>
      </c>
      <c r="C60" s="99" t="s">
        <v>1343</v>
      </c>
      <c r="D60" s="98" t="s">
        <v>2839</v>
      </c>
      <c r="E60" s="98" t="s">
        <v>44</v>
      </c>
      <c r="F60" s="98" t="s">
        <v>2840</v>
      </c>
      <c r="G60" s="98" t="s">
        <v>223</v>
      </c>
      <c r="H60" s="98" t="s">
        <v>75</v>
      </c>
      <c r="I60" s="101" t="s">
        <v>2843</v>
      </c>
      <c r="K60" s="104"/>
    </row>
    <row r="61" hidden="1">
      <c r="A61" s="98" t="s">
        <v>2498</v>
      </c>
      <c r="B61" s="98" t="s">
        <v>209</v>
      </c>
      <c r="C61" s="99" t="s">
        <v>795</v>
      </c>
      <c r="D61" s="98" t="s">
        <v>2836</v>
      </c>
      <c r="E61" s="98" t="s">
        <v>44</v>
      </c>
      <c r="F61" s="98" t="s">
        <v>2837</v>
      </c>
      <c r="G61" s="98" t="s">
        <v>149</v>
      </c>
      <c r="H61" s="98" t="s">
        <v>149</v>
      </c>
      <c r="I61" s="98" t="s">
        <v>149</v>
      </c>
    </row>
    <row r="62" hidden="1">
      <c r="A62" s="98" t="s">
        <v>2507</v>
      </c>
      <c r="B62" s="98" t="s">
        <v>1802</v>
      </c>
      <c r="C62" s="99" t="s">
        <v>1820</v>
      </c>
      <c r="D62" s="98" t="s">
        <v>2836</v>
      </c>
      <c r="E62" s="98" t="s">
        <v>44</v>
      </c>
      <c r="F62" s="98" t="s">
        <v>2837</v>
      </c>
      <c r="G62" s="98" t="s">
        <v>149</v>
      </c>
      <c r="H62" s="98" t="s">
        <v>149</v>
      </c>
      <c r="I62" s="98" t="s">
        <v>149</v>
      </c>
    </row>
    <row r="63" hidden="1">
      <c r="A63" s="98" t="s">
        <v>2518</v>
      </c>
      <c r="B63" s="98" t="s">
        <v>2852</v>
      </c>
      <c r="C63" s="99" t="s">
        <v>570</v>
      </c>
      <c r="D63" s="98" t="s">
        <v>2836</v>
      </c>
      <c r="E63" s="98" t="s">
        <v>44</v>
      </c>
      <c r="F63" s="98" t="s">
        <v>2837</v>
      </c>
      <c r="G63" s="98" t="s">
        <v>149</v>
      </c>
      <c r="H63" s="98" t="s">
        <v>149</v>
      </c>
      <c r="I63" s="98" t="s">
        <v>149</v>
      </c>
    </row>
    <row r="64" hidden="1">
      <c r="A64" s="98" t="s">
        <v>2532</v>
      </c>
      <c r="B64" s="98" t="s">
        <v>257</v>
      </c>
      <c r="C64" s="99" t="s">
        <v>274</v>
      </c>
      <c r="D64" s="98" t="s">
        <v>2836</v>
      </c>
      <c r="E64" s="98" t="s">
        <v>44</v>
      </c>
      <c r="F64" s="98" t="s">
        <v>2837</v>
      </c>
      <c r="G64" s="98" t="s">
        <v>149</v>
      </c>
      <c r="H64" s="98" t="s">
        <v>149</v>
      </c>
      <c r="I64" s="98" t="s">
        <v>149</v>
      </c>
    </row>
    <row r="65" hidden="1">
      <c r="A65" s="98" t="s">
        <v>2546</v>
      </c>
      <c r="B65" s="98" t="s">
        <v>2853</v>
      </c>
      <c r="C65" s="99" t="s">
        <v>1721</v>
      </c>
      <c r="D65" s="98" t="s">
        <v>2836</v>
      </c>
      <c r="E65" s="98" t="s">
        <v>54</v>
      </c>
      <c r="F65" s="98" t="s">
        <v>149</v>
      </c>
      <c r="G65" s="98" t="s">
        <v>149</v>
      </c>
      <c r="H65" s="98" t="s">
        <v>149</v>
      </c>
      <c r="I65" s="98" t="s">
        <v>149</v>
      </c>
    </row>
    <row r="66" hidden="1">
      <c r="A66" s="98" t="s">
        <v>2552</v>
      </c>
      <c r="B66" s="98" t="s">
        <v>1494</v>
      </c>
      <c r="C66" s="99" t="s">
        <v>1513</v>
      </c>
      <c r="D66" s="98" t="s">
        <v>2836</v>
      </c>
      <c r="E66" s="98" t="s">
        <v>44</v>
      </c>
      <c r="F66" s="98" t="s">
        <v>2837</v>
      </c>
      <c r="G66" s="98" t="s">
        <v>149</v>
      </c>
      <c r="H66" s="98" t="s">
        <v>149</v>
      </c>
      <c r="I66" s="98" t="s">
        <v>149</v>
      </c>
    </row>
    <row r="67" hidden="1">
      <c r="A67" s="98" t="s">
        <v>2559</v>
      </c>
      <c r="B67" s="98" t="s">
        <v>1470</v>
      </c>
      <c r="C67" s="99" t="s">
        <v>1486</v>
      </c>
      <c r="D67" s="98" t="s">
        <v>2836</v>
      </c>
      <c r="E67" s="98" t="s">
        <v>54</v>
      </c>
      <c r="F67" s="98" t="s">
        <v>149</v>
      </c>
      <c r="G67" s="98" t="s">
        <v>149</v>
      </c>
      <c r="H67" s="98" t="s">
        <v>149</v>
      </c>
      <c r="I67" s="98" t="s">
        <v>149</v>
      </c>
    </row>
    <row r="68" hidden="1">
      <c r="A68" s="98" t="s">
        <v>2570</v>
      </c>
      <c r="B68" s="98" t="s">
        <v>1729</v>
      </c>
      <c r="C68" s="99" t="s">
        <v>1747</v>
      </c>
      <c r="D68" s="98" t="s">
        <v>2836</v>
      </c>
      <c r="E68" s="98" t="s">
        <v>44</v>
      </c>
      <c r="F68" s="98" t="s">
        <v>2837</v>
      </c>
      <c r="G68" s="98" t="s">
        <v>149</v>
      </c>
      <c r="H68" s="98" t="s">
        <v>149</v>
      </c>
      <c r="I68" s="98" t="s">
        <v>149</v>
      </c>
    </row>
    <row r="69" hidden="1">
      <c r="A69" s="98" t="s">
        <v>2579</v>
      </c>
      <c r="B69" s="98" t="s">
        <v>848</v>
      </c>
      <c r="C69" s="98" t="s">
        <v>868</v>
      </c>
      <c r="D69" s="98" t="s">
        <v>2836</v>
      </c>
      <c r="E69" s="98" t="s">
        <v>44</v>
      </c>
      <c r="F69" s="98" t="s">
        <v>2837</v>
      </c>
      <c r="G69" s="98" t="s">
        <v>149</v>
      </c>
      <c r="H69" s="98" t="s">
        <v>149</v>
      </c>
      <c r="I69" s="98" t="s">
        <v>149</v>
      </c>
    </row>
    <row r="70" hidden="1">
      <c r="A70" s="98" t="s">
        <v>2584</v>
      </c>
      <c r="B70" s="98" t="s">
        <v>1049</v>
      </c>
      <c r="C70" s="99" t="s">
        <v>1064</v>
      </c>
      <c r="D70" s="98" t="s">
        <v>2836</v>
      </c>
      <c r="E70" s="98" t="s">
        <v>44</v>
      </c>
      <c r="F70" s="98" t="s">
        <v>2837</v>
      </c>
      <c r="G70" s="98" t="s">
        <v>149</v>
      </c>
      <c r="H70" s="98" t="s">
        <v>149</v>
      </c>
      <c r="I70" s="98" t="s">
        <v>149</v>
      </c>
    </row>
    <row r="71" hidden="1">
      <c r="A71" s="98" t="s">
        <v>2594</v>
      </c>
      <c r="B71" s="98" t="s">
        <v>1650</v>
      </c>
      <c r="C71" s="99" t="s">
        <v>1675</v>
      </c>
      <c r="D71" s="98" t="s">
        <v>2836</v>
      </c>
      <c r="E71" s="98" t="s">
        <v>54</v>
      </c>
      <c r="F71" s="98" t="s">
        <v>149</v>
      </c>
      <c r="G71" s="98" t="s">
        <v>149</v>
      </c>
      <c r="H71" s="98" t="s">
        <v>149</v>
      </c>
      <c r="I71" s="98" t="s">
        <v>149</v>
      </c>
    </row>
    <row r="72" hidden="1">
      <c r="A72" s="98" t="s">
        <v>2601</v>
      </c>
      <c r="B72" s="98" t="s">
        <v>1826</v>
      </c>
      <c r="C72" s="99" t="s">
        <v>1849</v>
      </c>
      <c r="D72" s="98" t="s">
        <v>2836</v>
      </c>
      <c r="E72" s="98" t="s">
        <v>44</v>
      </c>
      <c r="F72" s="98" t="s">
        <v>2837</v>
      </c>
      <c r="G72" s="98" t="s">
        <v>149</v>
      </c>
      <c r="H72" s="98" t="s">
        <v>149</v>
      </c>
      <c r="I72" s="98" t="s">
        <v>149</v>
      </c>
    </row>
    <row r="73" hidden="1">
      <c r="A73" s="98" t="s">
        <v>1132</v>
      </c>
      <c r="B73" s="98" t="s">
        <v>2017</v>
      </c>
      <c r="C73" s="99" t="s">
        <v>2030</v>
      </c>
      <c r="D73" s="98" t="s">
        <v>2836</v>
      </c>
      <c r="E73" s="98" t="s">
        <v>54</v>
      </c>
      <c r="F73" s="98" t="s">
        <v>149</v>
      </c>
      <c r="G73" s="98" t="s">
        <v>149</v>
      </c>
      <c r="H73" s="98" t="s">
        <v>149</v>
      </c>
      <c r="I73" s="98" t="s">
        <v>149</v>
      </c>
    </row>
    <row r="74" hidden="1">
      <c r="A74" s="98" t="s">
        <v>2609</v>
      </c>
      <c r="B74" s="98" t="s">
        <v>920</v>
      </c>
      <c r="C74" s="99" t="s">
        <v>933</v>
      </c>
      <c r="D74" s="98" t="s">
        <v>2836</v>
      </c>
      <c r="E74" s="98" t="s">
        <v>44</v>
      </c>
      <c r="F74" s="98" t="s">
        <v>2837</v>
      </c>
      <c r="G74" s="98" t="s">
        <v>149</v>
      </c>
      <c r="H74" s="98" t="s">
        <v>149</v>
      </c>
      <c r="I74" s="98" t="s">
        <v>149</v>
      </c>
    </row>
    <row r="75" hidden="1">
      <c r="A75" s="98" t="s">
        <v>2613</v>
      </c>
      <c r="B75" s="98" t="s">
        <v>255</v>
      </c>
      <c r="C75" s="99" t="s">
        <v>982</v>
      </c>
      <c r="D75" s="98" t="s">
        <v>2836</v>
      </c>
      <c r="E75" s="98" t="s">
        <v>44</v>
      </c>
      <c r="F75" s="98" t="s">
        <v>2837</v>
      </c>
      <c r="G75" s="98" t="s">
        <v>149</v>
      </c>
      <c r="H75" s="98" t="s">
        <v>149</v>
      </c>
      <c r="I75" s="98" t="s">
        <v>149</v>
      </c>
    </row>
    <row r="76" hidden="1">
      <c r="A76" s="98" t="s">
        <v>2617</v>
      </c>
      <c r="B76" s="98" t="s">
        <v>483</v>
      </c>
      <c r="C76" s="99" t="s">
        <v>506</v>
      </c>
      <c r="D76" s="98" t="s">
        <v>2836</v>
      </c>
      <c r="E76" s="98" t="s">
        <v>44</v>
      </c>
      <c r="F76" s="98" t="s">
        <v>2837</v>
      </c>
      <c r="G76" s="98" t="s">
        <v>149</v>
      </c>
      <c r="H76" s="98" t="s">
        <v>149</v>
      </c>
      <c r="I76" s="98" t="s">
        <v>149</v>
      </c>
    </row>
    <row r="77" hidden="1">
      <c r="A77" s="98" t="s">
        <v>2622</v>
      </c>
      <c r="B77" s="98" t="s">
        <v>1520</v>
      </c>
      <c r="C77" s="99" t="s">
        <v>1525</v>
      </c>
      <c r="D77" s="98" t="s">
        <v>2836</v>
      </c>
      <c r="E77" s="98" t="s">
        <v>54</v>
      </c>
      <c r="F77" s="98" t="s">
        <v>149</v>
      </c>
      <c r="G77" s="98" t="s">
        <v>149</v>
      </c>
      <c r="H77" s="98" t="s">
        <v>149</v>
      </c>
      <c r="I77" s="98" t="s">
        <v>149</v>
      </c>
    </row>
    <row r="78" hidden="1">
      <c r="A78" s="98" t="s">
        <v>2625</v>
      </c>
      <c r="B78" s="98" t="s">
        <v>740</v>
      </c>
      <c r="C78" s="99" t="s">
        <v>762</v>
      </c>
      <c r="D78" s="98" t="s">
        <v>2836</v>
      </c>
      <c r="E78" s="98" t="s">
        <v>54</v>
      </c>
      <c r="F78" s="98" t="s">
        <v>149</v>
      </c>
      <c r="G78" s="98" t="s">
        <v>149</v>
      </c>
      <c r="H78" s="98" t="s">
        <v>149</v>
      </c>
      <c r="I78" s="98" t="s">
        <v>149</v>
      </c>
    </row>
    <row r="79" hidden="1">
      <c r="A79" s="98" t="s">
        <v>2628</v>
      </c>
      <c r="B79" s="98" t="s">
        <v>2855</v>
      </c>
      <c r="C79" s="99" t="s">
        <v>135</v>
      </c>
      <c r="D79" s="98" t="s">
        <v>2836</v>
      </c>
      <c r="E79" s="98" t="s">
        <v>44</v>
      </c>
      <c r="F79" s="98" t="s">
        <v>2837</v>
      </c>
      <c r="G79" s="98" t="s">
        <v>149</v>
      </c>
      <c r="H79" s="98" t="s">
        <v>149</v>
      </c>
      <c r="I79" s="98" t="s">
        <v>149</v>
      </c>
    </row>
    <row r="80" hidden="1">
      <c r="A80" s="98" t="s">
        <v>2631</v>
      </c>
      <c r="B80" s="98" t="s">
        <v>281</v>
      </c>
      <c r="C80" s="99" t="s">
        <v>298</v>
      </c>
      <c r="D80" s="98" t="s">
        <v>2836</v>
      </c>
      <c r="E80" s="98" t="s">
        <v>54</v>
      </c>
      <c r="F80" s="98" t="s">
        <v>149</v>
      </c>
      <c r="G80" s="98" t="s">
        <v>149</v>
      </c>
      <c r="H80" s="98" t="s">
        <v>149</v>
      </c>
      <c r="I80" s="98" t="s">
        <v>149</v>
      </c>
    </row>
    <row r="81" hidden="1">
      <c r="A81" s="98" t="s">
        <v>2635</v>
      </c>
      <c r="B81" s="98" t="s">
        <v>309</v>
      </c>
      <c r="C81" s="99" t="s">
        <v>327</v>
      </c>
      <c r="D81" s="98" t="s">
        <v>2836</v>
      </c>
      <c r="E81" s="98" t="s">
        <v>44</v>
      </c>
      <c r="F81" s="98" t="s">
        <v>2837</v>
      </c>
      <c r="G81" s="98" t="s">
        <v>149</v>
      </c>
      <c r="H81" s="98" t="s">
        <v>149</v>
      </c>
      <c r="I81" s="98" t="s">
        <v>149</v>
      </c>
    </row>
    <row r="82" hidden="1">
      <c r="A82" s="98" t="s">
        <v>2637</v>
      </c>
      <c r="B82" s="98" t="s">
        <v>150</v>
      </c>
      <c r="C82" s="99" t="s">
        <v>167</v>
      </c>
      <c r="D82" s="98" t="s">
        <v>2836</v>
      </c>
      <c r="E82" s="98" t="s">
        <v>54</v>
      </c>
      <c r="F82" s="98" t="s">
        <v>149</v>
      </c>
      <c r="G82" s="98" t="s">
        <v>149</v>
      </c>
      <c r="H82" s="98" t="s">
        <v>149</v>
      </c>
      <c r="I82" s="98" t="s">
        <v>149</v>
      </c>
    </row>
    <row r="83" hidden="1">
      <c r="A83" s="98" t="s">
        <v>2641</v>
      </c>
      <c r="B83" s="98" t="s">
        <v>93</v>
      </c>
      <c r="C83" s="99" t="s">
        <v>99</v>
      </c>
      <c r="D83" s="98" t="s">
        <v>2836</v>
      </c>
      <c r="E83" s="98" t="s">
        <v>54</v>
      </c>
      <c r="F83" s="98" t="s">
        <v>149</v>
      </c>
      <c r="G83" s="98" t="s">
        <v>149</v>
      </c>
      <c r="H83" s="98" t="s">
        <v>149</v>
      </c>
      <c r="I83" s="98" t="s">
        <v>149</v>
      </c>
    </row>
    <row r="84">
      <c r="A84" s="98" t="s">
        <v>2647</v>
      </c>
      <c r="B84" s="100" t="s">
        <v>175</v>
      </c>
      <c r="C84" s="99" t="s">
        <v>193</v>
      </c>
      <c r="D84" s="98" t="s">
        <v>2839</v>
      </c>
      <c r="E84" s="98" t="s">
        <v>44</v>
      </c>
      <c r="F84" s="98" t="s">
        <v>2840</v>
      </c>
      <c r="G84" s="98" t="s">
        <v>119</v>
      </c>
      <c r="H84" s="98" t="s">
        <v>21</v>
      </c>
      <c r="I84" s="101" t="s">
        <v>2841</v>
      </c>
      <c r="K84" s="103" t="s">
        <v>175</v>
      </c>
    </row>
    <row r="85" hidden="1">
      <c r="A85" s="98" t="s">
        <v>2649</v>
      </c>
      <c r="B85" s="98" t="s">
        <v>410</v>
      </c>
      <c r="C85" s="99" t="s">
        <v>425</v>
      </c>
      <c r="D85" s="98" t="s">
        <v>2836</v>
      </c>
      <c r="E85" s="98" t="s">
        <v>44</v>
      </c>
      <c r="F85" s="98" t="s">
        <v>2837</v>
      </c>
      <c r="G85" s="98" t="s">
        <v>149</v>
      </c>
      <c r="H85" s="98" t="s">
        <v>149</v>
      </c>
      <c r="I85" s="98" t="s">
        <v>149</v>
      </c>
    </row>
    <row r="86" hidden="1">
      <c r="A86" s="98" t="s">
        <v>2652</v>
      </c>
      <c r="B86" s="98" t="s">
        <v>120</v>
      </c>
      <c r="C86" s="99" t="s">
        <v>125</v>
      </c>
      <c r="D86" s="98" t="s">
        <v>2836</v>
      </c>
      <c r="E86" s="98" t="s">
        <v>44</v>
      </c>
      <c r="F86" s="98" t="s">
        <v>2837</v>
      </c>
      <c r="G86" s="98" t="s">
        <v>149</v>
      </c>
      <c r="H86" s="98" t="s">
        <v>149</v>
      </c>
      <c r="I86" s="98" t="s">
        <v>149</v>
      </c>
    </row>
    <row r="87" hidden="1">
      <c r="A87" s="98" t="s">
        <v>2656</v>
      </c>
      <c r="B87" s="98" t="s">
        <v>105</v>
      </c>
      <c r="C87" s="99" t="s">
        <v>118</v>
      </c>
      <c r="D87" s="98" t="s">
        <v>2857</v>
      </c>
      <c r="E87" s="98" t="s">
        <v>44</v>
      </c>
      <c r="F87" s="98" t="s">
        <v>2837</v>
      </c>
      <c r="G87" s="98" t="s">
        <v>149</v>
      </c>
      <c r="H87" s="98" t="s">
        <v>149</v>
      </c>
      <c r="I87" s="101" t="s">
        <v>149</v>
      </c>
    </row>
    <row r="88" hidden="1">
      <c r="A88" s="98" t="s">
        <v>2662</v>
      </c>
      <c r="B88" s="98" t="s">
        <v>139</v>
      </c>
      <c r="C88" s="99" t="s">
        <v>146</v>
      </c>
      <c r="D88" s="98" t="s">
        <v>2836</v>
      </c>
      <c r="E88" s="98" t="s">
        <v>44</v>
      </c>
      <c r="F88" s="98" t="s">
        <v>2837</v>
      </c>
      <c r="G88" s="98" t="s">
        <v>149</v>
      </c>
      <c r="H88" s="98" t="s">
        <v>149</v>
      </c>
      <c r="I88" s="98" t="s">
        <v>149</v>
      </c>
    </row>
    <row r="89" hidden="1">
      <c r="A89" s="98" t="s">
        <v>2665</v>
      </c>
      <c r="B89" s="98" t="s">
        <v>449</v>
      </c>
      <c r="C89" s="99" t="s">
        <v>471</v>
      </c>
      <c r="D89" s="98" t="s">
        <v>2836</v>
      </c>
      <c r="E89" s="98" t="s">
        <v>54</v>
      </c>
      <c r="F89" s="98" t="s">
        <v>149</v>
      </c>
      <c r="G89" s="98" t="s">
        <v>149</v>
      </c>
      <c r="H89" s="98" t="s">
        <v>149</v>
      </c>
      <c r="I89" s="98" t="s">
        <v>149</v>
      </c>
    </row>
    <row r="90" hidden="1">
      <c r="A90" s="98" t="s">
        <v>2669</v>
      </c>
      <c r="B90" s="98" t="s">
        <v>78</v>
      </c>
      <c r="C90" s="99" t="s">
        <v>81</v>
      </c>
      <c r="D90" s="98" t="s">
        <v>2836</v>
      </c>
      <c r="E90" s="98" t="s">
        <v>44</v>
      </c>
      <c r="F90" s="98" t="s">
        <v>2837</v>
      </c>
      <c r="G90" s="98" t="s">
        <v>149</v>
      </c>
      <c r="H90" s="98" t="s">
        <v>149</v>
      </c>
      <c r="I90" s="98" t="s">
        <v>149</v>
      </c>
    </row>
    <row r="91" hidden="1">
      <c r="A91" s="98" t="s">
        <v>2673</v>
      </c>
      <c r="B91" s="98" t="s">
        <v>2097</v>
      </c>
      <c r="C91" s="99" t="s">
        <v>2113</v>
      </c>
      <c r="D91" s="98" t="s">
        <v>2836</v>
      </c>
      <c r="E91" s="98" t="s">
        <v>44</v>
      </c>
      <c r="F91" s="98" t="s">
        <v>2837</v>
      </c>
      <c r="G91" s="98" t="s">
        <v>149</v>
      </c>
      <c r="H91" s="98" t="s">
        <v>149</v>
      </c>
      <c r="I91" s="98" t="s">
        <v>149</v>
      </c>
    </row>
    <row r="92">
      <c r="A92" s="98" t="s">
        <v>2676</v>
      </c>
      <c r="B92" s="100" t="s">
        <v>2037</v>
      </c>
      <c r="C92" s="99" t="s">
        <v>2118</v>
      </c>
      <c r="D92" s="98" t="s">
        <v>2839</v>
      </c>
      <c r="E92" s="98" t="s">
        <v>44</v>
      </c>
      <c r="F92" s="98" t="s">
        <v>2840</v>
      </c>
      <c r="G92" s="98" t="s">
        <v>1578</v>
      </c>
      <c r="H92" s="98" t="s">
        <v>21</v>
      </c>
      <c r="I92" s="101" t="s">
        <v>2841</v>
      </c>
      <c r="K92" s="103" t="s">
        <v>2037</v>
      </c>
    </row>
    <row r="93" hidden="1">
      <c r="A93" s="98" t="s">
        <v>2679</v>
      </c>
      <c r="B93" s="98" t="s">
        <v>2120</v>
      </c>
      <c r="C93" s="99" t="s">
        <v>2126</v>
      </c>
      <c r="D93" s="98" t="s">
        <v>2836</v>
      </c>
      <c r="E93" s="98" t="s">
        <v>54</v>
      </c>
      <c r="F93" s="98" t="s">
        <v>149</v>
      </c>
      <c r="G93" s="98" t="s">
        <v>149</v>
      </c>
      <c r="H93" s="98" t="s">
        <v>149</v>
      </c>
      <c r="I93" s="98" t="s">
        <v>149</v>
      </c>
    </row>
    <row r="94" hidden="1">
      <c r="A94" s="98" t="s">
        <v>2684</v>
      </c>
      <c r="B94" s="98" t="s">
        <v>2129</v>
      </c>
      <c r="C94" s="99" t="s">
        <v>1565</v>
      </c>
      <c r="D94" s="98" t="s">
        <v>2836</v>
      </c>
      <c r="E94" s="98" t="s">
        <v>54</v>
      </c>
      <c r="F94" s="98" t="s">
        <v>149</v>
      </c>
      <c r="G94" s="98" t="s">
        <v>149</v>
      </c>
      <c r="H94" s="98" t="s">
        <v>149</v>
      </c>
      <c r="I94" s="98" t="s">
        <v>149</v>
      </c>
    </row>
    <row r="95" hidden="1">
      <c r="A95" s="98" t="s">
        <v>2686</v>
      </c>
      <c r="B95" s="98" t="s">
        <v>2133</v>
      </c>
      <c r="C95" s="99" t="s">
        <v>2139</v>
      </c>
      <c r="D95" s="98" t="s">
        <v>2836</v>
      </c>
      <c r="E95" s="98" t="s">
        <v>54</v>
      </c>
      <c r="F95" s="98" t="s">
        <v>149</v>
      </c>
      <c r="G95" s="98" t="s">
        <v>149</v>
      </c>
      <c r="H95" s="98" t="s">
        <v>149</v>
      </c>
      <c r="I95" s="98" t="s">
        <v>149</v>
      </c>
    </row>
    <row r="96" hidden="1">
      <c r="A96" s="98" t="s">
        <v>2688</v>
      </c>
      <c r="B96" s="98" t="s">
        <v>2140</v>
      </c>
      <c r="C96" s="99" t="s">
        <v>2145</v>
      </c>
      <c r="D96" s="98" t="s">
        <v>2836</v>
      </c>
      <c r="E96" s="98" t="s">
        <v>54</v>
      </c>
      <c r="F96" s="98" t="s">
        <v>149</v>
      </c>
      <c r="G96" s="98" t="s">
        <v>149</v>
      </c>
      <c r="H96" s="98" t="s">
        <v>149</v>
      </c>
      <c r="I96" s="98" t="s">
        <v>149</v>
      </c>
    </row>
    <row r="97" hidden="1">
      <c r="A97" s="98" t="s">
        <v>2691</v>
      </c>
      <c r="B97" s="98" t="s">
        <v>2148</v>
      </c>
      <c r="C97" s="99" t="s">
        <v>2150</v>
      </c>
      <c r="D97" s="98" t="s">
        <v>2836</v>
      </c>
      <c r="E97" s="98" t="s">
        <v>44</v>
      </c>
      <c r="F97" s="98" t="s">
        <v>2837</v>
      </c>
      <c r="G97" s="98" t="s">
        <v>149</v>
      </c>
      <c r="H97" s="98" t="s">
        <v>149</v>
      </c>
      <c r="I97" s="98" t="s">
        <v>149</v>
      </c>
    </row>
    <row r="98" hidden="1">
      <c r="A98" s="98" t="s">
        <v>2696</v>
      </c>
      <c r="B98" s="98" t="s">
        <v>2151</v>
      </c>
      <c r="C98" s="99" t="s">
        <v>2156</v>
      </c>
      <c r="D98" s="98" t="s">
        <v>2836</v>
      </c>
      <c r="E98" s="98" t="s">
        <v>44</v>
      </c>
      <c r="F98" s="98" t="s">
        <v>2837</v>
      </c>
      <c r="G98" s="98" t="s">
        <v>149</v>
      </c>
      <c r="H98" s="98" t="s">
        <v>149</v>
      </c>
      <c r="I98" s="98" t="s">
        <v>149</v>
      </c>
    </row>
    <row r="99" hidden="1">
      <c r="A99" s="98" t="s">
        <v>2701</v>
      </c>
      <c r="B99" s="98" t="s">
        <v>2158</v>
      </c>
      <c r="C99" s="99" t="s">
        <v>2163</v>
      </c>
      <c r="D99" s="98" t="s">
        <v>2836</v>
      </c>
      <c r="E99" s="98" t="s">
        <v>44</v>
      </c>
      <c r="F99" s="98" t="s">
        <v>2837</v>
      </c>
      <c r="G99" s="98" t="s">
        <v>149</v>
      </c>
      <c r="H99" s="98" t="s">
        <v>149</v>
      </c>
      <c r="I99" s="98" t="s">
        <v>149</v>
      </c>
    </row>
    <row r="100" hidden="1">
      <c r="A100" s="98" t="s">
        <v>2715</v>
      </c>
      <c r="B100" s="98" t="s">
        <v>2202</v>
      </c>
      <c r="C100" s="99" t="s">
        <v>2206</v>
      </c>
      <c r="D100" s="98" t="s">
        <v>2836</v>
      </c>
      <c r="E100" s="98" t="s">
        <v>44</v>
      </c>
      <c r="F100" s="98" t="s">
        <v>2837</v>
      </c>
      <c r="G100" s="98" t="s">
        <v>149</v>
      </c>
      <c r="H100" s="98" t="s">
        <v>149</v>
      </c>
      <c r="I100" s="98" t="s">
        <v>149</v>
      </c>
    </row>
    <row r="101">
      <c r="A101" s="98" t="s">
        <v>2721</v>
      </c>
      <c r="B101" s="100" t="s">
        <v>2207</v>
      </c>
      <c r="C101" s="99" t="s">
        <v>2211</v>
      </c>
      <c r="D101" s="98" t="s">
        <v>2839</v>
      </c>
      <c r="E101" s="98" t="s">
        <v>44</v>
      </c>
      <c r="F101" s="98" t="s">
        <v>2840</v>
      </c>
      <c r="G101" s="98" t="s">
        <v>857</v>
      </c>
      <c r="H101" s="98" t="s">
        <v>21</v>
      </c>
      <c r="I101" s="101" t="s">
        <v>2841</v>
      </c>
      <c r="K101" s="104"/>
    </row>
    <row r="102" hidden="1">
      <c r="A102" s="98" t="s">
        <v>2739</v>
      </c>
      <c r="B102" s="98" t="s">
        <v>2861</v>
      </c>
      <c r="C102" s="99" t="s">
        <v>2215</v>
      </c>
      <c r="D102" s="98" t="s">
        <v>2857</v>
      </c>
      <c r="E102" s="98" t="s">
        <v>44</v>
      </c>
      <c r="F102" s="98" t="s">
        <v>2837</v>
      </c>
      <c r="G102" s="98" t="s">
        <v>92</v>
      </c>
      <c r="H102" s="98" t="s">
        <v>75</v>
      </c>
      <c r="I102" s="101" t="s">
        <v>2843</v>
      </c>
      <c r="K102" s="103" t="s">
        <v>2861</v>
      </c>
    </row>
    <row r="103">
      <c r="A103" s="98" t="s">
        <v>2744</v>
      </c>
      <c r="B103" s="100" t="s">
        <v>2197</v>
      </c>
      <c r="C103" s="99" t="s">
        <v>2201</v>
      </c>
      <c r="D103" s="98" t="s">
        <v>2839</v>
      </c>
      <c r="E103" s="98" t="s">
        <v>44</v>
      </c>
      <c r="F103" s="98" t="s">
        <v>2840</v>
      </c>
      <c r="G103" s="98" t="s">
        <v>2196</v>
      </c>
      <c r="H103" s="98" t="s">
        <v>75</v>
      </c>
      <c r="I103" s="101" t="s">
        <v>2843</v>
      </c>
    </row>
    <row r="104">
      <c r="A104" s="98" t="s">
        <v>2756</v>
      </c>
      <c r="B104" s="100" t="s">
        <v>2216</v>
      </c>
      <c r="C104" s="99" t="s">
        <v>2220</v>
      </c>
      <c r="D104" s="98" t="s">
        <v>2839</v>
      </c>
      <c r="E104" s="98" t="s">
        <v>44</v>
      </c>
      <c r="F104" s="98" t="s">
        <v>2840</v>
      </c>
      <c r="G104" s="98" t="s">
        <v>92</v>
      </c>
      <c r="H104" s="98" t="s">
        <v>21</v>
      </c>
      <c r="I104" s="101" t="s">
        <v>2841</v>
      </c>
    </row>
    <row r="105">
      <c r="A105" s="98" t="s">
        <v>2766</v>
      </c>
      <c r="B105" s="100" t="s">
        <v>2188</v>
      </c>
      <c r="C105" s="99" t="s">
        <v>2193</v>
      </c>
      <c r="D105" s="98" t="s">
        <v>2839</v>
      </c>
      <c r="E105" s="98" t="s">
        <v>44</v>
      </c>
      <c r="F105" s="98" t="s">
        <v>2840</v>
      </c>
      <c r="G105" s="98" t="s">
        <v>2187</v>
      </c>
      <c r="H105" s="98" t="s">
        <v>21</v>
      </c>
      <c r="I105" s="101" t="s">
        <v>2841</v>
      </c>
    </row>
    <row r="106" hidden="1">
      <c r="C106" s="41" t="s">
        <v>2780</v>
      </c>
    </row>
    <row r="107">
      <c r="A107" s="10" t="s">
        <v>2778</v>
      </c>
      <c r="B107" s="105" t="s">
        <v>2322</v>
      </c>
      <c r="C107" s="41" t="s">
        <v>2780</v>
      </c>
      <c r="D107" s="98" t="s">
        <v>2839</v>
      </c>
      <c r="E107" s="98" t="s">
        <v>44</v>
      </c>
      <c r="F107" s="98" t="s">
        <v>2840</v>
      </c>
      <c r="G107" s="98" t="s">
        <v>407</v>
      </c>
      <c r="H107" s="98" t="s">
        <v>21</v>
      </c>
    </row>
  </sheetData>
  <autoFilter ref="$A$1:$I$107">
    <filterColumn colId="5">
      <filters>
        <filter val="Lolos"/>
      </filters>
    </filterColumn>
  </autoFilter>
  <hyperlinks>
    <hyperlink r:id="rId1" ref="I6"/>
    <hyperlink r:id="rId2" ref="I10"/>
    <hyperlink r:id="rId3" ref="I13"/>
    <hyperlink r:id="rId4" ref="I17"/>
    <hyperlink r:id="rId5" ref="I20"/>
    <hyperlink r:id="rId6" ref="I24"/>
    <hyperlink r:id="rId7" ref="I26"/>
    <hyperlink r:id="rId8" ref="I27"/>
    <hyperlink r:id="rId9" ref="I29"/>
    <hyperlink r:id="rId10" ref="I30"/>
    <hyperlink r:id="rId11" ref="I43"/>
    <hyperlink r:id="rId12" ref="I52"/>
    <hyperlink r:id="rId13" ref="I53"/>
    <hyperlink r:id="rId14" ref="I54"/>
    <hyperlink r:id="rId15" ref="I60"/>
    <hyperlink r:id="rId16" ref="I84"/>
    <hyperlink r:id="rId17" ref="I87"/>
    <hyperlink r:id="rId18" ref="I92"/>
    <hyperlink r:id="rId19" ref="I101"/>
    <hyperlink r:id="rId20" ref="I102"/>
    <hyperlink r:id="rId21" ref="I103"/>
    <hyperlink r:id="rId22" ref="I104"/>
    <hyperlink r:id="rId23" ref="I105"/>
  </hyperlinks>
  <drawing r:id="rId24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1.38"/>
    <col customWidth="1" min="2" max="2" width="6.25"/>
    <col customWidth="1" min="4" max="4" width="22.0"/>
    <col customWidth="1" min="6" max="6" width="18.13"/>
  </cols>
  <sheetData>
    <row r="1"/>
    <row r="2">
      <c r="F2" s="109"/>
      <c r="G2" s="109"/>
    </row>
    <row r="3">
      <c r="F3" s="110"/>
      <c r="G3" s="110"/>
    </row>
    <row r="4">
      <c r="F4" s="110"/>
      <c r="G4" s="110"/>
    </row>
    <row r="5">
      <c r="F5" s="110"/>
      <c r="G5" s="110"/>
    </row>
    <row r="6">
      <c r="F6" s="110"/>
      <c r="G6" s="110"/>
    </row>
    <row r="7">
      <c r="F7" s="110"/>
      <c r="G7" s="110"/>
    </row>
    <row r="8">
      <c r="F8" s="110"/>
      <c r="G8" s="110"/>
    </row>
    <row r="9">
      <c r="F9" s="110"/>
      <c r="G9" s="110"/>
    </row>
    <row r="10">
      <c r="F10" s="110"/>
      <c r="G10" s="110"/>
    </row>
    <row r="11">
      <c r="F11" s="110"/>
      <c r="G11" s="110"/>
    </row>
    <row r="12">
      <c r="F12" s="110"/>
      <c r="G12" s="110"/>
    </row>
    <row r="13">
      <c r="F13" s="110"/>
      <c r="G13" s="110"/>
    </row>
    <row r="14">
      <c r="F14" s="29"/>
      <c r="G14" s="29"/>
    </row>
    <row r="15"/>
    <row r="16"/>
    <row r="17"/>
    <row r="18"/>
    <row r="19"/>
    <row r="20"/>
    <row r="21"/>
    <row r="22"/>
    <row r="23"/>
    <row r="24"/>
    <row r="25"/>
    <row r="26"/>
  </sheetData>
  <drawing r:id="rId2"/>
</worksheet>
</file>